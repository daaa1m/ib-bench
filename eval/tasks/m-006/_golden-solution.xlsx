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eval\tasks\m-006\"/>
    </mc:Choice>
  </mc:AlternateContent>
  <xr:revisionPtr revIDLastSave="0" documentId="13_ncr:1_{AEBF381C-A11A-4D38-8C1F-1D1A3F5FA019}" xr6:coauthVersionLast="47" xr6:coauthVersionMax="47" xr10:uidLastSave="{00000000-0000-0000-0000-000000000000}"/>
  <bookViews>
    <workbookView xWindow="-120" yWindow="330" windowWidth="29040" windowHeight="15990" activeTab="1" xr2:uid="{F5A3AB46-F18D-4A9E-9E3E-5870CB67E543}"/>
  </bookViews>
  <sheets>
    <sheet name="Data" sheetId="2" r:id="rId1"/>
    <sheet name="LBO" sheetId="3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4" i="3" l="1"/>
  <c r="G185" i="3" s="1"/>
  <c r="G186" i="3" s="1"/>
  <c r="G187" i="3" s="1"/>
  <c r="I182" i="3"/>
  <c r="J182" i="3" s="1"/>
  <c r="K182" i="3" s="1"/>
  <c r="L182" i="3" s="1"/>
  <c r="I172" i="3"/>
  <c r="J172" i="3" s="1"/>
  <c r="K172" i="3" s="1"/>
  <c r="L172" i="3" s="1"/>
  <c r="G174" i="3"/>
  <c r="G175" i="3" s="1"/>
  <c r="G176" i="3" s="1"/>
  <c r="G177" i="3" s="1"/>
  <c r="L160" i="3" l="1"/>
  <c r="I18" i="3"/>
  <c r="I128" i="3" s="1"/>
  <c r="D13" i="3"/>
  <c r="I11" i="3" s="1"/>
  <c r="D12" i="3"/>
  <c r="I10" i="3" s="1"/>
  <c r="D11" i="3"/>
  <c r="D10" i="3"/>
  <c r="F108" i="3"/>
  <c r="G108" i="3"/>
  <c r="E108" i="3"/>
  <c r="F106" i="3"/>
  <c r="G106" i="3"/>
  <c r="E106" i="3"/>
  <c r="E103" i="3"/>
  <c r="F103" i="3"/>
  <c r="G103" i="3"/>
  <c r="F101" i="3"/>
  <c r="G101" i="3"/>
  <c r="E101" i="3"/>
  <c r="H79" i="3"/>
  <c r="I34" i="3"/>
  <c r="I33" i="3" s="1"/>
  <c r="J34" i="3"/>
  <c r="J33" i="3" s="1"/>
  <c r="K34" i="3"/>
  <c r="K33" i="3" s="1"/>
  <c r="L34" i="3"/>
  <c r="L33" i="3" s="1"/>
  <c r="H34" i="3"/>
  <c r="H33" i="3" s="1"/>
  <c r="E69" i="3"/>
  <c r="F69" i="3"/>
  <c r="G69" i="3"/>
  <c r="D68" i="3"/>
  <c r="D78" i="3"/>
  <c r="D80" i="3" s="1"/>
  <c r="E78" i="3"/>
  <c r="E80" i="3" s="1"/>
  <c r="F78" i="3"/>
  <c r="F80" i="3" s="1"/>
  <c r="G78" i="3"/>
  <c r="G80" i="3" s="1"/>
  <c r="F68" i="3"/>
  <c r="G68" i="3"/>
  <c r="H68" i="3" s="1"/>
  <c r="I68" i="3" s="1"/>
  <c r="J68" i="3" s="1"/>
  <c r="K68" i="3" s="1"/>
  <c r="L68" i="3" s="1"/>
  <c r="E67" i="3"/>
  <c r="E73" i="3" s="1"/>
  <c r="F67" i="3"/>
  <c r="F73" i="3" s="1"/>
  <c r="G67" i="3"/>
  <c r="G73" i="3" s="1"/>
  <c r="D67" i="3"/>
  <c r="D73" i="3" s="1"/>
  <c r="E51" i="3"/>
  <c r="E68" i="3" s="1"/>
  <c r="D49" i="3"/>
  <c r="D59" i="3" s="1"/>
  <c r="E49" i="3"/>
  <c r="E59" i="3" s="1"/>
  <c r="F49" i="3"/>
  <c r="F59" i="3" s="1"/>
  <c r="G49" i="3"/>
  <c r="G59" i="3" s="1"/>
  <c r="H59" i="3" s="1"/>
  <c r="I59" i="3" s="1"/>
  <c r="J59" i="3" s="1"/>
  <c r="K59" i="3" s="1"/>
  <c r="L59" i="3" s="1"/>
  <c r="D50" i="3"/>
  <c r="E50" i="3"/>
  <c r="F50" i="3"/>
  <c r="G50" i="3"/>
  <c r="L50" i="3" s="1"/>
  <c r="E48" i="3"/>
  <c r="E55" i="3" s="1"/>
  <c r="F48" i="3"/>
  <c r="F55" i="3" s="1"/>
  <c r="G48" i="3"/>
  <c r="G55" i="3" s="1"/>
  <c r="H55" i="3" s="1"/>
  <c r="I55" i="3" s="1"/>
  <c r="J55" i="3" s="1"/>
  <c r="K55" i="3" s="1"/>
  <c r="L55" i="3" s="1"/>
  <c r="D48" i="3"/>
  <c r="D55" i="3" s="1"/>
  <c r="D42" i="3"/>
  <c r="E42" i="3"/>
  <c r="F42" i="3"/>
  <c r="G42" i="3"/>
  <c r="D43" i="3"/>
  <c r="E43" i="3"/>
  <c r="F43" i="3"/>
  <c r="G43" i="3"/>
  <c r="D44" i="3"/>
  <c r="E44" i="3"/>
  <c r="F44" i="3"/>
  <c r="G44" i="3"/>
  <c r="E41" i="3"/>
  <c r="F41" i="3"/>
  <c r="G41" i="3"/>
  <c r="D41" i="3"/>
  <c r="D22" i="3"/>
  <c r="E22" i="3"/>
  <c r="D23" i="3"/>
  <c r="D32" i="3" s="1"/>
  <c r="E23" i="3"/>
  <c r="E32" i="3" s="1"/>
  <c r="D24" i="3"/>
  <c r="D38" i="3" s="1"/>
  <c r="E24" i="3"/>
  <c r="E38" i="3" s="1"/>
  <c r="E21" i="3"/>
  <c r="D21" i="3"/>
  <c r="F22" i="3"/>
  <c r="G22" i="3"/>
  <c r="F23" i="3"/>
  <c r="F32" i="3" s="1"/>
  <c r="G23" i="3"/>
  <c r="G32" i="3" s="1"/>
  <c r="F24" i="3"/>
  <c r="F38" i="3" s="1"/>
  <c r="G24" i="3"/>
  <c r="G21" i="3"/>
  <c r="H21" i="3" s="1"/>
  <c r="I21" i="3" s="1"/>
  <c r="J21" i="3" s="1"/>
  <c r="K21" i="3" s="1"/>
  <c r="L21" i="3" s="1"/>
  <c r="F21" i="3"/>
  <c r="E26" i="2"/>
  <c r="F26" i="2"/>
  <c r="G26" i="2"/>
  <c r="D26" i="2"/>
  <c r="E2" i="3"/>
  <c r="F2" i="3" s="1"/>
  <c r="G2" i="3" s="1"/>
  <c r="H2" i="3" s="1"/>
  <c r="I2" i="3" s="1"/>
  <c r="J2" i="3" s="1"/>
  <c r="K2" i="3" s="1"/>
  <c r="L2" i="3" s="1"/>
  <c r="L140" i="3" s="1"/>
  <c r="I1" i="3"/>
  <c r="J1" i="3" s="1"/>
  <c r="K1" i="3" s="1"/>
  <c r="L1" i="3" s="1"/>
  <c r="G46" i="2"/>
  <c r="F46" i="2"/>
  <c r="E46" i="2"/>
  <c r="G36" i="2"/>
  <c r="F36" i="2"/>
  <c r="E36" i="2"/>
  <c r="G42" i="2"/>
  <c r="F42" i="2"/>
  <c r="E42" i="2"/>
  <c r="D42" i="2"/>
  <c r="G38" i="2"/>
  <c r="F38" i="2"/>
  <c r="E38" i="2"/>
  <c r="G37" i="2"/>
  <c r="F37" i="2"/>
  <c r="E37" i="2"/>
  <c r="G43" i="2"/>
  <c r="F43" i="2"/>
  <c r="E43" i="2"/>
  <c r="D43" i="2"/>
  <c r="G41" i="2"/>
  <c r="F41" i="2"/>
  <c r="E41" i="2"/>
  <c r="D41" i="2"/>
  <c r="G35" i="2"/>
  <c r="F35" i="2"/>
  <c r="E35" i="2"/>
  <c r="I15" i="3" l="1"/>
  <c r="K128" i="3"/>
  <c r="H128" i="3"/>
  <c r="L128" i="3"/>
  <c r="J128" i="3"/>
  <c r="G99" i="3"/>
  <c r="G156" i="3" s="1"/>
  <c r="H154" i="3" s="1"/>
  <c r="H127" i="3" s="1"/>
  <c r="I16" i="3"/>
  <c r="I140" i="3"/>
  <c r="H147" i="3"/>
  <c r="H140" i="3"/>
  <c r="L147" i="3"/>
  <c r="L132" i="3" s="1"/>
  <c r="K147" i="3"/>
  <c r="J147" i="3"/>
  <c r="I147" i="3"/>
  <c r="K140" i="3"/>
  <c r="J140" i="3"/>
  <c r="F111" i="3"/>
  <c r="G111" i="3"/>
  <c r="E111" i="3"/>
  <c r="G74" i="3"/>
  <c r="D74" i="3"/>
  <c r="E74" i="3"/>
  <c r="F74" i="3"/>
  <c r="E57" i="3"/>
  <c r="F57" i="3"/>
  <c r="E61" i="3"/>
  <c r="F61" i="3"/>
  <c r="G61" i="3"/>
  <c r="G57" i="3"/>
  <c r="F28" i="3"/>
  <c r="D28" i="3"/>
  <c r="K50" i="3"/>
  <c r="J50" i="3"/>
  <c r="I50" i="3"/>
  <c r="H50" i="3"/>
  <c r="F39" i="3"/>
  <c r="G28" i="3"/>
  <c r="E28" i="3"/>
  <c r="E39" i="3"/>
  <c r="G38" i="3"/>
  <c r="H32" i="3"/>
  <c r="I32" i="3" s="1"/>
  <c r="J32" i="3" s="1"/>
  <c r="K32" i="3" s="1"/>
  <c r="L32" i="3" s="1"/>
  <c r="N23" i="3" s="1"/>
  <c r="H23" i="3" s="1"/>
  <c r="I23" i="3" s="1"/>
  <c r="J23" i="3" s="1"/>
  <c r="K23" i="3" s="1"/>
  <c r="L23" i="3" s="1"/>
  <c r="H22" i="3"/>
  <c r="E33" i="3"/>
  <c r="F33" i="3"/>
  <c r="F70" i="3"/>
  <c r="G33" i="3"/>
  <c r="D70" i="3"/>
  <c r="G70" i="3"/>
  <c r="E70" i="3"/>
  <c r="G52" i="3"/>
  <c r="D25" i="3"/>
  <c r="D81" i="3" s="1"/>
  <c r="D45" i="3"/>
  <c r="D52" i="3"/>
  <c r="F52" i="3"/>
  <c r="E45" i="3"/>
  <c r="G25" i="3"/>
  <c r="G81" i="3" s="1"/>
  <c r="E25" i="3"/>
  <c r="E86" i="3" s="1"/>
  <c r="G45" i="3"/>
  <c r="F45" i="3"/>
  <c r="E52" i="3"/>
  <c r="F25" i="3"/>
  <c r="F86" i="3" s="1"/>
  <c r="F104" i="3" s="1"/>
  <c r="I132" i="3" l="1"/>
  <c r="J132" i="3"/>
  <c r="K132" i="3"/>
  <c r="H132" i="3"/>
  <c r="F29" i="3"/>
  <c r="F112" i="3"/>
  <c r="G112" i="3"/>
  <c r="E104" i="3"/>
  <c r="E81" i="3"/>
  <c r="F81" i="3"/>
  <c r="D86" i="3"/>
  <c r="E87" i="3" s="1"/>
  <c r="G86" i="3"/>
  <c r="D60" i="3"/>
  <c r="E60" i="3"/>
  <c r="F60" i="3"/>
  <c r="G60" i="3"/>
  <c r="D56" i="3"/>
  <c r="G56" i="3"/>
  <c r="E56" i="3"/>
  <c r="F56" i="3"/>
  <c r="G29" i="3"/>
  <c r="G46" i="3"/>
  <c r="F89" i="3"/>
  <c r="F90" i="3" s="1"/>
  <c r="F46" i="3"/>
  <c r="E89" i="3"/>
  <c r="E109" i="3" s="1"/>
  <c r="E46" i="3"/>
  <c r="D89" i="3"/>
  <c r="D90" i="3" s="1"/>
  <c r="D46" i="3"/>
  <c r="E29" i="3"/>
  <c r="I22" i="3"/>
  <c r="I28" i="3" s="1"/>
  <c r="G39" i="3"/>
  <c r="H38" i="3"/>
  <c r="I38" i="3" s="1"/>
  <c r="J38" i="3" s="1"/>
  <c r="K38" i="3" s="1"/>
  <c r="L38" i="3" s="1"/>
  <c r="N24" i="3" s="1"/>
  <c r="H24" i="3" s="1"/>
  <c r="I24" i="3" s="1"/>
  <c r="J24" i="3" s="1"/>
  <c r="K24" i="3" s="1"/>
  <c r="L24" i="3" s="1"/>
  <c r="H28" i="3"/>
  <c r="H29" i="3" s="1"/>
  <c r="F87" i="3"/>
  <c r="D65" i="3"/>
  <c r="G89" i="3"/>
  <c r="G65" i="3"/>
  <c r="G92" i="3" s="1"/>
  <c r="F65" i="3"/>
  <c r="E65" i="3"/>
  <c r="E92" i="3" s="1"/>
  <c r="E93" i="3" s="1"/>
  <c r="I81" i="3" l="1"/>
  <c r="D7" i="3"/>
  <c r="D8" i="3" s="1"/>
  <c r="I8" i="3"/>
  <c r="G148" i="3" s="1"/>
  <c r="I6" i="3"/>
  <c r="I7" i="3"/>
  <c r="G142" i="3" s="1"/>
  <c r="G115" i="3" s="1"/>
  <c r="E107" i="3"/>
  <c r="F109" i="3"/>
  <c r="G104" i="3"/>
  <c r="H104" i="3" s="1"/>
  <c r="I104" i="3" s="1"/>
  <c r="G109" i="3"/>
  <c r="H109" i="3" s="1"/>
  <c r="G107" i="3"/>
  <c r="H107" i="3" s="1"/>
  <c r="F107" i="3"/>
  <c r="G87" i="3"/>
  <c r="G102" i="3"/>
  <c r="H102" i="3" s="1"/>
  <c r="E90" i="3"/>
  <c r="E102" i="3"/>
  <c r="F102" i="3"/>
  <c r="G90" i="3"/>
  <c r="L81" i="3"/>
  <c r="H81" i="3"/>
  <c r="K81" i="3"/>
  <c r="J81" i="3"/>
  <c r="G93" i="3"/>
  <c r="K46" i="3"/>
  <c r="L46" i="3"/>
  <c r="H46" i="3"/>
  <c r="I46" i="3"/>
  <c r="J46" i="3"/>
  <c r="H25" i="3"/>
  <c r="H86" i="3" s="1"/>
  <c r="J22" i="3"/>
  <c r="I25" i="3"/>
  <c r="I86" i="3" s="1"/>
  <c r="I29" i="3"/>
  <c r="G76" i="3"/>
  <c r="G95" i="3" s="1"/>
  <c r="G96" i="3" s="1"/>
  <c r="D92" i="3"/>
  <c r="D93" i="3" s="1"/>
  <c r="D76" i="3"/>
  <c r="D95" i="3" s="1"/>
  <c r="D96" i="3" s="1"/>
  <c r="F92" i="3"/>
  <c r="F93" i="3" s="1"/>
  <c r="F76" i="3"/>
  <c r="F95" i="3" s="1"/>
  <c r="F96" i="3" s="1"/>
  <c r="E76" i="3"/>
  <c r="E95" i="3" s="1"/>
  <c r="E96" i="3" s="1"/>
  <c r="G136" i="3" l="1"/>
  <c r="G114" i="3" s="1"/>
  <c r="H103" i="3"/>
  <c r="H145" i="3"/>
  <c r="H146" i="3" s="1"/>
  <c r="H149" i="3" s="1"/>
  <c r="G116" i="3"/>
  <c r="H139" i="3"/>
  <c r="D14" i="3"/>
  <c r="I14" i="3" s="1"/>
  <c r="I17" i="3"/>
  <c r="I107" i="3"/>
  <c r="I109" i="3"/>
  <c r="J104" i="3"/>
  <c r="I103" i="3"/>
  <c r="I102" i="3"/>
  <c r="H80" i="3"/>
  <c r="H78" i="3" s="1"/>
  <c r="I80" i="3"/>
  <c r="I78" i="3" s="1"/>
  <c r="H45" i="3"/>
  <c r="H89" i="3" s="1"/>
  <c r="H90" i="3" s="1"/>
  <c r="I45" i="3"/>
  <c r="I89" i="3" s="1"/>
  <c r="I90" i="3" s="1"/>
  <c r="H87" i="3"/>
  <c r="I87" i="3"/>
  <c r="K22" i="3"/>
  <c r="J25" i="3"/>
  <c r="J86" i="3" s="1"/>
  <c r="J28" i="3"/>
  <c r="J29" i="3" s="1"/>
  <c r="H134" i="3" l="1"/>
  <c r="G117" i="3"/>
  <c r="I19" i="3"/>
  <c r="I12" i="3" s="1"/>
  <c r="I9" i="3" s="1"/>
  <c r="H108" i="3"/>
  <c r="I108" i="3"/>
  <c r="J109" i="3"/>
  <c r="I106" i="3"/>
  <c r="J107" i="3"/>
  <c r="I73" i="3"/>
  <c r="I67" i="3" s="1"/>
  <c r="I124" i="3"/>
  <c r="H106" i="3"/>
  <c r="H73" i="3"/>
  <c r="H67" i="3" s="1"/>
  <c r="H124" i="3"/>
  <c r="H101" i="3"/>
  <c r="K104" i="3"/>
  <c r="J103" i="3"/>
  <c r="J102" i="3"/>
  <c r="I101" i="3"/>
  <c r="J80" i="3"/>
  <c r="J78" i="3" s="1"/>
  <c r="H49" i="3"/>
  <c r="H60" i="3"/>
  <c r="I49" i="3"/>
  <c r="I60" i="3"/>
  <c r="J45" i="3"/>
  <c r="J89" i="3" s="1"/>
  <c r="J90" i="3" s="1"/>
  <c r="L22" i="3"/>
  <c r="K25" i="3"/>
  <c r="K80" i="3" s="1"/>
  <c r="K78" i="3" s="1"/>
  <c r="K28" i="3"/>
  <c r="J87" i="3"/>
  <c r="I111" i="3" l="1"/>
  <c r="J73" i="3"/>
  <c r="J67" i="3" s="1"/>
  <c r="J124" i="3"/>
  <c r="K73" i="3"/>
  <c r="K67" i="3" s="1"/>
  <c r="K124" i="3"/>
  <c r="J106" i="3"/>
  <c r="K107" i="3"/>
  <c r="H111" i="3"/>
  <c r="K109" i="3"/>
  <c r="J108" i="3"/>
  <c r="L104" i="3"/>
  <c r="K102" i="3"/>
  <c r="J101" i="3"/>
  <c r="J49" i="3"/>
  <c r="J60" i="3"/>
  <c r="K86" i="3"/>
  <c r="K103" i="3" s="1"/>
  <c r="K45" i="3"/>
  <c r="K89" i="3" s="1"/>
  <c r="K29" i="3"/>
  <c r="L28" i="3"/>
  <c r="L29" i="3" s="1"/>
  <c r="L25" i="3"/>
  <c r="L80" i="3" s="1"/>
  <c r="L78" i="3" s="1"/>
  <c r="J111" i="3" l="1"/>
  <c r="J112" i="3" s="1"/>
  <c r="J121" i="3" s="1"/>
  <c r="L107" i="3"/>
  <c r="K106" i="3"/>
  <c r="L73" i="3"/>
  <c r="L67" i="3" s="1"/>
  <c r="L124" i="3"/>
  <c r="L109" i="3"/>
  <c r="K108" i="3"/>
  <c r="I112" i="3"/>
  <c r="I121" i="3" s="1"/>
  <c r="H112" i="3"/>
  <c r="H121" i="3" s="1"/>
  <c r="L102" i="3"/>
  <c r="K101" i="3"/>
  <c r="K49" i="3"/>
  <c r="K60" i="3"/>
  <c r="K90" i="3"/>
  <c r="K87" i="3"/>
  <c r="L86" i="3"/>
  <c r="N86" i="3" s="1"/>
  <c r="L45" i="3"/>
  <c r="L89" i="3" s="1"/>
  <c r="N89" i="3" s="1"/>
  <c r="L108" i="3" l="1"/>
  <c r="K111" i="3"/>
  <c r="K112" i="3" s="1"/>
  <c r="K121" i="3" s="1"/>
  <c r="L106" i="3"/>
  <c r="L103" i="3"/>
  <c r="L101" i="3"/>
  <c r="L49" i="3"/>
  <c r="L60" i="3"/>
  <c r="L90" i="3"/>
  <c r="L87" i="3"/>
  <c r="H48" i="3"/>
  <c r="H52" i="3" s="1"/>
  <c r="H65" i="3" s="1"/>
  <c r="H56" i="3"/>
  <c r="I48" i="3"/>
  <c r="I52" i="3" s="1"/>
  <c r="I65" i="3" s="1"/>
  <c r="J48" i="3"/>
  <c r="J52" i="3" s="1"/>
  <c r="J65" i="3" s="1"/>
  <c r="K48" i="3"/>
  <c r="K52" i="3" s="1"/>
  <c r="K65" i="3" s="1"/>
  <c r="L48" i="3"/>
  <c r="I56" i="3"/>
  <c r="J56" i="3"/>
  <c r="K56" i="3"/>
  <c r="L56" i="3"/>
  <c r="L111" i="3" l="1"/>
  <c r="L112" i="3" s="1"/>
  <c r="L121" i="3" s="1"/>
  <c r="L52" i="3"/>
  <c r="L65" i="3" s="1"/>
  <c r="J92" i="3"/>
  <c r="H92" i="3"/>
  <c r="I92" i="3"/>
  <c r="K92" i="3"/>
  <c r="I93" i="3" l="1"/>
  <c r="I120" i="3"/>
  <c r="H93" i="3"/>
  <c r="H120" i="3"/>
  <c r="J93" i="3"/>
  <c r="J120" i="3"/>
  <c r="K93" i="3"/>
  <c r="K120" i="3"/>
  <c r="L92" i="3"/>
  <c r="L159" i="3" l="1"/>
  <c r="L161" i="3" s="1"/>
  <c r="N92" i="3"/>
  <c r="L120" i="3"/>
  <c r="L93" i="3"/>
  <c r="H148" i="3" l="1"/>
  <c r="I145" i="3" l="1"/>
  <c r="I146" i="3" s="1"/>
  <c r="I149" i="3" s="1"/>
  <c r="H116" i="3"/>
  <c r="I148" i="3" l="1"/>
  <c r="J145" i="3" l="1"/>
  <c r="J146" i="3" s="1"/>
  <c r="J149" i="3" s="1"/>
  <c r="I116" i="3"/>
  <c r="J148" i="3" l="1"/>
  <c r="K145" i="3" l="1"/>
  <c r="K146" i="3" s="1"/>
  <c r="K149" i="3" s="1"/>
  <c r="J116" i="3"/>
  <c r="K148" i="3" l="1"/>
  <c r="L145" i="3" l="1"/>
  <c r="L146" i="3" s="1"/>
  <c r="L149" i="3" s="1"/>
  <c r="K116" i="3"/>
  <c r="L148" i="3" l="1"/>
  <c r="L116" i="3" s="1"/>
  <c r="H69" i="3" l="1"/>
  <c r="I69" i="3"/>
  <c r="J69" i="3"/>
  <c r="K69" i="3"/>
  <c r="L69" i="3"/>
  <c r="H70" i="3"/>
  <c r="I70" i="3"/>
  <c r="J70" i="3"/>
  <c r="K70" i="3"/>
  <c r="L70" i="3"/>
  <c r="H76" i="3"/>
  <c r="I76" i="3"/>
  <c r="J76" i="3"/>
  <c r="K76" i="3"/>
  <c r="L76" i="3"/>
  <c r="H95" i="3"/>
  <c r="I95" i="3"/>
  <c r="J95" i="3"/>
  <c r="K95" i="3"/>
  <c r="L95" i="3"/>
  <c r="N95" i="3"/>
  <c r="H96" i="3"/>
  <c r="I96" i="3"/>
  <c r="J96" i="3"/>
  <c r="K96" i="3"/>
  <c r="L96" i="3"/>
  <c r="H99" i="3"/>
  <c r="I99" i="3"/>
  <c r="J99" i="3"/>
  <c r="K99" i="3"/>
  <c r="L99" i="3"/>
  <c r="H114" i="3"/>
  <c r="I114" i="3"/>
  <c r="J114" i="3"/>
  <c r="K114" i="3"/>
  <c r="L114" i="3"/>
  <c r="H115" i="3"/>
  <c r="I115" i="3"/>
  <c r="J115" i="3"/>
  <c r="K115" i="3"/>
  <c r="L115" i="3"/>
  <c r="H117" i="3"/>
  <c r="I117" i="3"/>
  <c r="J117" i="3"/>
  <c r="K117" i="3"/>
  <c r="L117" i="3"/>
  <c r="H122" i="3"/>
  <c r="I122" i="3"/>
  <c r="J122" i="3"/>
  <c r="K122" i="3"/>
  <c r="L122" i="3"/>
  <c r="H123" i="3"/>
  <c r="I123" i="3"/>
  <c r="J123" i="3"/>
  <c r="K123" i="3"/>
  <c r="L123" i="3"/>
  <c r="H125" i="3"/>
  <c r="I125" i="3"/>
  <c r="J125" i="3"/>
  <c r="K125" i="3"/>
  <c r="L125" i="3"/>
  <c r="I127" i="3"/>
  <c r="J127" i="3"/>
  <c r="K127" i="3"/>
  <c r="L127" i="3"/>
  <c r="H129" i="3"/>
  <c r="I129" i="3"/>
  <c r="J129" i="3"/>
  <c r="K129" i="3"/>
  <c r="L129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I139" i="3"/>
  <c r="J139" i="3"/>
  <c r="K139" i="3"/>
  <c r="L139" i="3"/>
  <c r="H141" i="3"/>
  <c r="I141" i="3"/>
  <c r="J141" i="3"/>
  <c r="K141" i="3"/>
  <c r="L141" i="3"/>
  <c r="H142" i="3"/>
  <c r="I142" i="3"/>
  <c r="J142" i="3"/>
  <c r="K142" i="3"/>
  <c r="L142" i="3"/>
  <c r="H143" i="3"/>
  <c r="I143" i="3"/>
  <c r="J143" i="3"/>
  <c r="K143" i="3"/>
  <c r="L143" i="3"/>
  <c r="H151" i="3"/>
  <c r="I151" i="3"/>
  <c r="J151" i="3"/>
  <c r="K151" i="3"/>
  <c r="L151" i="3"/>
  <c r="H152" i="3"/>
  <c r="I152" i="3"/>
  <c r="J152" i="3"/>
  <c r="K152" i="3"/>
  <c r="L152" i="3"/>
  <c r="I154" i="3"/>
  <c r="J154" i="3"/>
  <c r="K154" i="3"/>
  <c r="L154" i="3"/>
  <c r="H155" i="3"/>
  <c r="I155" i="3"/>
  <c r="J155" i="3"/>
  <c r="K155" i="3"/>
  <c r="L155" i="3"/>
  <c r="H156" i="3"/>
  <c r="I156" i="3"/>
  <c r="J156" i="3"/>
  <c r="K156" i="3"/>
  <c r="L156" i="3"/>
  <c r="L163" i="3"/>
  <c r="L164" i="3"/>
  <c r="L166" i="3"/>
  <c r="L167" i="3"/>
  <c r="L168" i="3"/>
  <c r="G172" i="3"/>
  <c r="G18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5F6F3B5-7A76-4403-A086-9E3F0164064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German corporate tax rate</t>
        </r>
      </text>
    </comment>
  </commentList>
</comments>
</file>

<file path=xl/sharedStrings.xml><?xml version="1.0" encoding="utf-8"?>
<sst xmlns="http://schemas.openxmlformats.org/spreadsheetml/2006/main" count="256" uniqueCount="174">
  <si>
    <t>Total Output</t>
  </si>
  <si>
    <t>(€m)</t>
  </si>
  <si>
    <t>2017A</t>
  </si>
  <si>
    <t>2018A</t>
  </si>
  <si>
    <t>2019A</t>
  </si>
  <si>
    <t>2020E</t>
  </si>
  <si>
    <t>AMS Europe</t>
  </si>
  <si>
    <t>ECS Europe</t>
  </si>
  <si>
    <t>Summary P&amp;L</t>
  </si>
  <si>
    <t>Americas &amp; Asia</t>
  </si>
  <si>
    <t>Others</t>
  </si>
  <si>
    <t>Gross profit</t>
  </si>
  <si>
    <t>Personnel expenses</t>
  </si>
  <si>
    <t>Other operating expenses</t>
  </si>
  <si>
    <t>Other operating income</t>
  </si>
  <si>
    <t>D&amp;A</t>
  </si>
  <si>
    <t>(€m, FYE 31-Dec)</t>
  </si>
  <si>
    <t>Total Gross Profit</t>
  </si>
  <si>
    <t>n.a.</t>
  </si>
  <si>
    <t>Capex</t>
  </si>
  <si>
    <t>Other items:</t>
  </si>
  <si>
    <t>Financial assets</t>
  </si>
  <si>
    <t>Inventories</t>
  </si>
  <si>
    <t>Trade receivables</t>
  </si>
  <si>
    <t>Deferred tax assets</t>
  </si>
  <si>
    <t>Other assets</t>
  </si>
  <si>
    <t>Other financial liabilities</t>
  </si>
  <si>
    <t>Trade payables</t>
  </si>
  <si>
    <t>Deferred tax liabilities</t>
  </si>
  <si>
    <t>Accruals short term (tax and other provisions)</t>
  </si>
  <si>
    <t>Income tax liabilities</t>
  </si>
  <si>
    <t>Summary Balance sheet</t>
  </si>
  <si>
    <t>Intangible assets</t>
  </si>
  <si>
    <t>Cash</t>
  </si>
  <si>
    <t>Bank debt</t>
  </si>
  <si>
    <t>Shareholder loans</t>
  </si>
  <si>
    <t>Output</t>
  </si>
  <si>
    <t>Overheads and Other</t>
  </si>
  <si>
    <t>Total Overheads and Other</t>
  </si>
  <si>
    <t>Assets</t>
  </si>
  <si>
    <t>Liabilities</t>
  </si>
  <si>
    <t>Net assets</t>
  </si>
  <si>
    <t>Factoring (fees and interest)</t>
  </si>
  <si>
    <t>EBITDA</t>
  </si>
  <si>
    <t>GAAP</t>
  </si>
  <si>
    <t>IFRS</t>
  </si>
  <si>
    <t>IFRS 16 leasing liabilities</t>
  </si>
  <si>
    <t>Due diligence findings:</t>
  </si>
  <si>
    <r>
      <t>Tangible assets</t>
    </r>
    <r>
      <rPr>
        <vertAlign val="superscript"/>
        <sz val="8"/>
        <rFont val="Arial"/>
        <family val="2"/>
      </rPr>
      <t>(1)</t>
    </r>
  </si>
  <si>
    <t>Financial lease costs (IAS 17)</t>
  </si>
  <si>
    <t>IFRS-16 leasing costs</t>
  </si>
  <si>
    <t>Financial lease liabilties (IAS 17)</t>
  </si>
  <si>
    <r>
      <t>Provisions</t>
    </r>
    <r>
      <rPr>
        <vertAlign val="superscript"/>
        <sz val="8"/>
        <rFont val="Arial"/>
        <family val="2"/>
      </rPr>
      <t>(3)</t>
    </r>
  </si>
  <si>
    <r>
      <t>Factor receivables</t>
    </r>
    <r>
      <rPr>
        <vertAlign val="superscript"/>
        <sz val="8"/>
        <rFont val="Arial"/>
        <family val="2"/>
      </rPr>
      <t>(2)</t>
    </r>
  </si>
  <si>
    <t>(1) Tangible asset base underinvested. DD estimated a capex underinvestment of c.€1.75m.</t>
  </si>
  <si>
    <t>(3) FY20E includes a management transaction bonus of €4.5m.</t>
  </si>
  <si>
    <t>% Growth</t>
  </si>
  <si>
    <t>% of Total Output</t>
  </si>
  <si>
    <t>Total</t>
  </si>
  <si>
    <t>(2) Non-recourse factoring of 50% of annual receivables. Terms include 80% cash upfront with 10% all-in interest cost (incl. discount and fees)</t>
  </si>
  <si>
    <t>Historical</t>
  </si>
  <si>
    <t>x</t>
  </si>
  <si>
    <t>in EURm unless otherwise stated</t>
  </si>
  <si>
    <t>Cover</t>
  </si>
  <si>
    <t>Txn assumptions</t>
  </si>
  <si>
    <t>Revenue</t>
  </si>
  <si>
    <t>Operating assumptions</t>
  </si>
  <si>
    <t>Estimated</t>
  </si>
  <si>
    <t>Total revenue</t>
  </si>
  <si>
    <t>Total gross profit</t>
  </si>
  <si>
    <t>% YoY</t>
  </si>
  <si>
    <t>% margin</t>
  </si>
  <si>
    <t>IFRS16 adjustments</t>
  </si>
  <si>
    <t>Total overheads and other costs</t>
  </si>
  <si>
    <t>EBITDA (post IFRS16)</t>
  </si>
  <si>
    <t>Total other costs</t>
  </si>
  <si>
    <t>EBT</t>
  </si>
  <si>
    <t>Partial Balance Sheet</t>
  </si>
  <si>
    <t>ETR</t>
  </si>
  <si>
    <t>CAGR</t>
  </si>
  <si>
    <t>20-'25</t>
  </si>
  <si>
    <t>Memo: Americas &amp; Asia</t>
  </si>
  <si>
    <t>Baseline growth</t>
  </si>
  <si>
    <t>Excess growth</t>
  </si>
  <si>
    <t xml:space="preserve">Memo: Europe </t>
  </si>
  <si>
    <t>Memo: Others</t>
  </si>
  <si>
    <t>Partial P&amp;L</t>
  </si>
  <si>
    <t>% of revenue</t>
  </si>
  <si>
    <t>Memo: Personnel and other operating expense</t>
  </si>
  <si>
    <t>Additional capex due to underinvestment</t>
  </si>
  <si>
    <t>Run rate capex</t>
  </si>
  <si>
    <t>D&amp;A % of capex</t>
  </si>
  <si>
    <t>Memo: D&amp;A</t>
  </si>
  <si>
    <t>% of revenue (run rate capex)</t>
  </si>
  <si>
    <t>NWC</t>
  </si>
  <si>
    <t>Cash and equivalents</t>
  </si>
  <si>
    <t>Inventory days</t>
  </si>
  <si>
    <t>DSO</t>
  </si>
  <si>
    <t>DPO</t>
  </si>
  <si>
    <t>Accrued days</t>
  </si>
  <si>
    <t>Chg in NWC</t>
  </si>
  <si>
    <t xml:space="preserve">FCF </t>
  </si>
  <si>
    <t>Cash interest</t>
  </si>
  <si>
    <t>Cash taxes</t>
  </si>
  <si>
    <t>FCF</t>
  </si>
  <si>
    <t>Purchase multiple</t>
  </si>
  <si>
    <t>Pricing EBITDA (FY20E)</t>
  </si>
  <si>
    <t>Purchase EV</t>
  </si>
  <si>
    <t>(-) debt</t>
  </si>
  <si>
    <t>(-) debt like items</t>
  </si>
  <si>
    <t>(-) leases</t>
  </si>
  <si>
    <t>(+) cash and equivalents</t>
  </si>
  <si>
    <t>Purchase EqV</t>
  </si>
  <si>
    <t>Sources and Uses</t>
  </si>
  <si>
    <t>1L debt</t>
  </si>
  <si>
    <t>Revolver</t>
  </si>
  <si>
    <t>PIK notes</t>
  </si>
  <si>
    <t>Sponsor equity</t>
  </si>
  <si>
    <t>Total sources</t>
  </si>
  <si>
    <t>Rolled lease liabilities</t>
  </si>
  <si>
    <t>Lease liabilities</t>
  </si>
  <si>
    <t>Cash on BS</t>
  </si>
  <si>
    <t>Debt &amp; debt-like items</t>
  </si>
  <si>
    <t>Fees</t>
  </si>
  <si>
    <t>Total uses</t>
  </si>
  <si>
    <t>Min cash</t>
  </si>
  <si>
    <t>Other assumptions</t>
  </si>
  <si>
    <t>Fees % of EV</t>
  </si>
  <si>
    <t>Financing assumptions</t>
  </si>
  <si>
    <t>xEBITDA</t>
  </si>
  <si>
    <t>Cash inter'</t>
  </si>
  <si>
    <t>PIK</t>
  </si>
  <si>
    <t>BoP cash</t>
  </si>
  <si>
    <t>CFADS</t>
  </si>
  <si>
    <t>Debt schedule</t>
  </si>
  <si>
    <t>Mandatory repayments</t>
  </si>
  <si>
    <t>1L TLB</t>
  </si>
  <si>
    <t>Maturity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</si>
  <si>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</si>
  <si>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</si>
  <si>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</si>
  <si>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</si>
  <si>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</si>
  <si>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</si>
  <si>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</si>
  <si>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EoP 1L TLB</t>
  </si>
  <si>
    <t>Switch</t>
  </si>
  <si>
    <t>BoP PIK note</t>
  </si>
  <si>
    <t>EoP PIK note</t>
  </si>
  <si>
    <t>PIK accrual</t>
  </si>
  <si>
    <t>Interest (PIK)</t>
  </si>
  <si>
    <t>Total interest</t>
  </si>
  <si>
    <t>Net cash flows</t>
  </si>
  <si>
    <t>EoP cash</t>
  </si>
  <si>
    <t>Switches</t>
  </si>
  <si>
    <t>Circ switch</t>
  </si>
  <si>
    <t>Total debt</t>
  </si>
  <si>
    <t>PIK note</t>
  </si>
  <si>
    <t>Returns</t>
  </si>
  <si>
    <t>Exit multiple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</si>
  <si>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</si>
  <si>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</si>
  <si>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</si>
  <si>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</si>
  <si>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</si>
  <si>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</si>
  <si>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</si>
  <si>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</si>
  <si>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AMS Europe CAGR</t>
  </si>
  <si>
    <t>Need an entry multiple of max 10x for a 25% IRR, assuming exit multiple of 12x</t>
  </si>
  <si>
    <t>Cost item driven by inflation</t>
  </si>
  <si>
    <t>&lt;&lt; error fixed here; row 152 instead of 151</t>
  </si>
  <si>
    <t>&lt;&lt; fixed here, add -1</t>
  </si>
  <si>
    <t>&lt;&lt; fixed here, L92 instead of G92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</si>
</sst>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"/>
    <numFmt numFmtId="165" formatCode="0.0%"/>
    <numFmt numFmtId="166" formatCode="0.0"/>
    <numFmt numFmtId="167" formatCode="#,##0.0;\(#,##0.0\)"/>
    <numFmt numFmtId="168" formatCode="#,##0.0000000000000"/>
    <numFmt numFmtId="169" formatCode=";;;"/>
    <numFmt numFmtId="170" formatCode="0.0%_);\(0.0%\)"/>
    <numFmt numFmtId="171" formatCode="###0.00_)"/>
    <numFmt numFmtId="172" formatCode="#,##0.0_);\(#,##0.0\);0.0_);@_)"/>
    <numFmt numFmtId="173" formatCode="0.0\ \x_);\(0.0\ \x\)"/>
    <numFmt numFmtId="174" formatCode="General\A"/>
    <numFmt numFmtId="175" formatCode="General\E"/>
    <numFmt numFmtId="176" formatCode="General\F"/>
  </numFmts>
  <fonts count="32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72" fontId="0" fillId="0" borderId="0"/>
    <xf numFmtId="170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9" fontId="12" fillId="0" borderId="0"/>
    <xf numFmtId="170" fontId="13" fillId="3" borderId="1" applyNumberFormat="0" applyFill="0" applyBorder="0" applyAlignment="0" applyProtection="0"/>
    <xf numFmtId="171" fontId="14" fillId="0" borderId="2" applyNumberFormat="0" applyFill="0">
      <alignment horizontal="right"/>
    </xf>
    <xf numFmtId="17" fontId="12" fillId="0" borderId="0" applyFill="0" applyBorder="0" applyAlignment="0" applyProtection="0"/>
    <xf numFmtId="172" fontId="15" fillId="0" borderId="0"/>
    <xf numFmtId="0" fontId="16" fillId="0" borderId="0" applyNumberFormat="0" applyFill="0" applyBorder="0" applyAlignment="0" applyProtection="0"/>
    <xf numFmtId="172" fontId="17" fillId="4" borderId="1" applyNumberFormat="0" applyAlignment="0" applyProtection="0"/>
    <xf numFmtId="173" fontId="12" fillId="0" borderId="0" applyFill="0" applyBorder="0" applyAlignment="0" applyProtection="0"/>
    <xf numFmtId="0" fontId="19" fillId="0" borderId="0"/>
    <xf numFmtId="0" fontId="20" fillId="0" borderId="0">
      <alignment horizontal="right"/>
    </xf>
    <xf numFmtId="0" fontId="21" fillId="0" borderId="0">
      <alignment horizontal="left"/>
    </xf>
    <xf numFmtId="174" fontId="19" fillId="0" borderId="0"/>
    <xf numFmtId="175" fontId="19" fillId="0" borderId="0"/>
    <xf numFmtId="176" fontId="19" fillId="0" borderId="0"/>
  </cellStyleXfs>
  <cellXfs count="85">
    <xf numFmtId="172" fontId="0" fillId="0" borderId="0" xfId="0"/>
    <xf numFmtId="172" fontId="2" fillId="0" borderId="0" xfId="0" applyFont="1"/>
    <xf numFmtId="164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72" fontId="4" fillId="0" borderId="0" xfId="0" applyFont="1"/>
    <xf numFmtId="164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72" fontId="4" fillId="0" borderId="0" xfId="0" quotePrefix="1" applyFont="1"/>
    <xf numFmtId="172" fontId="2" fillId="0" borderId="0" xfId="0" quotePrefix="1" applyFont="1"/>
    <xf numFmtId="172" fontId="7" fillId="0" borderId="0" xfId="0" applyFont="1"/>
    <xf numFmtId="165" fontId="2" fillId="0" borderId="0" xfId="1" applyNumberFormat="1" applyFont="1"/>
    <xf numFmtId="0" fontId="9" fillId="0" borderId="0" xfId="2" applyFont="1"/>
    <xf numFmtId="172" fontId="9" fillId="0" borderId="0" xfId="0" applyFont="1"/>
    <xf numFmtId="0" fontId="8" fillId="0" borderId="0" xfId="2" applyFont="1" applyAlignment="1">
      <alignment horizontal="right"/>
    </xf>
    <xf numFmtId="0" fontId="8" fillId="2" borderId="0" xfId="2" applyFont="1" applyFill="1"/>
    <xf numFmtId="0" fontId="9" fillId="0" borderId="0" xfId="2" applyFont="1" applyAlignment="1">
      <alignment horizontal="left"/>
    </xf>
    <xf numFmtId="17" fontId="8" fillId="0" borderId="0" xfId="2" applyNumberFormat="1" applyFont="1" applyAlignment="1">
      <alignment horizontal="right"/>
    </xf>
    <xf numFmtId="172" fontId="15" fillId="0" borderId="0" xfId="10"/>
    <xf numFmtId="172" fontId="22" fillId="0" borderId="0" xfId="0" applyFont="1" applyAlignment="1">
      <alignment horizontal="center"/>
    </xf>
    <xf numFmtId="0" fontId="11" fillId="5" borderId="0" xfId="14" applyFont="1" applyFill="1" applyAlignment="1">
      <alignment horizontal="center"/>
    </xf>
    <xf numFmtId="172" fontId="23" fillId="0" borderId="0" xfId="0" applyFont="1"/>
    <xf numFmtId="172" fontId="24" fillId="0" borderId="0" xfId="0" applyFont="1"/>
    <xf numFmtId="172" fontId="25" fillId="0" borderId="0" xfId="0" applyFont="1"/>
    <xf numFmtId="172" fontId="0" fillId="0" borderId="3" xfId="0" applyBorder="1"/>
    <xf numFmtId="170" fontId="0" fillId="0" borderId="0" xfId="1" applyFont="1"/>
    <xf numFmtId="172" fontId="13" fillId="0" borderId="0" xfId="7" applyNumberFormat="1" applyFill="1" applyBorder="1"/>
    <xf numFmtId="172" fontId="0" fillId="5" borderId="0" xfId="0" applyFill="1"/>
    <xf numFmtId="172" fontId="10" fillId="0" borderId="0" xfId="0" applyFont="1"/>
    <xf numFmtId="172" fontId="24" fillId="0" borderId="0" xfId="0" applyFont="1" applyAlignment="1">
      <alignment horizontal="center"/>
    </xf>
    <xf numFmtId="172" fontId="24" fillId="0" borderId="0" xfId="0" quotePrefix="1" applyFont="1" applyAlignment="1">
      <alignment horizontal="center"/>
    </xf>
    <xf numFmtId="170" fontId="13" fillId="0" borderId="0" xfId="7" applyFill="1" applyBorder="1"/>
    <xf numFmtId="170" fontId="0" fillId="0" borderId="0" xfId="1" applyFont="1" applyBorder="1"/>
    <xf numFmtId="172" fontId="0" fillId="0" borderId="0" xfId="0" applyAlignment="1">
      <alignment horizontal="left" indent="1"/>
    </xf>
    <xf numFmtId="170" fontId="10" fillId="0" borderId="0" xfId="1" applyFont="1" applyBorder="1"/>
    <xf numFmtId="172" fontId="24" fillId="0" borderId="4" xfId="0" applyFont="1" applyBorder="1"/>
    <xf numFmtId="172" fontId="0" fillId="0" borderId="5" xfId="0" applyBorder="1"/>
    <xf numFmtId="172" fontId="0" fillId="0" borderId="6" xfId="0" applyBorder="1"/>
    <xf numFmtId="172" fontId="0" fillId="0" borderId="7" xfId="0" applyBorder="1"/>
    <xf numFmtId="170" fontId="0" fillId="0" borderId="7" xfId="1" applyFont="1" applyBorder="1"/>
    <xf numFmtId="172" fontId="24" fillId="0" borderId="6" xfId="0" applyFont="1" applyBorder="1"/>
    <xf numFmtId="172" fontId="0" fillId="0" borderId="6" xfId="0" applyBorder="1" applyAlignment="1">
      <alignment horizontal="left" indent="1"/>
    </xf>
    <xf numFmtId="170" fontId="13" fillId="0" borderId="7" xfId="7" applyFill="1" applyBorder="1"/>
    <xf numFmtId="172" fontId="0" fillId="0" borderId="8" xfId="0" applyBorder="1"/>
    <xf numFmtId="172" fontId="0" fillId="0" borderId="9" xfId="0" applyBorder="1"/>
    <xf numFmtId="170" fontId="13" fillId="0" borderId="9" xfId="7" applyFill="1" applyBorder="1"/>
    <xf numFmtId="170" fontId="13" fillId="0" borderId="10" xfId="7" applyFill="1" applyBorder="1"/>
    <xf numFmtId="172" fontId="10" fillId="0" borderId="3" xfId="0" applyFont="1" applyBorder="1"/>
    <xf numFmtId="170" fontId="18" fillId="0" borderId="9" xfId="1" applyFont="1" applyBorder="1"/>
    <xf numFmtId="170" fontId="0" fillId="0" borderId="9" xfId="1" applyFont="1" applyBorder="1"/>
    <xf numFmtId="172" fontId="0" fillId="0" borderId="10" xfId="0" applyBorder="1"/>
    <xf numFmtId="172" fontId="24" fillId="0" borderId="8" xfId="0" applyFont="1" applyBorder="1"/>
    <xf numFmtId="173" fontId="13" fillId="0" borderId="0" xfId="7" applyNumberFormat="1" applyFill="1" applyBorder="1"/>
    <xf numFmtId="172" fontId="24" fillId="0" borderId="3" xfId="0" applyFont="1" applyBorder="1"/>
    <xf numFmtId="0" fontId="13" fillId="0" borderId="0" xfId="7" applyNumberFormat="1" applyFill="1" applyBorder="1"/>
    <xf numFmtId="172" fontId="0" fillId="0" borderId="11" xfId="0" applyBorder="1"/>
    <xf numFmtId="172" fontId="17" fillId="4" borderId="1" xfId="12"/>
    <xf numFmtId="172" fontId="10" fillId="0" borderId="0" xfId="10" applyFont="1"/>
    <xf numFmtId="173" fontId="12" fillId="0" borderId="0" xfId="13"/>
    <xf numFmtId="170" fontId="28" fillId="0" borderId="0" xfId="1" applyFont="1"/>
    <xf numFmtId="172" fontId="0" fillId="0" borderId="0" xfId="0" applyAlignment="1">
      <alignment horizontal="centerContinuous"/>
    </xf>
    <xf numFmtId="172" fontId="24" fillId="0" borderId="0" xfId="0" applyFont="1" applyAlignment="1">
      <alignment horizontal="centerContinuous"/>
    </xf>
    <xf numFmtId="170" fontId="0" fillId="0" borderId="6" xfId="1" applyFont="1" applyBorder="1"/>
    <xf numFmtId="170" fontId="0" fillId="0" borderId="3" xfId="1" applyFont="1" applyBorder="1"/>
    <xf numFmtId="170" fontId="0" fillId="0" borderId="4" xfId="1" applyFont="1" applyBorder="1"/>
    <xf numFmtId="173" fontId="29" fillId="0" borderId="0" xfId="13" applyFont="1"/>
    <xf numFmtId="166" fontId="30" fillId="0" borderId="0" xfId="2" applyNumberFormat="1" applyFont="1"/>
    <xf numFmtId="166" fontId="30" fillId="0" borderId="0" xfId="0" applyNumberFormat="1" applyFont="1"/>
    <xf numFmtId="0" fontId="30" fillId="0" borderId="0" xfId="2" applyFont="1"/>
    <xf numFmtId="164" fontId="30" fillId="0" borderId="0" xfId="2" applyNumberFormat="1" applyFont="1"/>
    <xf numFmtId="170" fontId="30" fillId="0" borderId="0" xfId="1" applyFont="1" applyFill="1" applyBorder="1"/>
    <xf numFmtId="172" fontId="30" fillId="0" borderId="0" xfId="0" applyFont="1"/>
    <xf numFmtId="164" fontId="30" fillId="0" borderId="0" xfId="2" applyNumberFormat="1" applyFont="1" applyAlignment="1">
      <alignment horizontal="right"/>
    </xf>
    <xf numFmtId="165" fontId="30" fillId="0" borderId="0" xfId="1" applyNumberFormat="1" applyFont="1" applyAlignment="1">
      <alignment horizontal="right"/>
    </xf>
    <xf numFmtId="165" fontId="30" fillId="0" borderId="0" xfId="1" applyNumberFormat="1" applyFont="1" applyFill="1" applyBorder="1"/>
    <xf numFmtId="165" fontId="30" fillId="0" borderId="0" xfId="1" applyNumberFormat="1" applyFont="1"/>
    <xf numFmtId="167" fontId="30" fillId="0" borderId="0" xfId="3" applyNumberFormat="1" applyFont="1" applyAlignment="1">
      <alignment vertical="center"/>
    </xf>
    <xf numFmtId="168" fontId="30" fillId="0" borderId="0" xfId="0" applyNumberFormat="1" applyFont="1"/>
    <xf numFmtId="167" fontId="30" fillId="0" borderId="0" xfId="0" applyNumberFormat="1" applyFont="1"/>
    <xf numFmtId="164" fontId="30" fillId="0" borderId="0" xfId="0" applyNumberFormat="1" applyFont="1"/>
    <xf numFmtId="172" fontId="31" fillId="0" borderId="0" xfId="0" applyFont="1"/>
  </cellXfs>
  <cellStyles count="20">
    <cellStyle name="Blank" xfId="6" xr:uid="{843615D3-807C-449A-AA21-A80FCC9572A7}"/>
    <cellStyle name="Blue" xfId="7" xr:uid="{ED9B6BE3-40E7-49BD-9CCE-75C1B99BFF6B}"/>
    <cellStyle name="Data" xfId="8" xr:uid="{76E0F837-B33B-4F07-B360-7076EC967DAA}"/>
    <cellStyle name="Date" xfId="9" xr:uid="{319E5132-3E5F-4DEE-B119-DCF7C7D6A209}"/>
    <cellStyle name="Diff Tab" xfId="10" xr:uid="{74C7A392-5EBA-4BEF-9841-7540F6934F38}"/>
    <cellStyle name="Hyperlink 2" xfId="11" xr:uid="{C79BA9A6-C4E4-408E-A4D8-B39FFFE40150}"/>
    <cellStyle name="I" xfId="12" xr:uid="{311D7BBD-AA0C-4ABB-9409-90CB3288EC51}"/>
    <cellStyle name="Multiple" xfId="13" xr:uid="{73667353-A79E-4AF9-B731-6F27B3B3FE5D}"/>
    <cellStyle name="Normal" xfId="0" builtinId="0" customBuiltin="1"/>
    <cellStyle name="Normal 12 4 2 2 3" xfId="2" xr:uid="{21EDAAD2-3F5A-4714-8226-CD6E6D70812D}"/>
    <cellStyle name="Normal 2" xfId="14" xr:uid="{EDF5A539-4AE4-4C25-8FEA-05F9F2606AFD}"/>
    <cellStyle name="Normal 9" xfId="3" xr:uid="{36E43B1C-29A9-4533-8AAF-C5865E13A9FE}"/>
    <cellStyle name="Normal 9 2" xfId="5" xr:uid="{F80B27AC-8F6B-49FE-99C5-2D6EA248D302}"/>
    <cellStyle name="Percent" xfId="1" builtinId="5" customBuiltin="1"/>
    <cellStyle name="Percent 2" xfId="4" xr:uid="{BDEB10D1-568C-4BF4-8336-F86230A9B9C6}"/>
    <cellStyle name="Source Superscript" xfId="15" xr:uid="{966A4F2D-0BF5-4723-9B88-CF86E1A2C068}"/>
    <cellStyle name="Source Text" xfId="16" xr:uid="{1A29AED4-D441-4F9C-9A04-6C636652438D}"/>
    <cellStyle name="Year Actual" xfId="17" xr:uid="{C61A1E10-8550-4514-9627-3036799BBC51}"/>
    <cellStyle name="Year Estimate" xfId="18" xr:uid="{F85B5EFE-1E22-4275-B932-C004AF51DE2D}"/>
    <cellStyle name="Year Forecast" xfId="19" xr:uid="{62C913BF-2FED-4869-9AFF-4005FD5FB48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B1DB-739A-4356-8191-1DE30A29EDD9}">
  <dimension ref="C2:H84"/>
  <sheetViews>
    <sheetView showGridLines="0" topLeftCell="A11" zoomScale="115" zoomScaleNormal="115" workbookViewId="0">
      <selection activeCell="C55" sqref="C55"/>
    </sheetView>
  </sheetViews>
  <sheetFormatPr defaultColWidth="9.28515625" defaultRowHeight="11.25" x14ac:dyDescent="0.2"/>
  <cols>
    <col min="1" max="2" width="9.28515625" style="1"/>
    <col min="3" max="3" width="39.28515625" style="1" customWidth="1"/>
    <col min="4" max="7" width="9.5703125" style="1" customWidth="1"/>
    <col min="8" max="8" width="14.42578125" style="1" customWidth="1"/>
    <col min="9" max="16384" width="9.28515625" style="1"/>
  </cols>
  <sheetData>
    <row r="2" spans="3:7" x14ac:dyDescent="0.2">
      <c r="C2" s="19" t="s">
        <v>8</v>
      </c>
      <c r="D2" s="11"/>
      <c r="E2" s="11"/>
      <c r="F2" s="11"/>
      <c r="G2" s="11"/>
    </row>
    <row r="3" spans="3:7" x14ac:dyDescent="0.2">
      <c r="C3" s="4" t="s">
        <v>16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2">
      <c r="C4" s="4"/>
      <c r="D4" s="18" t="s">
        <v>44</v>
      </c>
      <c r="E4" s="18" t="s">
        <v>44</v>
      </c>
      <c r="F4" s="18" t="s">
        <v>45</v>
      </c>
      <c r="G4" s="18" t="s">
        <v>45</v>
      </c>
    </row>
    <row r="5" spans="3:7" x14ac:dyDescent="0.2">
      <c r="C5" s="16" t="s">
        <v>36</v>
      </c>
      <c r="D5" s="3"/>
      <c r="E5" s="3"/>
      <c r="F5" s="3"/>
      <c r="G5" s="3"/>
    </row>
    <row r="6" spans="3:7" x14ac:dyDescent="0.2">
      <c r="C6" s="3" t="s">
        <v>6</v>
      </c>
      <c r="D6" s="70">
        <v>31.5</v>
      </c>
      <c r="E6" s="70">
        <v>32.4</v>
      </c>
      <c r="F6" s="70">
        <v>37.299999999999997</v>
      </c>
      <c r="G6" s="70">
        <v>53.946401200510607</v>
      </c>
    </row>
    <row r="7" spans="3:7" x14ac:dyDescent="0.2">
      <c r="C7" s="3" t="s">
        <v>7</v>
      </c>
      <c r="D7" s="70">
        <v>31</v>
      </c>
      <c r="E7" s="70">
        <v>32.9</v>
      </c>
      <c r="F7" s="70">
        <v>38.9</v>
      </c>
      <c r="G7" s="70">
        <v>42.650782947560735</v>
      </c>
    </row>
    <row r="8" spans="3:7" x14ac:dyDescent="0.2">
      <c r="C8" s="3" t="s">
        <v>9</v>
      </c>
      <c r="D8" s="70">
        <v>18.599999999999998</v>
      </c>
      <c r="E8" s="70">
        <v>22.8</v>
      </c>
      <c r="F8" s="70">
        <v>28.299999999999997</v>
      </c>
      <c r="G8" s="70">
        <v>32.533501129463197</v>
      </c>
    </row>
    <row r="9" spans="3:7" x14ac:dyDescent="0.2">
      <c r="C9" s="3" t="s">
        <v>10</v>
      </c>
      <c r="D9" s="70">
        <v>62.8</v>
      </c>
      <c r="E9" s="70">
        <v>57.9</v>
      </c>
      <c r="F9" s="70">
        <v>42.6</v>
      </c>
      <c r="G9" s="70">
        <v>36.20233875574327</v>
      </c>
    </row>
    <row r="10" spans="3:7" x14ac:dyDescent="0.2">
      <c r="C10" s="9" t="s">
        <v>0</v>
      </c>
      <c r="D10" s="70">
        <v>143.9</v>
      </c>
      <c r="E10" s="70">
        <v>146.00000000000003</v>
      </c>
      <c r="F10" s="70">
        <v>147.1</v>
      </c>
      <c r="G10" s="70">
        <v>165.33302403327778</v>
      </c>
    </row>
    <row r="11" spans="3:7" x14ac:dyDescent="0.2">
      <c r="C11" s="6"/>
      <c r="D11" s="71"/>
      <c r="E11" s="71"/>
      <c r="F11" s="71"/>
      <c r="G11" s="71"/>
    </row>
    <row r="12" spans="3:7" x14ac:dyDescent="0.2">
      <c r="C12" s="16" t="s">
        <v>11</v>
      </c>
      <c r="D12" s="72"/>
      <c r="E12" s="72"/>
      <c r="F12" s="72"/>
      <c r="G12" s="72"/>
    </row>
    <row r="13" spans="3:7" x14ac:dyDescent="0.2">
      <c r="C13" s="3" t="s">
        <v>6</v>
      </c>
      <c r="D13" s="73">
        <v>9.5</v>
      </c>
      <c r="E13" s="73">
        <v>9.1999999999999993</v>
      </c>
      <c r="F13" s="73">
        <v>11.2</v>
      </c>
      <c r="G13" s="73">
        <v>15.564811259537079</v>
      </c>
    </row>
    <row r="14" spans="3:7" x14ac:dyDescent="0.2">
      <c r="C14" s="3" t="s">
        <v>7</v>
      </c>
      <c r="D14" s="73">
        <v>11.1</v>
      </c>
      <c r="E14" s="73">
        <v>10.3</v>
      </c>
      <c r="F14" s="73">
        <v>14.4</v>
      </c>
      <c r="G14" s="73">
        <v>15.213229702279836</v>
      </c>
    </row>
    <row r="15" spans="3:7" x14ac:dyDescent="0.2">
      <c r="C15" s="3" t="s">
        <v>9</v>
      </c>
      <c r="D15" s="73">
        <v>4</v>
      </c>
      <c r="E15" s="73">
        <v>3.8</v>
      </c>
      <c r="F15" s="73">
        <v>5.4</v>
      </c>
      <c r="G15" s="73">
        <v>6.918528094937475</v>
      </c>
    </row>
    <row r="16" spans="3:7" x14ac:dyDescent="0.2">
      <c r="C16" s="3" t="s">
        <v>10</v>
      </c>
      <c r="D16" s="73">
        <v>16</v>
      </c>
      <c r="E16" s="73">
        <v>15.599999999999998</v>
      </c>
      <c r="F16" s="73">
        <v>15.000000000000002</v>
      </c>
      <c r="G16" s="73">
        <v>14.528396874438059</v>
      </c>
    </row>
    <row r="17" spans="3:8" x14ac:dyDescent="0.2">
      <c r="C17" s="9" t="s">
        <v>17</v>
      </c>
      <c r="D17" s="73">
        <v>40.6</v>
      </c>
      <c r="E17" s="73">
        <v>38.9</v>
      </c>
      <c r="F17" s="73">
        <v>46</v>
      </c>
      <c r="G17" s="73">
        <v>52.224965931192436</v>
      </c>
    </row>
    <row r="18" spans="3:8" x14ac:dyDescent="0.2">
      <c r="C18" s="6"/>
      <c r="D18" s="74"/>
      <c r="E18" s="74"/>
      <c r="F18" s="74"/>
      <c r="G18" s="74"/>
    </row>
    <row r="19" spans="3:8" x14ac:dyDescent="0.2">
      <c r="C19" s="17" t="s">
        <v>37</v>
      </c>
      <c r="D19" s="75"/>
      <c r="E19" s="75"/>
      <c r="F19" s="75"/>
      <c r="G19" s="75"/>
    </row>
    <row r="20" spans="3:8" x14ac:dyDescent="0.2">
      <c r="C20" s="3" t="s">
        <v>12</v>
      </c>
      <c r="D20" s="73">
        <v>-23.77416152</v>
      </c>
      <c r="E20" s="73">
        <v>-24.428558209999998</v>
      </c>
      <c r="F20" s="73">
        <v>-25.728552310000005</v>
      </c>
      <c r="G20" s="73">
        <v>-26.453283845324446</v>
      </c>
    </row>
    <row r="21" spans="3:8" x14ac:dyDescent="0.2">
      <c r="C21" s="3" t="s">
        <v>13</v>
      </c>
      <c r="D21" s="73">
        <v>-11.355504070000002</v>
      </c>
      <c r="E21" s="73">
        <v>-9.1910144199999984</v>
      </c>
      <c r="F21" s="73">
        <v>-9.1900621000000005</v>
      </c>
      <c r="G21" s="73">
        <v>-9.3418151038012862</v>
      </c>
    </row>
    <row r="22" spans="3:8" x14ac:dyDescent="0.2">
      <c r="C22" s="3" t="s">
        <v>14</v>
      </c>
      <c r="D22" s="73">
        <v>1.9575444100000019</v>
      </c>
      <c r="E22" s="73">
        <v>1.9168257800000013</v>
      </c>
      <c r="F22" s="73">
        <v>1.9825991500000009</v>
      </c>
      <c r="G22" s="73">
        <v>2.1493293124326112</v>
      </c>
    </row>
    <row r="23" spans="3:8" x14ac:dyDescent="0.2">
      <c r="C23" s="3" t="s">
        <v>38</v>
      </c>
      <c r="D23" s="73">
        <v>-33.172121179999998</v>
      </c>
      <c r="E23" s="73">
        <v>-31.702746849999993</v>
      </c>
      <c r="F23" s="73">
        <v>-32.936015260000005</v>
      </c>
      <c r="G23" s="73">
        <v>-33.645769636693117</v>
      </c>
    </row>
    <row r="24" spans="3:8" x14ac:dyDescent="0.2">
      <c r="C24" s="5"/>
      <c r="D24" s="73"/>
      <c r="E24" s="73"/>
      <c r="F24" s="73"/>
      <c r="G24" s="73"/>
    </row>
    <row r="25" spans="3:8" x14ac:dyDescent="0.2">
      <c r="C25" s="9" t="s">
        <v>43</v>
      </c>
      <c r="D25" s="73">
        <v>7.4278788200000037</v>
      </c>
      <c r="E25" s="73">
        <v>7.1972531500000052</v>
      </c>
      <c r="F25" s="73">
        <v>13.063984739999995</v>
      </c>
      <c r="G25" s="73">
        <v>18.579196294499319</v>
      </c>
      <c r="H25" s="2"/>
    </row>
    <row r="26" spans="3:8" x14ac:dyDescent="0.2">
      <c r="C26" s="9"/>
      <c r="D26" s="73">
        <f>+D17+D23</f>
        <v>7.4278788200000037</v>
      </c>
      <c r="E26" s="73">
        <f t="shared" ref="E26:G26" si="0">+E17+E23</f>
        <v>7.1972531500000052</v>
      </c>
      <c r="F26" s="73">
        <f t="shared" si="0"/>
        <v>13.063984739999995</v>
      </c>
      <c r="G26" s="73">
        <f t="shared" si="0"/>
        <v>18.579196294499319</v>
      </c>
    </row>
    <row r="27" spans="3:8" x14ac:dyDescent="0.2">
      <c r="C27" s="20" t="s">
        <v>20</v>
      </c>
      <c r="D27" s="73"/>
      <c r="E27" s="73"/>
      <c r="F27" s="73"/>
      <c r="G27" s="73"/>
    </row>
    <row r="28" spans="3:8" x14ac:dyDescent="0.2">
      <c r="C28" s="3" t="s">
        <v>15</v>
      </c>
      <c r="D28" s="73">
        <v>-3.2109358799999996</v>
      </c>
      <c r="E28" s="73">
        <v>-2.9779364400000001</v>
      </c>
      <c r="F28" s="73">
        <v>-5.5279112000000001</v>
      </c>
      <c r="G28" s="73">
        <v>-4.3133125165505914</v>
      </c>
    </row>
    <row r="29" spans="3:8" x14ac:dyDescent="0.2">
      <c r="C29" s="3" t="s">
        <v>19</v>
      </c>
      <c r="D29" s="73">
        <v>-2</v>
      </c>
      <c r="E29" s="73">
        <v>-2.7</v>
      </c>
      <c r="F29" s="73">
        <v>-2.8</v>
      </c>
      <c r="G29" s="73">
        <v>-3.1403289647901</v>
      </c>
    </row>
    <row r="30" spans="3:8" x14ac:dyDescent="0.2">
      <c r="C30" s="3" t="s">
        <v>50</v>
      </c>
      <c r="D30" s="76" t="s">
        <v>18</v>
      </c>
      <c r="E30" s="76" t="s">
        <v>18</v>
      </c>
      <c r="F30" s="73">
        <v>-1.4</v>
      </c>
      <c r="G30" s="73">
        <v>-1.5701644823950482</v>
      </c>
    </row>
    <row r="31" spans="3:8" x14ac:dyDescent="0.2">
      <c r="C31" s="3" t="s">
        <v>49</v>
      </c>
      <c r="D31" s="76" t="s">
        <v>18</v>
      </c>
      <c r="E31" s="76">
        <v>-1</v>
      </c>
      <c r="F31" s="73">
        <v>-1.4</v>
      </c>
      <c r="G31" s="73">
        <v>-1.4</v>
      </c>
    </row>
    <row r="32" spans="3:8" x14ac:dyDescent="0.2">
      <c r="C32" s="3" t="s">
        <v>42</v>
      </c>
      <c r="D32" s="76" t="s">
        <v>18</v>
      </c>
      <c r="E32" s="76">
        <v>-1.4432410605000001</v>
      </c>
      <c r="F32" s="73">
        <v>-1.7267365250000002</v>
      </c>
      <c r="G32" s="73">
        <v>-1.9366145442923213</v>
      </c>
    </row>
    <row r="33" spans="3:8" x14ac:dyDescent="0.2">
      <c r="C33" s="3"/>
      <c r="D33" s="76"/>
      <c r="E33" s="76"/>
      <c r="F33" s="73"/>
      <c r="G33" s="73"/>
    </row>
    <row r="34" spans="3:8" x14ac:dyDescent="0.2">
      <c r="C34" s="20" t="s">
        <v>56</v>
      </c>
      <c r="D34" s="75"/>
      <c r="E34" s="75"/>
      <c r="F34" s="75"/>
      <c r="G34" s="75"/>
    </row>
    <row r="35" spans="3:8" x14ac:dyDescent="0.2">
      <c r="C35" s="6" t="s">
        <v>0</v>
      </c>
      <c r="D35" s="77" t="s">
        <v>18</v>
      </c>
      <c r="E35" s="78">
        <f>+E10/D10-1</f>
        <v>1.4593467685893202E-2</v>
      </c>
      <c r="F35" s="78">
        <f>+F10/E10-1</f>
        <v>7.534246575342296E-3</v>
      </c>
      <c r="G35" s="78">
        <f>+G10/F10-1</f>
        <v>0.12394985746619835</v>
      </c>
    </row>
    <row r="36" spans="3:8" x14ac:dyDescent="0.2">
      <c r="C36" s="6" t="s">
        <v>17</v>
      </c>
      <c r="D36" s="77"/>
      <c r="E36" s="78">
        <f>E17/D17-1</f>
        <v>-4.1871921182266125E-2</v>
      </c>
      <c r="F36" s="78">
        <f t="shared" ref="F36:G36" si="1">F17/E17-1</f>
        <v>0.18251928020565567</v>
      </c>
      <c r="G36" s="78">
        <f t="shared" si="1"/>
        <v>0.13532534633027038</v>
      </c>
    </row>
    <row r="37" spans="3:8" x14ac:dyDescent="0.2">
      <c r="C37" s="6" t="s">
        <v>38</v>
      </c>
      <c r="D37" s="77"/>
      <c r="E37" s="78">
        <f>E23/D23-1</f>
        <v>-4.4295458889313188E-2</v>
      </c>
      <c r="F37" s="78">
        <f t="shared" ref="F37:G37" si="2">F23/E23-1</f>
        <v>3.8900995419581808E-2</v>
      </c>
      <c r="G37" s="78">
        <f t="shared" si="2"/>
        <v>2.154949137259754E-2</v>
      </c>
    </row>
    <row r="38" spans="3:8" x14ac:dyDescent="0.2">
      <c r="C38" s="6" t="s">
        <v>43</v>
      </c>
      <c r="D38" s="78"/>
      <c r="E38" s="78">
        <f>E25/D25-1</f>
        <v>-3.1048658114753436E-2</v>
      </c>
      <c r="F38" s="78">
        <f t="shared" ref="F38:G38" si="3">F25/E25-1</f>
        <v>0.81513481153570178</v>
      </c>
      <c r="G38" s="78">
        <f t="shared" si="3"/>
        <v>0.42216916693208928</v>
      </c>
    </row>
    <row r="39" spans="3:8" x14ac:dyDescent="0.2">
      <c r="C39" s="6"/>
      <c r="D39" s="77"/>
      <c r="E39" s="78"/>
      <c r="F39" s="78"/>
      <c r="G39" s="78"/>
    </row>
    <row r="40" spans="3:8" x14ac:dyDescent="0.2">
      <c r="C40" s="17" t="s">
        <v>57</v>
      </c>
      <c r="D40" s="77"/>
      <c r="E40" s="78"/>
      <c r="F40" s="78"/>
      <c r="G40" s="78"/>
    </row>
    <row r="41" spans="3:8" x14ac:dyDescent="0.2">
      <c r="C41" s="6" t="s">
        <v>17</v>
      </c>
      <c r="D41" s="78">
        <f>+D17/D10</f>
        <v>0.28214037526059765</v>
      </c>
      <c r="E41" s="78">
        <f>+E17/E10</f>
        <v>0.26643835616438349</v>
      </c>
      <c r="F41" s="78">
        <f>+F17/F10</f>
        <v>0.31271244051665537</v>
      </c>
      <c r="G41" s="78">
        <f>+G17/G10</f>
        <v>0.31587740100054507</v>
      </c>
    </row>
    <row r="42" spans="3:8" x14ac:dyDescent="0.2">
      <c r="C42" s="6" t="s">
        <v>38</v>
      </c>
      <c r="D42" s="78">
        <f>D23/D10</f>
        <v>-0.23052203738707433</v>
      </c>
      <c r="E42" s="78">
        <f>E23/E10</f>
        <v>-0.21714210171232867</v>
      </c>
      <c r="F42" s="78">
        <f>F23/F10</f>
        <v>-0.22390221114887834</v>
      </c>
      <c r="G42" s="78">
        <f>G23/G10</f>
        <v>-0.20350301963823628</v>
      </c>
    </row>
    <row r="43" spans="3:8" x14ac:dyDescent="0.2">
      <c r="C43" s="6" t="s">
        <v>43</v>
      </c>
      <c r="D43" s="79">
        <f>D25/D10</f>
        <v>5.1618337873523303E-2</v>
      </c>
      <c r="E43" s="79">
        <f>E25/E10</f>
        <v>4.9296254452054822E-2</v>
      </c>
      <c r="F43" s="79">
        <f>F25/F10</f>
        <v>8.8810229367776994E-2</v>
      </c>
      <c r="G43" s="79">
        <f>G25/G10</f>
        <v>0.11237438136230878</v>
      </c>
    </row>
    <row r="44" spans="3:8" x14ac:dyDescent="0.2">
      <c r="C44" s="6"/>
      <c r="D44" s="15"/>
      <c r="E44" s="15"/>
      <c r="F44" s="15"/>
      <c r="G44" s="15"/>
    </row>
    <row r="45" spans="3:8" x14ac:dyDescent="0.2">
      <c r="C45" s="19" t="s">
        <v>31</v>
      </c>
      <c r="D45" s="11"/>
      <c r="E45" s="11"/>
      <c r="F45" s="11"/>
      <c r="G45" s="11"/>
    </row>
    <row r="46" spans="3:8" x14ac:dyDescent="0.2">
      <c r="C46" s="4" t="s">
        <v>1</v>
      </c>
      <c r="D46" s="8"/>
      <c r="E46" s="21" t="str">
        <f>E3</f>
        <v>2018A</v>
      </c>
      <c r="F46" s="21" t="str">
        <f t="shared" ref="F46:G46" si="4">F3</f>
        <v>2019A</v>
      </c>
      <c r="G46" s="21" t="str">
        <f t="shared" si="4"/>
        <v>2020E</v>
      </c>
    </row>
    <row r="47" spans="3:8" x14ac:dyDescent="0.2">
      <c r="C47" s="16" t="s">
        <v>39</v>
      </c>
      <c r="D47" s="8"/>
      <c r="E47" s="10"/>
      <c r="F47" s="10"/>
      <c r="G47" s="10"/>
    </row>
    <row r="48" spans="3:8" x14ac:dyDescent="0.2">
      <c r="C48" s="3" t="s">
        <v>48</v>
      </c>
      <c r="D48" s="75"/>
      <c r="E48" s="80">
        <v>3.0813374599999999</v>
      </c>
      <c r="F48" s="80">
        <v>7.1965906900000007</v>
      </c>
      <c r="G48" s="80">
        <v>7.4236071382395048</v>
      </c>
      <c r="H48" s="75"/>
    </row>
    <row r="49" spans="3:8" x14ac:dyDescent="0.2">
      <c r="C49" s="3" t="s">
        <v>32</v>
      </c>
      <c r="D49" s="75"/>
      <c r="E49" s="80">
        <v>44.430985339999999</v>
      </c>
      <c r="F49" s="80">
        <v>46.330678079999998</v>
      </c>
      <c r="G49" s="80">
        <v>46.330678079999998</v>
      </c>
      <c r="H49" s="75"/>
    </row>
    <row r="50" spans="3:8" x14ac:dyDescent="0.2">
      <c r="C50" s="3" t="s">
        <v>21</v>
      </c>
      <c r="D50" s="75"/>
      <c r="E50" s="80">
        <v>5.5237091999999999</v>
      </c>
      <c r="F50" s="80">
        <v>7.4368546900000005</v>
      </c>
      <c r="G50" s="80">
        <v>8.3340341610917132</v>
      </c>
      <c r="H50" s="75"/>
    </row>
    <row r="51" spans="3:8" x14ac:dyDescent="0.2">
      <c r="C51" s="3" t="s">
        <v>22</v>
      </c>
      <c r="D51" s="75"/>
      <c r="E51" s="80">
        <v>4.89567014</v>
      </c>
      <c r="F51" s="80">
        <v>1.2501710800000001</v>
      </c>
      <c r="G51" s="80">
        <v>0.95922502125845654</v>
      </c>
      <c r="H51" s="75"/>
    </row>
    <row r="52" spans="3:8" x14ac:dyDescent="0.2">
      <c r="C52" s="3" t="s">
        <v>23</v>
      </c>
      <c r="D52" s="75"/>
      <c r="E52" s="80">
        <v>14.432410605000001</v>
      </c>
      <c r="F52" s="80">
        <v>17.267365250000001</v>
      </c>
      <c r="G52" s="80">
        <v>19.366145442923212</v>
      </c>
      <c r="H52" s="75"/>
    </row>
    <row r="53" spans="3:8" x14ac:dyDescent="0.2">
      <c r="C53" s="3" t="s">
        <v>53</v>
      </c>
      <c r="D53" s="75"/>
      <c r="E53" s="80">
        <v>1.4432410605000001</v>
      </c>
      <c r="F53" s="80">
        <v>1.7267365249999997</v>
      </c>
      <c r="G53" s="80">
        <v>1.9366145442923202</v>
      </c>
      <c r="H53" s="75"/>
    </row>
    <row r="54" spans="3:8" x14ac:dyDescent="0.2">
      <c r="C54" s="3" t="s">
        <v>33</v>
      </c>
      <c r="D54" s="75"/>
      <c r="E54" s="80">
        <v>17.410772784000002</v>
      </c>
      <c r="F54" s="80">
        <v>21.633166320000001</v>
      </c>
      <c r="G54" s="80">
        <v>25.892916354338567</v>
      </c>
      <c r="H54" s="75"/>
    </row>
    <row r="55" spans="3:8" x14ac:dyDescent="0.2">
      <c r="C55" s="3" t="s">
        <v>24</v>
      </c>
      <c r="D55" s="75"/>
      <c r="E55" s="80">
        <v>2.4459022300000002</v>
      </c>
      <c r="F55" s="80">
        <v>0.61386156999999997</v>
      </c>
      <c r="G55" s="80">
        <v>0.68847402451518691</v>
      </c>
      <c r="H55" s="75"/>
    </row>
    <row r="56" spans="3:8" x14ac:dyDescent="0.2">
      <c r="C56" s="3" t="s">
        <v>25</v>
      </c>
      <c r="D56" s="75"/>
      <c r="E56" s="80">
        <v>1.9192557800000001</v>
      </c>
      <c r="F56" s="80">
        <v>1.75254797</v>
      </c>
      <c r="G56" s="80">
        <v>1.9655632687053874</v>
      </c>
      <c r="H56" s="75"/>
    </row>
    <row r="57" spans="3:8" x14ac:dyDescent="0.2">
      <c r="C57" s="3" t="s">
        <v>58</v>
      </c>
      <c r="D57" s="75"/>
      <c r="E57" s="80">
        <v>95.583284599500004</v>
      </c>
      <c r="F57" s="80">
        <v>105.20797217499998</v>
      </c>
      <c r="G57" s="80">
        <v>112.89725803536435</v>
      </c>
      <c r="H57" s="75"/>
    </row>
    <row r="58" spans="3:8" x14ac:dyDescent="0.2">
      <c r="C58" s="5"/>
      <c r="D58" s="75"/>
      <c r="E58" s="80"/>
      <c r="F58" s="80"/>
      <c r="G58" s="80"/>
      <c r="H58" s="75"/>
    </row>
    <row r="59" spans="3:8" x14ac:dyDescent="0.2">
      <c r="C59" s="16" t="s">
        <v>40</v>
      </c>
      <c r="D59" s="75"/>
      <c r="E59" s="75"/>
      <c r="F59" s="75"/>
      <c r="G59" s="75"/>
      <c r="H59" s="75"/>
    </row>
    <row r="60" spans="3:8" x14ac:dyDescent="0.2">
      <c r="C60" s="3" t="s">
        <v>52</v>
      </c>
      <c r="D60" s="75"/>
      <c r="E60" s="80">
        <v>5.8420196600000001</v>
      </c>
      <c r="F60" s="80">
        <v>2.1252234199999998</v>
      </c>
      <c r="G60" s="80">
        <v>4.8344713013588434</v>
      </c>
      <c r="H60" s="75"/>
    </row>
    <row r="61" spans="3:8" x14ac:dyDescent="0.2">
      <c r="C61" s="3" t="s">
        <v>34</v>
      </c>
      <c r="D61" s="75"/>
      <c r="E61" s="80">
        <v>25.364502779999999</v>
      </c>
      <c r="F61" s="80">
        <v>25.882795499999997</v>
      </c>
      <c r="G61" s="80">
        <v>28.133635280010239</v>
      </c>
      <c r="H61" s="81"/>
    </row>
    <row r="62" spans="3:8" x14ac:dyDescent="0.2">
      <c r="C62" s="3" t="s">
        <v>35</v>
      </c>
      <c r="D62" s="75"/>
      <c r="E62" s="80">
        <v>8.6999999999999993</v>
      </c>
      <c r="F62" s="80">
        <v>13.279202510000001</v>
      </c>
      <c r="G62" s="80">
        <v>15.139316780821915</v>
      </c>
      <c r="H62" s="75"/>
    </row>
    <row r="63" spans="3:8" x14ac:dyDescent="0.2">
      <c r="C63" s="3" t="s">
        <v>26</v>
      </c>
      <c r="D63" s="75"/>
      <c r="E63" s="80">
        <v>17.225710390000003</v>
      </c>
      <c r="F63" s="80">
        <v>17.292547590000002</v>
      </c>
      <c r="G63" s="80">
        <v>17.504447156483657</v>
      </c>
      <c r="H63" s="75"/>
    </row>
    <row r="64" spans="3:8" x14ac:dyDescent="0.2">
      <c r="C64" s="3" t="s">
        <v>51</v>
      </c>
      <c r="D64" s="75"/>
      <c r="E64" s="80">
        <v>1.2305627299999999</v>
      </c>
      <c r="F64" s="80">
        <v>1.8583791299999999</v>
      </c>
      <c r="G64" s="80">
        <v>1.8583791299999999</v>
      </c>
      <c r="H64" s="75"/>
    </row>
    <row r="65" spans="3:8" x14ac:dyDescent="0.2">
      <c r="C65" s="3" t="s">
        <v>46</v>
      </c>
      <c r="D65" s="75"/>
      <c r="E65" s="80">
        <v>0</v>
      </c>
      <c r="F65" s="80">
        <v>3.7733252300000002</v>
      </c>
      <c r="G65" s="80">
        <v>3.7733252300000002</v>
      </c>
      <c r="H65" s="75"/>
    </row>
    <row r="66" spans="3:8" x14ac:dyDescent="0.2">
      <c r="C66" s="3" t="s">
        <v>27</v>
      </c>
      <c r="D66" s="75"/>
      <c r="E66" s="80">
        <v>23.503779160000001</v>
      </c>
      <c r="F66" s="80">
        <v>26.8249809</v>
      </c>
      <c r="G66" s="80">
        <v>29.951474245060318</v>
      </c>
      <c r="H66" s="75"/>
    </row>
    <row r="67" spans="3:8" x14ac:dyDescent="0.2">
      <c r="C67" s="3" t="s">
        <v>28</v>
      </c>
      <c r="D67" s="75"/>
      <c r="E67" s="80">
        <v>0.56064376999999999</v>
      </c>
      <c r="F67" s="80">
        <v>0.52455576999999998</v>
      </c>
      <c r="G67" s="80">
        <v>0.58831345649241851</v>
      </c>
      <c r="H67" s="75"/>
    </row>
    <row r="68" spans="3:8" x14ac:dyDescent="0.2">
      <c r="C68" s="3" t="s">
        <v>29</v>
      </c>
      <c r="D68" s="75"/>
      <c r="E68" s="80">
        <v>0.79652328999999999</v>
      </c>
      <c r="F68" s="80">
        <v>1.0315279399999999</v>
      </c>
      <c r="G68" s="80">
        <v>1.1569060957043789</v>
      </c>
      <c r="H68" s="75"/>
    </row>
    <row r="69" spans="3:8" x14ac:dyDescent="0.2">
      <c r="C69" s="3" t="s">
        <v>30</v>
      </c>
      <c r="D69" s="75"/>
      <c r="E69" s="80">
        <v>0.32406812000000002</v>
      </c>
      <c r="F69" s="80">
        <v>1.1894241200000002</v>
      </c>
      <c r="G69" s="80">
        <v>1.3339939340914186</v>
      </c>
      <c r="H69" s="75"/>
    </row>
    <row r="70" spans="3:8" x14ac:dyDescent="0.2">
      <c r="C70" s="3" t="s">
        <v>58</v>
      </c>
      <c r="D70" s="75"/>
      <c r="E70" s="82">
        <v>83.547809900000019</v>
      </c>
      <c r="F70" s="82">
        <v>93.781962110000009</v>
      </c>
      <c r="G70" s="82">
        <v>104.2742626100232</v>
      </c>
      <c r="H70" s="75"/>
    </row>
    <row r="71" spans="3:8" x14ac:dyDescent="0.2">
      <c r="C71" s="3"/>
      <c r="D71" s="75"/>
      <c r="E71" s="82"/>
      <c r="F71" s="82"/>
      <c r="G71" s="82"/>
      <c r="H71" s="75"/>
    </row>
    <row r="72" spans="3:8" x14ac:dyDescent="0.2">
      <c r="C72" s="6" t="s">
        <v>41</v>
      </c>
      <c r="D72" s="75"/>
      <c r="E72" s="83">
        <v>12.035474699499986</v>
      </c>
      <c r="F72" s="83">
        <v>11.426010064999971</v>
      </c>
      <c r="G72" s="83">
        <v>8.6229954253411449</v>
      </c>
      <c r="H72" s="75"/>
    </row>
    <row r="73" spans="3:8" x14ac:dyDescent="0.2">
      <c r="C73" s="6"/>
      <c r="D73" s="6"/>
      <c r="E73" s="7"/>
      <c r="F73" s="7"/>
      <c r="G73" s="7"/>
    </row>
    <row r="74" spans="3:8" x14ac:dyDescent="0.2">
      <c r="C74" s="14" t="s">
        <v>47</v>
      </c>
      <c r="D74" s="6"/>
      <c r="E74" s="6"/>
      <c r="F74" s="6"/>
      <c r="G74" s="6"/>
    </row>
    <row r="75" spans="3:8" x14ac:dyDescent="0.2">
      <c r="C75" s="13" t="s">
        <v>54</v>
      </c>
      <c r="D75" s="6"/>
      <c r="E75" s="6"/>
      <c r="F75" s="6"/>
      <c r="G75" s="6"/>
    </row>
    <row r="76" spans="3:8" x14ac:dyDescent="0.2">
      <c r="C76" s="12" t="s">
        <v>59</v>
      </c>
      <c r="D76" s="6"/>
      <c r="E76" s="6"/>
      <c r="F76" s="6"/>
      <c r="G76" s="6"/>
    </row>
    <row r="77" spans="3:8" x14ac:dyDescent="0.2">
      <c r="C77" s="13" t="s">
        <v>55</v>
      </c>
      <c r="D77" s="6"/>
      <c r="E77" s="6"/>
      <c r="F77" s="6"/>
      <c r="G77" s="6"/>
    </row>
    <row r="79" spans="3:8" x14ac:dyDescent="0.2">
      <c r="E79" s="2"/>
      <c r="F79" s="2"/>
      <c r="G79" s="2"/>
    </row>
    <row r="81" spans="5:7" x14ac:dyDescent="0.2">
      <c r="E81" s="2"/>
      <c r="F81" s="2"/>
      <c r="G81" s="2"/>
    </row>
    <row r="83" spans="5:7" x14ac:dyDescent="0.2">
      <c r="F83" s="2"/>
    </row>
    <row r="84" spans="5:7" x14ac:dyDescent="0.2">
      <c r="F8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E90E-9462-41F1-B45D-4BD6E69DBD3D}">
  <dimension ref="A1:U188"/>
  <sheetViews>
    <sheetView showGridLines="0" tabSelected="1" zoomScale="85" zoomScaleNormal="85" workbookViewId="0">
      <pane xSplit="1" ySplit="2" topLeftCell="B135" activePane="bottomRight" state="frozen"/>
      <selection pane="topRight" activeCell="B1" sqref="B1"/>
      <selection pane="bottomLeft" activeCell="A3" sqref="A3"/>
      <selection pane="bottomRight" activeCell="L164" sqref="L164"/>
    </sheetView>
  </sheetViews>
  <sheetFormatPr defaultColWidth="10.7109375" defaultRowHeight="15" x14ac:dyDescent="0.25"/>
  <cols>
    <col min="1" max="2" width="1.7109375" customWidth="1"/>
    <col min="3" max="3" width="30.7109375" customWidth="1"/>
    <col min="4" max="4" width="10.7109375" customWidth="1"/>
  </cols>
  <sheetData>
    <row r="1" spans="1:21" x14ac:dyDescent="0.25">
      <c r="A1" s="25" t="s">
        <v>62</v>
      </c>
      <c r="D1" s="23" t="s">
        <v>60</v>
      </c>
      <c r="E1" s="23" t="s">
        <v>60</v>
      </c>
      <c r="F1" s="23" t="s">
        <v>60</v>
      </c>
      <c r="G1" s="23" t="s">
        <v>67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79</v>
      </c>
    </row>
    <row r="2" spans="1:21" x14ac:dyDescent="0.25">
      <c r="D2" s="24">
        <v>2017</v>
      </c>
      <c r="E2" s="24">
        <f t="shared" ref="E2:H2" si="1">+D2+1</f>
        <v>2018</v>
      </c>
      <c r="F2" s="24">
        <f t="shared" si="1"/>
        <v>2019</v>
      </c>
      <c r="G2" s="24">
        <f t="shared" si="1"/>
        <v>2020</v>
      </c>
      <c r="H2" s="24">
        <f t="shared" si="1"/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80</v>
      </c>
    </row>
    <row r="4" spans="1:21" x14ac:dyDescent="0.25">
      <c r="A4" t="s">
        <v>61</v>
      </c>
      <c r="B4" s="27" t="s">
        <v>63</v>
      </c>
      <c r="H4" s="22"/>
    </row>
    <row r="5" spans="1:21" x14ac:dyDescent="0.25">
      <c r="C5" s="26" t="s">
        <v>64</v>
      </c>
      <c r="D5" s="26"/>
      <c r="F5" s="26" t="s">
        <v>113</v>
      </c>
      <c r="K5" s="26" t="s">
        <v>126</v>
      </c>
      <c r="O5" s="26" t="s">
        <v>128</v>
      </c>
      <c r="R5" t="s">
        <v>129</v>
      </c>
      <c r="S5" t="s">
        <v>130</v>
      </c>
      <c r="T5" t="s">
        <v>131</v>
      </c>
      <c r="U5" t="s">
        <v>137</v>
      </c>
    </row>
    <row r="6" spans="1:21" x14ac:dyDescent="0.25">
      <c r="C6" t="s">
        <v>105</v>
      </c>
      <c r="D6" s="56">
        <v>12</v>
      </c>
      <c r="F6" t="s">
        <v>115</v>
      </c>
      <c r="I6">
        <f>+R6*$G$92</f>
        <v>0</v>
      </c>
      <c r="K6" t="s">
        <v>125</v>
      </c>
      <c r="M6" s="30">
        <v>20</v>
      </c>
      <c r="O6" t="s">
        <v>115</v>
      </c>
      <c r="R6" s="56">
        <v>0</v>
      </c>
      <c r="S6" s="35">
        <v>0.04</v>
      </c>
      <c r="U6" s="58">
        <v>2027</v>
      </c>
    </row>
    <row r="7" spans="1:21" x14ac:dyDescent="0.25">
      <c r="C7" t="s">
        <v>106</v>
      </c>
      <c r="D7">
        <f>+G92</f>
        <v>18.579196294499326</v>
      </c>
      <c r="F7" t="s">
        <v>114</v>
      </c>
      <c r="I7">
        <f t="shared" ref="I7:I8" si="2">+R7*$G$92</f>
        <v>74.316785177997303</v>
      </c>
      <c r="K7" t="s">
        <v>127</v>
      </c>
      <c r="M7" s="35">
        <v>0.05</v>
      </c>
      <c r="O7" t="s">
        <v>136</v>
      </c>
      <c r="R7" s="56">
        <v>4</v>
      </c>
      <c r="S7" s="35">
        <v>0.06</v>
      </c>
      <c r="U7" s="58">
        <v>2027</v>
      </c>
    </row>
    <row r="8" spans="1:21" x14ac:dyDescent="0.25">
      <c r="C8" s="28" t="s">
        <v>107</v>
      </c>
      <c r="D8" s="28">
        <f>+D7*D6</f>
        <v>222.95035553399191</v>
      </c>
      <c r="F8" t="s">
        <v>116</v>
      </c>
      <c r="I8">
        <f t="shared" si="2"/>
        <v>37.158392588998652</v>
      </c>
      <c r="K8" t="s">
        <v>159</v>
      </c>
      <c r="M8" s="56">
        <v>12</v>
      </c>
      <c r="O8" t="s">
        <v>116</v>
      </c>
      <c r="R8" s="56">
        <v>2</v>
      </c>
      <c r="T8" s="35">
        <v>0.08</v>
      </c>
      <c r="U8" s="58">
        <v>2027</v>
      </c>
    </row>
    <row r="9" spans="1:21" x14ac:dyDescent="0.25">
      <c r="F9" t="s">
        <v>117</v>
      </c>
      <c r="I9">
        <f>+I12-I10-I11-I8-I7-I6</f>
        <v>146.39602077369551</v>
      </c>
    </row>
    <row r="10" spans="1:21" x14ac:dyDescent="0.25">
      <c r="C10" t="s">
        <v>108</v>
      </c>
      <c r="D10">
        <f>+Data!G61+Data!G62</f>
        <v>43.272952060832154</v>
      </c>
      <c r="F10" t="s">
        <v>119</v>
      </c>
      <c r="I10">
        <f>+D12</f>
        <v>3.7733252300000002</v>
      </c>
    </row>
    <row r="11" spans="1:21" x14ac:dyDescent="0.25">
      <c r="C11" t="s">
        <v>109</v>
      </c>
      <c r="D11">
        <f>+Data!G60+Data!G63</f>
        <v>22.3389184578425</v>
      </c>
      <c r="F11" t="s">
        <v>121</v>
      </c>
      <c r="I11">
        <f>+D13</f>
        <v>34.226950515430282</v>
      </c>
      <c r="K11" s="26" t="s">
        <v>154</v>
      </c>
    </row>
    <row r="12" spans="1:21" x14ac:dyDescent="0.25">
      <c r="C12" t="s">
        <v>110</v>
      </c>
      <c r="D12">
        <f>+Data!G65</f>
        <v>3.7733252300000002</v>
      </c>
      <c r="F12" s="57" t="s">
        <v>118</v>
      </c>
      <c r="G12" s="57"/>
      <c r="H12" s="57"/>
      <c r="I12" s="57">
        <f>+I19</f>
        <v>295.87147428612178</v>
      </c>
      <c r="K12" t="s">
        <v>155</v>
      </c>
      <c r="M12" s="60">
        <v>1</v>
      </c>
    </row>
    <row r="13" spans="1:21" x14ac:dyDescent="0.25">
      <c r="C13" t="s">
        <v>111</v>
      </c>
      <c r="D13">
        <f>+Data!G54+Data!G50</f>
        <v>34.226950515430282</v>
      </c>
    </row>
    <row r="14" spans="1:21" x14ac:dyDescent="0.25">
      <c r="C14" s="28" t="s">
        <v>112</v>
      </c>
      <c r="D14" s="28">
        <f>+D8-D10-D11+D12+D13</f>
        <v>195.33876076074753</v>
      </c>
      <c r="F14" t="s">
        <v>112</v>
      </c>
      <c r="I14">
        <f>+D14</f>
        <v>195.33876076074753</v>
      </c>
    </row>
    <row r="15" spans="1:21" x14ac:dyDescent="0.25">
      <c r="F15" t="s">
        <v>122</v>
      </c>
      <c r="I15">
        <f>+D10+D11</f>
        <v>65.61187051867465</v>
      </c>
    </row>
    <row r="16" spans="1:21" x14ac:dyDescent="0.25">
      <c r="F16" t="s">
        <v>120</v>
      </c>
      <c r="I16">
        <f>+D12</f>
        <v>3.7733252300000002</v>
      </c>
    </row>
    <row r="17" spans="1:14" x14ac:dyDescent="0.25">
      <c r="F17" t="s">
        <v>123</v>
      </c>
      <c r="I17">
        <f>+M7*D8</f>
        <v>11.147517776699596</v>
      </c>
    </row>
    <row r="18" spans="1:14" x14ac:dyDescent="0.25">
      <c r="F18" t="s">
        <v>125</v>
      </c>
      <c r="I18">
        <f>+M6</f>
        <v>20</v>
      </c>
    </row>
    <row r="19" spans="1:14" x14ac:dyDescent="0.25">
      <c r="F19" s="57" t="s">
        <v>124</v>
      </c>
      <c r="G19" s="57"/>
      <c r="H19" s="57"/>
      <c r="I19" s="57">
        <f>SUM(I14:I18)</f>
        <v>295.87147428612178</v>
      </c>
    </row>
    <row r="20" spans="1:14" x14ac:dyDescent="0.25">
      <c r="A20" t="s">
        <v>61</v>
      </c>
      <c r="B20" s="27" t="s">
        <v>66</v>
      </c>
    </row>
    <row r="21" spans="1:14" x14ac:dyDescent="0.25">
      <c r="C21" t="s">
        <v>6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>+G21*(1+$N21)</f>
        <v>57.72264928454635</v>
      </c>
      <c r="I21">
        <f t="shared" ref="I21:L21" si="3">+H21*(1+$N21)</f>
        <v>61.763234734464596</v>
      </c>
      <c r="J21">
        <f t="shared" si="3"/>
        <v>66.086661165877118</v>
      </c>
      <c r="K21">
        <f t="shared" si="3"/>
        <v>70.712727447488518</v>
      </c>
      <c r="L21">
        <f t="shared" si="3"/>
        <v>75.662618368812716</v>
      </c>
      <c r="N21" s="35">
        <v>7.0000000000000007E-2</v>
      </c>
    </row>
    <row r="22" spans="1:14" x14ac:dyDescent="0.25">
      <c r="C22" t="s">
        <v>7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42.650782947560735</v>
      </c>
      <c r="H22">
        <f t="shared" ref="H22:L22" si="4">+G22*(1+$N22)</f>
        <v>44.783322094938775</v>
      </c>
      <c r="I22">
        <f t="shared" si="4"/>
        <v>47.022488199685718</v>
      </c>
      <c r="J22">
        <f t="shared" si="4"/>
        <v>49.373612609670005</v>
      </c>
      <c r="K22">
        <f t="shared" si="4"/>
        <v>51.842293240153509</v>
      </c>
      <c r="L22">
        <f t="shared" si="4"/>
        <v>54.43440790216119</v>
      </c>
      <c r="N22" s="35">
        <v>0.05</v>
      </c>
    </row>
    <row r="23" spans="1:14" x14ac:dyDescent="0.25">
      <c r="C23" t="s">
        <v>9</v>
      </c>
      <c r="D23" s="22">
        <f>+Data!D8</f>
        <v>18.599999999999998</v>
      </c>
      <c r="E23" s="22">
        <f>+Data!E8</f>
        <v>22.8</v>
      </c>
      <c r="F23" s="22">
        <f>+Data!F8</f>
        <v>28.299999999999997</v>
      </c>
      <c r="G23" s="22">
        <f>+Data!G8</f>
        <v>32.533501129463197</v>
      </c>
      <c r="H23">
        <f t="shared" ref="H23:L24" si="5">+G23*(1+$N23)</f>
        <v>38.046807782601412</v>
      </c>
      <c r="I23">
        <f t="shared" si="5"/>
        <v>44.494429809009134</v>
      </c>
      <c r="J23">
        <f t="shared" si="5"/>
        <v>52.03470144830839</v>
      </c>
      <c r="K23">
        <f t="shared" si="5"/>
        <v>60.852789134211044</v>
      </c>
      <c r="L23">
        <f t="shared" si="5"/>
        <v>71.165238626215611</v>
      </c>
      <c r="N23" s="29">
        <f>+(L32/G32)^(0.2)-1</f>
        <v>0.16946551897991768</v>
      </c>
    </row>
    <row r="24" spans="1:14" x14ac:dyDescent="0.25">
      <c r="C24" t="s">
        <v>10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5"/>
        <v>36.20233875574327</v>
      </c>
      <c r="I24">
        <f t="shared" si="5"/>
        <v>36.20233875574327</v>
      </c>
      <c r="J24">
        <f t="shared" si="5"/>
        <v>36.20233875574327</v>
      </c>
      <c r="K24">
        <f t="shared" si="5"/>
        <v>36.20233875574327</v>
      </c>
      <c r="L24">
        <f t="shared" si="5"/>
        <v>36.20233875574327</v>
      </c>
      <c r="N24" s="29">
        <f>+(L38/G38)^(0.2)-1</f>
        <v>0</v>
      </c>
    </row>
    <row r="25" spans="1:14" x14ac:dyDescent="0.25">
      <c r="C25" t="s">
        <v>68</v>
      </c>
      <c r="D25" s="28">
        <f>SUM(D21:D24)</f>
        <v>143.89999999999998</v>
      </c>
      <c r="E25" s="28">
        <f>SUM(E21:E24)</f>
        <v>146</v>
      </c>
      <c r="F25" s="28">
        <f>SUM(F21:F24)</f>
        <v>147.1</v>
      </c>
      <c r="G25" s="28">
        <f>SUM(G21:G24)</f>
        <v>165.33302403327781</v>
      </c>
      <c r="H25" s="28">
        <f t="shared" ref="H25:L25" si="6">SUM(H21:H24)</f>
        <v>176.75511791782981</v>
      </c>
      <c r="I25" s="28">
        <f t="shared" si="6"/>
        <v>189.48249149890273</v>
      </c>
      <c r="J25" s="28">
        <f t="shared" si="6"/>
        <v>203.69731397959879</v>
      </c>
      <c r="K25" s="28">
        <f t="shared" si="6"/>
        <v>219.61014857759636</v>
      </c>
      <c r="L25" s="28">
        <f t="shared" si="6"/>
        <v>237.46460365293279</v>
      </c>
    </row>
    <row r="27" spans="1:14" x14ac:dyDescent="0.25">
      <c r="C27" s="39" t="s">
        <v>84</v>
      </c>
      <c r="D27" s="28"/>
      <c r="E27" s="28"/>
      <c r="F27" s="28"/>
      <c r="G27" s="28"/>
      <c r="H27" s="28"/>
      <c r="I27" s="28"/>
      <c r="J27" s="28"/>
      <c r="K27" s="28"/>
      <c r="L27" s="40"/>
    </row>
    <row r="28" spans="1:14" x14ac:dyDescent="0.25">
      <c r="C28" s="41" t="s">
        <v>65</v>
      </c>
      <c r="D28">
        <f>+D22+D21</f>
        <v>62.5</v>
      </c>
      <c r="E28">
        <f t="shared" ref="E28:L28" si="7">+E22+E21</f>
        <v>65.3</v>
      </c>
      <c r="F28">
        <f t="shared" si="7"/>
        <v>76.199999999999989</v>
      </c>
      <c r="G28">
        <f t="shared" si="7"/>
        <v>96.597184148071335</v>
      </c>
      <c r="H28">
        <f t="shared" si="7"/>
        <v>102.50597137948512</v>
      </c>
      <c r="I28">
        <f t="shared" si="7"/>
        <v>108.78572293415031</v>
      </c>
      <c r="J28">
        <f t="shared" si="7"/>
        <v>115.46027377554712</v>
      </c>
      <c r="K28">
        <f t="shared" si="7"/>
        <v>122.55502068764203</v>
      </c>
      <c r="L28" s="42">
        <f t="shared" si="7"/>
        <v>130.09702627097391</v>
      </c>
    </row>
    <row r="29" spans="1:14" x14ac:dyDescent="0.25">
      <c r="C29" s="41" t="s">
        <v>70</v>
      </c>
      <c r="E29" s="36">
        <f>+E28/D28-1</f>
        <v>4.4799999999999951E-2</v>
      </c>
      <c r="F29" s="36">
        <f t="shared" ref="F29:L29" si="8">+F28/E28-1</f>
        <v>0.16692189892802434</v>
      </c>
      <c r="G29" s="36">
        <f t="shared" si="8"/>
        <v>0.26767958199568698</v>
      </c>
      <c r="H29" s="36">
        <f t="shared" si="8"/>
        <v>6.116935274589741E-2</v>
      </c>
      <c r="I29" s="36">
        <f t="shared" si="8"/>
        <v>6.1262299846094548E-2</v>
      </c>
      <c r="J29" s="36">
        <f t="shared" si="8"/>
        <v>6.1355025837692034E-2</v>
      </c>
      <c r="K29" s="36">
        <f t="shared" si="8"/>
        <v>6.1447515063812963E-2</v>
      </c>
      <c r="L29" s="43">
        <f t="shared" si="8"/>
        <v>6.1539752031492201E-2</v>
      </c>
    </row>
    <row r="30" spans="1:14" x14ac:dyDescent="0.25">
      <c r="C30" s="41"/>
      <c r="G30" s="36"/>
      <c r="H30" s="36"/>
      <c r="L30" s="42"/>
    </row>
    <row r="31" spans="1:14" x14ac:dyDescent="0.25">
      <c r="C31" s="44" t="s">
        <v>81</v>
      </c>
      <c r="L31" s="42"/>
    </row>
    <row r="32" spans="1:14" x14ac:dyDescent="0.25">
      <c r="C32" s="41" t="s">
        <v>65</v>
      </c>
      <c r="D32" s="32">
        <f>+D23</f>
        <v>18.599999999999998</v>
      </c>
      <c r="E32" s="32">
        <f t="shared" ref="E32:G32" si="9">+E23</f>
        <v>22.8</v>
      </c>
      <c r="F32" s="32">
        <f t="shared" si="9"/>
        <v>28.299999999999997</v>
      </c>
      <c r="G32" s="32">
        <f t="shared" si="9"/>
        <v>32.533501129463197</v>
      </c>
      <c r="H32">
        <f>+(1+H33)*G32</f>
        <v>39.690871377945101</v>
      </c>
      <c r="I32">
        <f t="shared" ref="I32:L32" si="10">+(1+I33)*H32</f>
        <v>47.430591296644394</v>
      </c>
      <c r="J32">
        <f t="shared" si="10"/>
        <v>55.493791817073941</v>
      </c>
      <c r="K32">
        <f t="shared" si="10"/>
        <v>63.540391630549664</v>
      </c>
      <c r="L32" s="42">
        <f t="shared" si="10"/>
        <v>71.165238626215626</v>
      </c>
    </row>
    <row r="33" spans="3:12" x14ac:dyDescent="0.25">
      <c r="C33" s="41" t="s">
        <v>70</v>
      </c>
      <c r="E33" s="38">
        <f>+E32/D32-1</f>
        <v>0.22580645161290347</v>
      </c>
      <c r="F33" s="38">
        <f t="shared" ref="F33:G33" si="11">+F32/E32-1</f>
        <v>0.24122807017543835</v>
      </c>
      <c r="G33" s="38">
        <f t="shared" si="11"/>
        <v>0.14959367948633218</v>
      </c>
      <c r="H33" s="36">
        <f>+H34+H35</f>
        <v>0.22</v>
      </c>
      <c r="I33" s="36">
        <f t="shared" ref="I33:L33" si="12">+I34+I35</f>
        <v>0.19500000000000001</v>
      </c>
      <c r="J33" s="36">
        <f t="shared" si="12"/>
        <v>0.17</v>
      </c>
      <c r="K33" s="36">
        <f t="shared" si="12"/>
        <v>0.14500000000000002</v>
      </c>
      <c r="L33" s="43">
        <f t="shared" si="12"/>
        <v>0.12000000000000001</v>
      </c>
    </row>
    <row r="34" spans="3:12" x14ac:dyDescent="0.25">
      <c r="C34" s="45" t="s">
        <v>82</v>
      </c>
      <c r="E34" s="36"/>
      <c r="F34" s="36"/>
      <c r="G34" s="36"/>
      <c r="H34" s="36">
        <f>+$N$21</f>
        <v>7.0000000000000007E-2</v>
      </c>
      <c r="I34" s="36">
        <f t="shared" ref="I34:L34" si="13">+$N$21</f>
        <v>7.0000000000000007E-2</v>
      </c>
      <c r="J34" s="36">
        <f t="shared" si="13"/>
        <v>7.0000000000000007E-2</v>
      </c>
      <c r="K34" s="36">
        <f t="shared" si="13"/>
        <v>7.0000000000000007E-2</v>
      </c>
      <c r="L34" s="43">
        <f t="shared" si="13"/>
        <v>7.0000000000000007E-2</v>
      </c>
    </row>
    <row r="35" spans="3:12" x14ac:dyDescent="0.25">
      <c r="C35" s="45" t="s">
        <v>83</v>
      </c>
      <c r="E35" s="36"/>
      <c r="F35" s="36"/>
      <c r="G35" s="36"/>
      <c r="H35" s="35">
        <v>0.15</v>
      </c>
      <c r="I35" s="35">
        <v>0.125</v>
      </c>
      <c r="J35" s="35">
        <v>0.1</v>
      </c>
      <c r="K35" s="35">
        <v>7.4999999999999997E-2</v>
      </c>
      <c r="L35" s="46">
        <v>0.05</v>
      </c>
    </row>
    <row r="36" spans="3:12" x14ac:dyDescent="0.25">
      <c r="C36" s="45"/>
      <c r="E36" s="36"/>
      <c r="F36" s="36"/>
      <c r="G36" s="36"/>
      <c r="H36" s="35"/>
      <c r="I36" s="35"/>
      <c r="J36" s="35"/>
      <c r="K36" s="35"/>
      <c r="L36" s="46"/>
    </row>
    <row r="37" spans="3:12" x14ac:dyDescent="0.25">
      <c r="C37" s="44" t="s">
        <v>85</v>
      </c>
      <c r="E37" s="36"/>
      <c r="F37" s="36"/>
      <c r="G37" s="36"/>
      <c r="H37" s="36"/>
      <c r="I37" s="36"/>
      <c r="J37" s="36"/>
      <c r="K37" s="36"/>
      <c r="L37" s="43"/>
    </row>
    <row r="38" spans="3:12" x14ac:dyDescent="0.25">
      <c r="C38" s="41" t="s">
        <v>65</v>
      </c>
      <c r="D38" s="32">
        <f>+D24</f>
        <v>62.8</v>
      </c>
      <c r="E38" s="32">
        <f t="shared" ref="E38:G38" si="14">+E24</f>
        <v>57.9</v>
      </c>
      <c r="F38" s="32">
        <f t="shared" si="14"/>
        <v>42.6</v>
      </c>
      <c r="G38" s="32">
        <f t="shared" si="14"/>
        <v>36.20233875574327</v>
      </c>
      <c r="H38">
        <f>+(1+H39)*G38</f>
        <v>36.20233875574327</v>
      </c>
      <c r="I38">
        <f t="shared" ref="I38:L38" si="15">+(1+I39)*H38</f>
        <v>36.20233875574327</v>
      </c>
      <c r="J38">
        <f t="shared" si="15"/>
        <v>36.20233875574327</v>
      </c>
      <c r="K38">
        <f t="shared" si="15"/>
        <v>36.20233875574327</v>
      </c>
      <c r="L38" s="42">
        <f t="shared" si="15"/>
        <v>36.20233875574327</v>
      </c>
    </row>
    <row r="39" spans="3:12" x14ac:dyDescent="0.25">
      <c r="C39" s="47" t="s">
        <v>70</v>
      </c>
      <c r="D39" s="48"/>
      <c r="E39" s="52">
        <f>+E38/D38-1</f>
        <v>-7.8025477707006297E-2</v>
      </c>
      <c r="F39" s="52">
        <f t="shared" ref="F39:G39" si="16">+F38/E38-1</f>
        <v>-0.26424870466321237</v>
      </c>
      <c r="G39" s="52">
        <f t="shared" si="16"/>
        <v>-0.15017984141447727</v>
      </c>
      <c r="H39" s="49">
        <v>0</v>
      </c>
      <c r="I39" s="49">
        <v>0</v>
      </c>
      <c r="J39" s="49">
        <v>0</v>
      </c>
      <c r="K39" s="49">
        <v>0</v>
      </c>
      <c r="L39" s="50">
        <v>0</v>
      </c>
    </row>
    <row r="41" spans="3:12" x14ac:dyDescent="0.25">
      <c r="C41" t="s">
        <v>6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15.564811259537079</v>
      </c>
      <c r="H41" s="31"/>
      <c r="I41" s="31"/>
      <c r="J41" s="31"/>
      <c r="K41" s="31"/>
      <c r="L41" s="31"/>
    </row>
    <row r="42" spans="3:12" x14ac:dyDescent="0.25">
      <c r="C42" t="s">
        <v>7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15.213229702279836</v>
      </c>
      <c r="H42" s="31"/>
      <c r="I42" s="31"/>
      <c r="J42" s="31"/>
      <c r="K42" s="31"/>
      <c r="L42" s="31"/>
    </row>
    <row r="43" spans="3:12" x14ac:dyDescent="0.25">
      <c r="C43" t="s">
        <v>9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25">
      <c r="C44" t="s">
        <v>10</v>
      </c>
      <c r="D44" s="22">
        <f>+Data!D16</f>
        <v>16</v>
      </c>
      <c r="E44" s="22">
        <f>+Data!E16</f>
        <v>15.599999999999998</v>
      </c>
      <c r="F44" s="22">
        <f>+Data!F16</f>
        <v>15.000000000000002</v>
      </c>
      <c r="G44" s="22">
        <f>+Data!G16</f>
        <v>14.528396874438059</v>
      </c>
      <c r="H44" s="31"/>
      <c r="I44" s="31"/>
      <c r="J44" s="31"/>
      <c r="K44" s="31"/>
      <c r="L44" s="31"/>
    </row>
    <row r="45" spans="3:12" x14ac:dyDescent="0.25">
      <c r="C45" t="s">
        <v>69</v>
      </c>
      <c r="D45" s="51">
        <f>SUM(D41:D44)</f>
        <v>40.6</v>
      </c>
      <c r="E45" s="51">
        <f t="shared" ref="E45:G45" si="17">SUM(E41:E44)</f>
        <v>38.9</v>
      </c>
      <c r="F45" s="51">
        <f t="shared" si="17"/>
        <v>46</v>
      </c>
      <c r="G45" s="51">
        <f t="shared" si="17"/>
        <v>52.224965931192443</v>
      </c>
      <c r="H45" s="28">
        <f>+H46*H25</f>
        <v>52.017642479889687</v>
      </c>
      <c r="I45" s="28">
        <f t="shared" ref="I45:L45" si="18">+I46*I25</f>
        <v>55.7632085288231</v>
      </c>
      <c r="J45" s="28">
        <f t="shared" si="18"/>
        <v>59.946519102379959</v>
      </c>
      <c r="K45" s="28">
        <f t="shared" si="18"/>
        <v>64.629541301177397</v>
      </c>
      <c r="L45" s="28">
        <f t="shared" si="18"/>
        <v>69.883967151600928</v>
      </c>
    </row>
    <row r="46" spans="3:12" x14ac:dyDescent="0.25">
      <c r="C46" t="s">
        <v>87</v>
      </c>
      <c r="D46" s="36">
        <f>+D45/D25</f>
        <v>0.28214037526059771</v>
      </c>
      <c r="E46" s="36">
        <f t="shared" ref="E46:G46" si="19">+E45/E25</f>
        <v>0.26643835616438355</v>
      </c>
      <c r="F46" s="36">
        <f t="shared" si="19"/>
        <v>0.31271244051665537</v>
      </c>
      <c r="G46" s="36">
        <f t="shared" si="19"/>
        <v>0.31587740100054501</v>
      </c>
      <c r="H46" s="35">
        <f>+AVERAGE($D$46:$G$46)</f>
        <v>0.29429214323554542</v>
      </c>
      <c r="I46" s="35">
        <f t="shared" ref="I46:L46" si="20">+AVERAGE($D$46:$G$46)</f>
        <v>0.29429214323554542</v>
      </c>
      <c r="J46" s="35">
        <f t="shared" si="20"/>
        <v>0.29429214323554542</v>
      </c>
      <c r="K46" s="35">
        <f t="shared" si="20"/>
        <v>0.29429214323554542</v>
      </c>
      <c r="L46" s="35">
        <f t="shared" si="20"/>
        <v>0.29429214323554542</v>
      </c>
    </row>
    <row r="48" spans="3:12" x14ac:dyDescent="0.25">
      <c r="C48" t="s">
        <v>12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-25.728552310000005</v>
      </c>
      <c r="G48" s="22">
        <f>+Data!G20</f>
        <v>-26.453283845324446</v>
      </c>
      <c r="H48">
        <f>+H55</f>
        <v>-27.246882360684179</v>
      </c>
      <c r="I48">
        <f t="shared" ref="I48:L48" si="21">+I55</f>
        <v>-28.064288831504705</v>
      </c>
      <c r="J48">
        <f t="shared" si="21"/>
        <v>-28.906217496449848</v>
      </c>
      <c r="K48">
        <f t="shared" si="21"/>
        <v>-29.773404021343346</v>
      </c>
      <c r="L48">
        <f t="shared" si="21"/>
        <v>-30.666606141983646</v>
      </c>
    </row>
    <row r="49" spans="3:12" x14ac:dyDescent="0.25">
      <c r="C49" t="s">
        <v>13</v>
      </c>
      <c r="D49" s="22">
        <f>+Data!D21</f>
        <v>-11.355504070000002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 t="shared" ref="I49:L49" si="22">+I59</f>
        <v>-9.9107316436227837</v>
      </c>
      <c r="J49">
        <f t="shared" si="22"/>
        <v>-10.208053592931467</v>
      </c>
      <c r="K49">
        <f t="shared" si="22"/>
        <v>-10.514295200719411</v>
      </c>
      <c r="L49">
        <f t="shared" si="22"/>
        <v>-10.829724056740995</v>
      </c>
    </row>
    <row r="50" spans="3:12" x14ac:dyDescent="0.25">
      <c r="C50" t="s">
        <v>14</v>
      </c>
      <c r="D50" s="22">
        <f>+Data!D22</f>
        <v>1.9575444100000019</v>
      </c>
      <c r="E50" s="22">
        <f>+Data!E22</f>
        <v>1.9168257800000013</v>
      </c>
      <c r="F50" s="22">
        <f>+Data!F22</f>
        <v>1.9825991500000009</v>
      </c>
      <c r="G50" s="22">
        <f>+Data!G22</f>
        <v>2.1493293124326112</v>
      </c>
      <c r="H50" s="30">
        <f>+$G$50</f>
        <v>2.1493293124326112</v>
      </c>
      <c r="I50" s="30">
        <f t="shared" ref="I50:L50" si="23">+$G$50</f>
        <v>2.1493293124326112</v>
      </c>
      <c r="J50" s="30">
        <f t="shared" si="23"/>
        <v>2.1493293124326112</v>
      </c>
      <c r="K50" s="30">
        <f t="shared" si="23"/>
        <v>2.1493293124326112</v>
      </c>
      <c r="L50" s="30">
        <f t="shared" si="23"/>
        <v>2.1493293124326112</v>
      </c>
    </row>
    <row r="51" spans="3:12" x14ac:dyDescent="0.25">
      <c r="C51" t="s">
        <v>72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25">
      <c r="C52" t="s">
        <v>73</v>
      </c>
      <c r="D52" s="28">
        <f>SUM(D48:D51)</f>
        <v>-33.172121179999998</v>
      </c>
      <c r="E52" s="28">
        <f t="shared" ref="E52:G52" si="24">SUM(E48:E51)</f>
        <v>-30.702746849999993</v>
      </c>
      <c r="F52" s="28">
        <f t="shared" si="24"/>
        <v>-32.936015260000005</v>
      </c>
      <c r="G52" s="28">
        <f t="shared" si="24"/>
        <v>-33.645769636693117</v>
      </c>
      <c r="H52" s="28">
        <f t="shared" ref="H52" si="25">SUM(H48:H51)</f>
        <v>-34.71962260516689</v>
      </c>
      <c r="I52" s="28">
        <f t="shared" ref="I52" si="26">SUM(I48:I51)</f>
        <v>-35.825691162694874</v>
      </c>
      <c r="J52" s="28">
        <f t="shared" ref="J52" si="27">SUM(J48:J51)</f>
        <v>-36.964941776948706</v>
      </c>
      <c r="K52" s="28">
        <f t="shared" ref="K52" si="28">SUM(K48:K51)</f>
        <v>-38.138369909630143</v>
      </c>
      <c r="L52" s="28">
        <f t="shared" ref="L52" si="29">SUM(L48:L51)</f>
        <v>-39.34700088629203</v>
      </c>
    </row>
    <row r="54" spans="3:12" x14ac:dyDescent="0.25">
      <c r="C54" s="39" t="s">
        <v>88</v>
      </c>
      <c r="D54" s="28"/>
      <c r="E54" s="28"/>
      <c r="F54" s="28"/>
      <c r="G54" s="28"/>
      <c r="H54" s="28"/>
      <c r="I54" s="28"/>
      <c r="J54" s="28"/>
      <c r="K54" s="28"/>
      <c r="L54" s="40"/>
    </row>
    <row r="55" spans="3:12" x14ac:dyDescent="0.25">
      <c r="C55" s="41" t="s">
        <v>12</v>
      </c>
      <c r="D55" s="32">
        <f>+D48</f>
        <v>-23.77416152</v>
      </c>
      <c r="E55" s="32">
        <f t="shared" ref="E55:G55" si="30">+E48</f>
        <v>-24.428558209999998</v>
      </c>
      <c r="F55" s="32">
        <f t="shared" si="30"/>
        <v>-25.728552310000005</v>
      </c>
      <c r="G55" s="32">
        <f t="shared" si="30"/>
        <v>-26.453283845324446</v>
      </c>
      <c r="H55">
        <f>+(1+H57)*G55</f>
        <v>-27.246882360684179</v>
      </c>
      <c r="I55">
        <f t="shared" ref="I55:L55" si="31">+(1+I57)*H55</f>
        <v>-28.064288831504705</v>
      </c>
      <c r="J55">
        <f t="shared" si="31"/>
        <v>-28.906217496449848</v>
      </c>
      <c r="K55">
        <f t="shared" si="31"/>
        <v>-29.773404021343346</v>
      </c>
      <c r="L55" s="42">
        <f t="shared" si="31"/>
        <v>-30.666606141983646</v>
      </c>
    </row>
    <row r="56" spans="3:12" x14ac:dyDescent="0.25">
      <c r="C56" s="41" t="s">
        <v>87</v>
      </c>
      <c r="D56" s="36">
        <f>+D55/D25*-1</f>
        <v>0.16521307519110495</v>
      </c>
      <c r="E56" s="36">
        <f>+E55/E25*-1</f>
        <v>0.16731889184931506</v>
      </c>
      <c r="F56" s="36">
        <f t="shared" ref="F56:G56" si="32">+F55/F25*-1</f>
        <v>0.17490518225696808</v>
      </c>
      <c r="G56" s="36">
        <f t="shared" si="32"/>
        <v>0.15999999999999998</v>
      </c>
      <c r="H56" s="36">
        <f t="shared" ref="H56" si="33">+H55/H25*-1</f>
        <v>0.15415045788575554</v>
      </c>
      <c r="I56" s="36">
        <f t="shared" ref="I56" si="34">+I55/I25*-1</f>
        <v>0.14811019535104233</v>
      </c>
      <c r="J56" s="36">
        <f t="shared" ref="J56" si="35">+J55/J25*-1</f>
        <v>0.14190770085139628</v>
      </c>
      <c r="K56" s="36">
        <f t="shared" ref="K56" si="36">+K55/K25*-1</f>
        <v>0.1355738986298409</v>
      </c>
      <c r="L56" s="43">
        <f t="shared" ref="L56" si="37">+L55/L25*-1</f>
        <v>0.12914179911547799</v>
      </c>
    </row>
    <row r="57" spans="3:12" x14ac:dyDescent="0.25">
      <c r="C57" s="41" t="s">
        <v>70</v>
      </c>
      <c r="D57" s="36"/>
      <c r="E57" s="36">
        <f>+E55/D55-1</f>
        <v>2.7525542360326227E-2</v>
      </c>
      <c r="F57" s="36">
        <f t="shared" ref="F57:G57" si="38">+F55/E55-1</f>
        <v>5.321616154439468E-2</v>
      </c>
      <c r="G57" s="36">
        <f t="shared" si="38"/>
        <v>2.8168375996917572E-2</v>
      </c>
      <c r="H57" s="35">
        <v>0.03</v>
      </c>
      <c r="I57" s="35">
        <v>0.03</v>
      </c>
      <c r="J57" s="35">
        <v>0.03</v>
      </c>
      <c r="K57" s="35">
        <v>0.03</v>
      </c>
      <c r="L57" s="46">
        <v>0.03</v>
      </c>
    </row>
    <row r="58" spans="3:12" x14ac:dyDescent="0.25">
      <c r="C58" s="41"/>
      <c r="D58" s="36"/>
      <c r="E58" s="36"/>
      <c r="F58" s="36"/>
      <c r="G58" s="36"/>
      <c r="H58" s="35"/>
      <c r="I58" s="35"/>
      <c r="J58" s="35"/>
      <c r="K58" s="35"/>
      <c r="L58" s="46"/>
    </row>
    <row r="59" spans="3:12" x14ac:dyDescent="0.25">
      <c r="C59" s="41" t="s">
        <v>13</v>
      </c>
      <c r="D59" s="32">
        <f>+D49</f>
        <v>-11.355504070000002</v>
      </c>
      <c r="E59" s="32">
        <f t="shared" ref="E59:G59" si="39">+E49</f>
        <v>-9.1910144199999984</v>
      </c>
      <c r="F59" s="32">
        <f t="shared" si="39"/>
        <v>-9.1900621000000005</v>
      </c>
      <c r="G59" s="32">
        <f t="shared" si="39"/>
        <v>-9.3418151038012862</v>
      </c>
      <c r="H59">
        <f>+(1+H61)*G59</f>
        <v>-9.6220695569153243</v>
      </c>
      <c r="I59">
        <f t="shared" ref="I59:L59" si="40">+(1+I61)*H59</f>
        <v>-9.9107316436227837</v>
      </c>
      <c r="J59">
        <f t="shared" si="40"/>
        <v>-10.208053592931467</v>
      </c>
      <c r="K59">
        <f t="shared" si="40"/>
        <v>-10.514295200719411</v>
      </c>
      <c r="L59" s="42">
        <f t="shared" si="40"/>
        <v>-10.829724056740995</v>
      </c>
    </row>
    <row r="60" spans="3:12" x14ac:dyDescent="0.25">
      <c r="C60" s="41" t="s">
        <v>87</v>
      </c>
      <c r="D60" s="36">
        <f>+D59/D25*-1</f>
        <v>7.8912467477414899E-2</v>
      </c>
      <c r="E60" s="36">
        <f t="shared" ref="E60:L60" si="41">+E59/E25*-1</f>
        <v>6.2952153561643825E-2</v>
      </c>
      <c r="F60" s="36">
        <f t="shared" si="41"/>
        <v>6.2474929299796061E-2</v>
      </c>
      <c r="G60" s="36">
        <f t="shared" si="41"/>
        <v>5.6503019638236278E-2</v>
      </c>
      <c r="H60" s="36">
        <f t="shared" si="41"/>
        <v>5.4437289682262253E-2</v>
      </c>
      <c r="I60" s="36">
        <f t="shared" si="41"/>
        <v>5.2304207978393483E-2</v>
      </c>
      <c r="J60" s="36">
        <f t="shared" si="41"/>
        <v>5.0113835050146265E-2</v>
      </c>
      <c r="K60" s="36">
        <f t="shared" si="41"/>
        <v>4.7877091604463455E-2</v>
      </c>
      <c r="L60" s="43">
        <f t="shared" si="41"/>
        <v>4.5605635072118851E-2</v>
      </c>
    </row>
    <row r="61" spans="3:12" x14ac:dyDescent="0.25">
      <c r="C61" s="41" t="s">
        <v>70</v>
      </c>
      <c r="D61" s="36"/>
      <c r="E61" s="36">
        <f>+E59/D59-1</f>
        <v>-0.19061149876370076</v>
      </c>
      <c r="F61" s="36">
        <f t="shared" ref="F61:G61" si="42">+F59/E59-1</f>
        <v>-1.0361424283322762E-4</v>
      </c>
      <c r="G61" s="36">
        <f t="shared" si="42"/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6">
        <v>0.03</v>
      </c>
    </row>
    <row r="62" spans="3:12" x14ac:dyDescent="0.25">
      <c r="C62" s="41"/>
      <c r="D62" s="36"/>
      <c r="E62" s="36"/>
      <c r="F62" s="36"/>
      <c r="G62" s="36"/>
      <c r="H62" s="35"/>
      <c r="I62" s="35"/>
      <c r="J62" s="35"/>
      <c r="K62" s="35"/>
      <c r="L62" s="46"/>
    </row>
    <row r="63" spans="3:12" x14ac:dyDescent="0.25">
      <c r="C63" s="55" t="s">
        <v>170</v>
      </c>
      <c r="D63" s="48"/>
      <c r="E63" s="48"/>
      <c r="F63" s="48"/>
      <c r="G63" s="48"/>
      <c r="H63" s="48"/>
      <c r="I63" s="48"/>
      <c r="J63" s="48"/>
      <c r="K63" s="48"/>
      <c r="L63" s="54"/>
    </row>
    <row r="65" spans="3:12" x14ac:dyDescent="0.25">
      <c r="C65" t="s">
        <v>74</v>
      </c>
      <c r="D65">
        <f>+D52+D45</f>
        <v>7.4278788200000037</v>
      </c>
      <c r="E65">
        <f>+E52+E45</f>
        <v>8.1972531500000052</v>
      </c>
      <c r="F65">
        <f>+F52+F45</f>
        <v>13.063984739999995</v>
      </c>
      <c r="G65">
        <f>+G52+G45</f>
        <v>18.579196294499326</v>
      </c>
      <c r="H65">
        <f t="shared" ref="H65:L65" si="43">+H52+H45</f>
        <v>17.298019874722797</v>
      </c>
      <c r="I65">
        <f t="shared" si="43"/>
        <v>19.937517366128226</v>
      </c>
      <c r="J65">
        <f t="shared" si="43"/>
        <v>22.981577325431253</v>
      </c>
      <c r="K65">
        <f t="shared" si="43"/>
        <v>26.491171391547255</v>
      </c>
      <c r="L65">
        <f t="shared" si="43"/>
        <v>30.536966265308898</v>
      </c>
    </row>
    <row r="67" spans="3:12" x14ac:dyDescent="0.25">
      <c r="C67" t="s">
        <v>15</v>
      </c>
      <c r="D67" s="22">
        <f>+Data!D28</f>
        <v>-3.2109358799999996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-4.3133125165505914</v>
      </c>
      <c r="H67">
        <f>+H73</f>
        <v>-6.3203245239856676</v>
      </c>
      <c r="I67">
        <f t="shared" ref="I67:L67" si="44">+I73</f>
        <v>-4.0030254395380229</v>
      </c>
      <c r="J67">
        <f t="shared" si="44"/>
        <v>-3.9447183910994847</v>
      </c>
      <c r="K67">
        <f t="shared" si="44"/>
        <v>-3.8662543637615108</v>
      </c>
      <c r="L67">
        <f t="shared" si="44"/>
        <v>-4.1805834842265996</v>
      </c>
    </row>
    <row r="68" spans="3:12" x14ac:dyDescent="0.25">
      <c r="C68" t="s">
        <v>50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-1.5701644823950482</v>
      </c>
      <c r="H68" s="30">
        <f>+G68</f>
        <v>-1.5701644823950482</v>
      </c>
      <c r="I68" s="30">
        <f t="shared" ref="I68:L68" si="45">+H68</f>
        <v>-1.5701644823950482</v>
      </c>
      <c r="J68" s="30">
        <f t="shared" si="45"/>
        <v>-1.5701644823950482</v>
      </c>
      <c r="K68" s="30">
        <f t="shared" si="45"/>
        <v>-1.5701644823950482</v>
      </c>
      <c r="L68" s="30">
        <f t="shared" si="45"/>
        <v>-1.5701644823950482</v>
      </c>
    </row>
    <row r="69" spans="3:12" x14ac:dyDescent="0.25">
      <c r="C69" t="s">
        <v>42</v>
      </c>
      <c r="D69" s="30">
        <v>0</v>
      </c>
      <c r="E69" s="22">
        <f>+Data!E32</f>
        <v>-1.4432410605000001</v>
      </c>
      <c r="F69" s="22">
        <f>+Data!F32</f>
        <v>-1.7267365250000002</v>
      </c>
      <c r="G69" s="22">
        <f>+Data!G32</f>
        <v>-1.9366145442923213</v>
      </c>
      <c r="H69">
        <f ca="1">+IF(circ=1, H151, 0)</f>
        <v>-7.1416801729246213</v>
      </c>
      <c r="I69">
        <f ca="1">+IF(circ=1, I151, 0)</f>
        <v>-6.7059711481986266</v>
      </c>
      <c r="J69">
        <f ca="1">+IF(circ=1, J151, 0)</f>
        <v>-6.1007135889461637</v>
      </c>
      <c r="K69">
        <f ca="1">+IF(circ=1, K151, 0)</f>
        <v>-5.3094171442025466</v>
      </c>
      <c r="L69">
        <f ca="1">+IF(circ=1, L151, 0)</f>
        <v>-4.5315850900538219</v>
      </c>
    </row>
    <row r="70" spans="3:12" x14ac:dyDescent="0.25">
      <c r="C70" t="s">
        <v>75</v>
      </c>
      <c r="D70" s="28">
        <f>SUM(D67:D69)</f>
        <v>-3.2109358799999996</v>
      </c>
      <c r="E70" s="28">
        <f t="shared" ref="E70:G70" si="46">SUM(E67:E69)</f>
        <v>-5.4211775005000007</v>
      </c>
      <c r="F70" s="28">
        <f t="shared" si="46"/>
        <v>-8.6546477250000002</v>
      </c>
      <c r="G70" s="28">
        <f t="shared" si="46"/>
        <v>-7.820091543237961</v>
      </c>
      <c r="H70" s="28">
        <f t="shared" ref="H70" ca="1" si="47">SUM(H67:H69)</f>
        <v>-15.032169179305338</v>
      </c>
      <c r="I70" s="28">
        <f t="shared" ref="I70" ca="1" si="48">SUM(I67:I69)</f>
        <v>-12.279161070131698</v>
      </c>
      <c r="J70" s="28">
        <f t="shared" ref="J70" ca="1" si="49">SUM(J67:J69)</f>
        <v>-11.615596462440696</v>
      </c>
      <c r="K70" s="28">
        <f t="shared" ref="K70" ca="1" si="50">SUM(K67:K69)</f>
        <v>-10.745835990359105</v>
      </c>
      <c r="L70" s="28">
        <f t="shared" ref="L70" ca="1" si="51">SUM(L67:L69)</f>
        <v>-10.282333056675469</v>
      </c>
    </row>
    <row r="72" spans="3:12" x14ac:dyDescent="0.25">
      <c r="C72" s="39" t="s">
        <v>92</v>
      </c>
      <c r="D72" s="28"/>
      <c r="E72" s="28"/>
      <c r="F72" s="28"/>
      <c r="G72" s="28"/>
      <c r="H72" s="28"/>
      <c r="I72" s="28"/>
      <c r="J72" s="28"/>
      <c r="K72" s="28"/>
      <c r="L72" s="40"/>
    </row>
    <row r="73" spans="3:12" x14ac:dyDescent="0.25">
      <c r="C73" s="41" t="s">
        <v>15</v>
      </c>
      <c r="D73">
        <f>+D67</f>
        <v>-3.2109358799999996</v>
      </c>
      <c r="E73">
        <f t="shared" ref="E73:G73" si="52">+E67</f>
        <v>-2.9779364400000001</v>
      </c>
      <c r="F73">
        <f t="shared" si="52"/>
        <v>-5.5279112000000001</v>
      </c>
      <c r="G73">
        <f t="shared" si="52"/>
        <v>-4.3133125165505914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2">
        <f>+L74*L78</f>
        <v>-4.1805834842265996</v>
      </c>
    </row>
    <row r="74" spans="3:12" x14ac:dyDescent="0.25">
      <c r="C74" s="47" t="s">
        <v>91</v>
      </c>
      <c r="D74" s="53">
        <f>+D73/D78</f>
        <v>1.6054679399999998</v>
      </c>
      <c r="E74" s="53">
        <f>+E73/E78</f>
        <v>1.1029394222222222</v>
      </c>
      <c r="F74" s="53">
        <f>+F73/F78</f>
        <v>1.9742540000000002</v>
      </c>
      <c r="G74" s="53">
        <f>+G73/G78</f>
        <v>1.3735225082824702</v>
      </c>
      <c r="H74" s="49">
        <v>1.3</v>
      </c>
      <c r="I74" s="49">
        <v>1.2</v>
      </c>
      <c r="J74" s="49">
        <v>1.1000000000000001</v>
      </c>
      <c r="K74" s="49">
        <v>1</v>
      </c>
      <c r="L74" s="50">
        <v>1</v>
      </c>
    </row>
    <row r="76" spans="3:12" x14ac:dyDescent="0.25">
      <c r="C76" t="s">
        <v>76</v>
      </c>
      <c r="D76">
        <f t="shared" ref="D76:L76" si="53">+D70+D65</f>
        <v>4.2169429400000045</v>
      </c>
      <c r="E76">
        <f t="shared" si="53"/>
        <v>2.7760756495000045</v>
      </c>
      <c r="F76">
        <f t="shared" si="53"/>
        <v>4.4093370149999949</v>
      </c>
      <c r="G76">
        <f t="shared" si="53"/>
        <v>10.759104751261365</v>
      </c>
      <c r="H76">
        <f t="shared" ca="1" si="53"/>
        <v>2.2658506954174591</v>
      </c>
      <c r="I76">
        <f t="shared" ca="1" si="53"/>
        <v>7.6583562959965281</v>
      </c>
      <c r="J76">
        <f t="shared" ca="1" si="53"/>
        <v>11.365980862990558</v>
      </c>
      <c r="K76">
        <f t="shared" ca="1" si="53"/>
        <v>15.74533540118815</v>
      </c>
      <c r="L76">
        <f t="shared" ca="1" si="53"/>
        <v>20.254633208633429</v>
      </c>
    </row>
    <row r="78" spans="3:12" x14ac:dyDescent="0.25">
      <c r="C78" t="s">
        <v>19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 t="shared" ref="I78:L78" si="54">+I79+I80</f>
        <v>-3.3358545329483524</v>
      </c>
      <c r="J78">
        <f t="shared" si="54"/>
        <v>-3.5861076282722584</v>
      </c>
      <c r="K78">
        <f t="shared" si="54"/>
        <v>-3.8662543637615108</v>
      </c>
      <c r="L78">
        <f t="shared" si="54"/>
        <v>-4.1805834842265996</v>
      </c>
    </row>
    <row r="79" spans="3:12" x14ac:dyDescent="0.25">
      <c r="C79" s="37" t="s">
        <v>89</v>
      </c>
      <c r="H79" s="30">
        <f>1.75*-1</f>
        <v>-1.75</v>
      </c>
      <c r="I79" s="31"/>
      <c r="J79" s="31"/>
      <c r="K79" s="31"/>
      <c r="L79" s="31"/>
    </row>
    <row r="80" spans="3:12" x14ac:dyDescent="0.25">
      <c r="C80" s="37" t="s">
        <v>90</v>
      </c>
      <c r="D80" s="32">
        <f>+D78</f>
        <v>-2</v>
      </c>
      <c r="E80" s="32">
        <f t="shared" ref="E80:G80" si="55">+E78</f>
        <v>-2.7</v>
      </c>
      <c r="F80" s="32">
        <f t="shared" si="55"/>
        <v>-2.8</v>
      </c>
      <c r="G80" s="32">
        <f t="shared" si="55"/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25">
      <c r="C81" s="37" t="s">
        <v>93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25">
      <c r="C83" t="s">
        <v>78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25">
      <c r="A85" t="s">
        <v>61</v>
      </c>
      <c r="B85" s="27" t="s">
        <v>86</v>
      </c>
    </row>
    <row r="86" spans="1:14" x14ac:dyDescent="0.25">
      <c r="C86" t="s">
        <v>65</v>
      </c>
      <c r="D86">
        <f t="shared" ref="D86:L86" si="56">+D25</f>
        <v>143.89999999999998</v>
      </c>
      <c r="E86">
        <f t="shared" si="56"/>
        <v>146</v>
      </c>
      <c r="F86">
        <f t="shared" si="56"/>
        <v>147.1</v>
      </c>
      <c r="G86">
        <f t="shared" si="56"/>
        <v>165.33302403327781</v>
      </c>
      <c r="H86">
        <f t="shared" si="56"/>
        <v>176.75511791782981</v>
      </c>
      <c r="I86">
        <f t="shared" si="56"/>
        <v>189.48249149890273</v>
      </c>
      <c r="J86">
        <f t="shared" si="56"/>
        <v>203.69731397959879</v>
      </c>
      <c r="K86">
        <f t="shared" si="56"/>
        <v>219.61014857759636</v>
      </c>
      <c r="L86">
        <f t="shared" si="56"/>
        <v>237.46460365293279</v>
      </c>
      <c r="N86" s="29">
        <f>+(L86/G86)^(0.2)-1</f>
        <v>7.5097506906820266E-2</v>
      </c>
    </row>
    <row r="87" spans="1:14" x14ac:dyDescent="0.25">
      <c r="C87" t="s">
        <v>70</v>
      </c>
      <c r="E87" s="29">
        <f>+E86/D86-1</f>
        <v>1.4593467685893202E-2</v>
      </c>
      <c r="F87" s="29">
        <f t="shared" ref="F87:G87" si="57">+F86/E86-1</f>
        <v>7.5342465753425181E-3</v>
      </c>
      <c r="G87" s="29">
        <f t="shared" si="57"/>
        <v>0.12394985746619858</v>
      </c>
      <c r="H87" s="29">
        <f t="shared" ref="H87" si="58">+H86/G86-1</f>
        <v>6.9085374512069642E-2</v>
      </c>
      <c r="I87" s="29">
        <f t="shared" ref="I87" si="59">+I86/H86-1</f>
        <v>7.2005686347309306E-2</v>
      </c>
      <c r="J87" s="29">
        <f t="shared" ref="J87" si="60">+J86/I86-1</f>
        <v>7.5019187093485984E-2</v>
      </c>
      <c r="K87" s="29">
        <f t="shared" ref="K87" si="61">+K86/J86-1</f>
        <v>7.8120002110539932E-2</v>
      </c>
      <c r="L87" s="29">
        <f t="shared" ref="L87" si="62">+L86/K86-1</f>
        <v>8.1300683010228969E-2</v>
      </c>
    </row>
    <row r="89" spans="1:14" x14ac:dyDescent="0.25">
      <c r="C89" t="s">
        <v>11</v>
      </c>
      <c r="D89">
        <f t="shared" ref="D89:L89" si="63">+D45</f>
        <v>40.6</v>
      </c>
      <c r="E89">
        <f t="shared" si="63"/>
        <v>38.9</v>
      </c>
      <c r="F89">
        <f t="shared" si="63"/>
        <v>46</v>
      </c>
      <c r="G89">
        <f t="shared" si="63"/>
        <v>52.224965931192443</v>
      </c>
      <c r="H89">
        <f t="shared" si="63"/>
        <v>52.017642479889687</v>
      </c>
      <c r="I89">
        <f t="shared" si="63"/>
        <v>55.7632085288231</v>
      </c>
      <c r="J89">
        <f t="shared" si="63"/>
        <v>59.946519102379959</v>
      </c>
      <c r="K89">
        <f t="shared" si="63"/>
        <v>64.629541301177397</v>
      </c>
      <c r="L89">
        <f t="shared" si="63"/>
        <v>69.883967151600928</v>
      </c>
      <c r="N89" s="29">
        <f>+(L89/G89)^(0.2)-1</f>
        <v>5.9985384577966316E-2</v>
      </c>
    </row>
    <row r="90" spans="1:14" x14ac:dyDescent="0.25">
      <c r="C90" t="s">
        <v>71</v>
      </c>
      <c r="D90" s="29">
        <f>+D89/D86</f>
        <v>0.28214037526059771</v>
      </c>
      <c r="E90" s="29">
        <f t="shared" ref="E90:G90" si="64">+E89/E86</f>
        <v>0.26643835616438355</v>
      </c>
      <c r="F90" s="29">
        <f t="shared" si="64"/>
        <v>0.31271244051665537</v>
      </c>
      <c r="G90" s="29">
        <f t="shared" si="64"/>
        <v>0.31587740100054501</v>
      </c>
      <c r="H90" s="29">
        <f t="shared" ref="H90" si="65">+H89/H86</f>
        <v>0.29429214323554542</v>
      </c>
      <c r="I90" s="29">
        <f t="shared" ref="I90" si="66">+I89/I86</f>
        <v>0.29429214323554542</v>
      </c>
      <c r="J90" s="29">
        <f t="shared" ref="J90" si="67">+J89/J86</f>
        <v>0.29429214323554542</v>
      </c>
      <c r="K90" s="29">
        <f t="shared" ref="K90" si="68">+K89/K86</f>
        <v>0.29429214323554542</v>
      </c>
      <c r="L90" s="29">
        <f t="shared" ref="L90" si="69">+L89/L86</f>
        <v>0.29429214323554548</v>
      </c>
    </row>
    <row r="92" spans="1:14" x14ac:dyDescent="0.25">
      <c r="C92" t="s">
        <v>43</v>
      </c>
      <c r="D92">
        <f t="shared" ref="D92:L92" si="70">+D65</f>
        <v>7.4278788200000037</v>
      </c>
      <c r="E92">
        <f t="shared" si="70"/>
        <v>8.1972531500000052</v>
      </c>
      <c r="F92">
        <f t="shared" si="70"/>
        <v>13.063984739999995</v>
      </c>
      <c r="G92">
        <f t="shared" si="70"/>
        <v>18.579196294499326</v>
      </c>
      <c r="H92">
        <f t="shared" si="70"/>
        <v>17.298019874722797</v>
      </c>
      <c r="I92">
        <f t="shared" si="70"/>
        <v>19.937517366128226</v>
      </c>
      <c r="J92">
        <f t="shared" si="70"/>
        <v>22.981577325431253</v>
      </c>
      <c r="K92">
        <f t="shared" si="70"/>
        <v>26.491171391547255</v>
      </c>
      <c r="L92">
        <f t="shared" si="70"/>
        <v>30.536966265308898</v>
      </c>
      <c r="N92" s="29">
        <f>+(L92/G92)^(0.2)-1</f>
        <v>0.10448492656449604</v>
      </c>
    </row>
    <row r="93" spans="1:14" x14ac:dyDescent="0.25">
      <c r="C93" t="s">
        <v>71</v>
      </c>
      <c r="D93" s="29">
        <f>+D92/D86</f>
        <v>5.1618337873523316E-2</v>
      </c>
      <c r="E93" s="29">
        <f t="shared" ref="E93:G93" si="71">+E92/E86</f>
        <v>5.6145569520547979E-2</v>
      </c>
      <c r="F93" s="29">
        <f t="shared" si="71"/>
        <v>8.8810229367776994E-2</v>
      </c>
      <c r="G93" s="29">
        <f t="shared" si="71"/>
        <v>0.11237438136230879</v>
      </c>
      <c r="H93" s="29">
        <f t="shared" ref="H93" si="72">+H92/H86</f>
        <v>9.7864322563855424E-2</v>
      </c>
      <c r="I93" s="29">
        <f t="shared" ref="I93" si="73">+I92/I86</f>
        <v>0.10522089512551971</v>
      </c>
      <c r="J93" s="29">
        <f t="shared" ref="J93" si="74">+J92/J86</f>
        <v>0.11282219130161414</v>
      </c>
      <c r="K93" s="29">
        <f t="shared" ref="K93" si="75">+K92/K86</f>
        <v>0.12062817480489499</v>
      </c>
      <c r="L93" s="29">
        <f t="shared" ref="L93" si="76">+L92/L86</f>
        <v>0.12859586563873876</v>
      </c>
    </row>
    <row r="95" spans="1:14" x14ac:dyDescent="0.25">
      <c r="C95" t="s">
        <v>76</v>
      </c>
      <c r="D95">
        <f>+D76</f>
        <v>4.2169429400000045</v>
      </c>
      <c r="E95">
        <f>+E76</f>
        <v>2.7760756495000045</v>
      </c>
      <c r="F95">
        <f>+F76</f>
        <v>4.4093370149999949</v>
      </c>
      <c r="G95">
        <f>+G76</f>
        <v>10.759104751261365</v>
      </c>
      <c r="H95">
        <f t="shared" ref="H95:L95" ca="1" si="77">+H76</f>
        <v>2.2658506954174591</v>
      </c>
      <c r="I95">
        <f t="shared" ca="1" si="77"/>
        <v>7.6583562959965281</v>
      </c>
      <c r="J95">
        <f t="shared" ca="1" si="77"/>
        <v>11.365980862990558</v>
      </c>
      <c r="K95">
        <f t="shared" ca="1" si="77"/>
        <v>15.74533540118815</v>
      </c>
      <c r="L95">
        <f t="shared" ca="1" si="77"/>
        <v>20.254633208633429</v>
      </c>
      <c r="N95" s="29">
        <f ca="1">+(L95/G95)^(0.2)-1</f>
        <v>0.1348792341227012</v>
      </c>
    </row>
    <row r="96" spans="1:14" x14ac:dyDescent="0.25">
      <c r="C96" t="s">
        <v>71</v>
      </c>
      <c r="D96" s="29">
        <f>+D95/D86</f>
        <v>2.930467644197363E-2</v>
      </c>
      <c r="E96" s="29">
        <f t="shared" ref="E96:G96" si="78">+E95/E86</f>
        <v>1.9014216777397293E-2</v>
      </c>
      <c r="F96" s="29">
        <f t="shared" si="78"/>
        <v>2.9975098674371141E-2</v>
      </c>
      <c r="G96" s="29">
        <f t="shared" si="78"/>
        <v>6.5075352091157543E-2</v>
      </c>
      <c r="H96" s="29">
        <f t="shared" ref="H96" ca="1" si="79">+H95/H86</f>
        <v>1.2819151841876575E-2</v>
      </c>
      <c r="I96" s="29">
        <f t="shared" ref="I96" ca="1" si="80">+I95/I86</f>
        <v>4.0417223963095696E-2</v>
      </c>
      <c r="J96" s="29">
        <f t="shared" ref="J96" ca="1" si="81">+J95/J86</f>
        <v>5.5798383596402809E-2</v>
      </c>
      <c r="K96" s="29">
        <f t="shared" ref="K96" ca="1" si="82">+K95/K86</f>
        <v>7.1696756744485071E-2</v>
      </c>
      <c r="L96" s="29">
        <f t="shared" ref="L96" ca="1" si="83">+L95/L86</f>
        <v>8.5295378330307522E-2</v>
      </c>
    </row>
    <row r="98" spans="1:12" x14ac:dyDescent="0.25">
      <c r="A98" t="s">
        <v>61</v>
      </c>
      <c r="B98" s="27" t="s">
        <v>77</v>
      </c>
    </row>
    <row r="99" spans="1:12" x14ac:dyDescent="0.25">
      <c r="C99" t="s">
        <v>95</v>
      </c>
      <c r="E99" s="22"/>
      <c r="F99" s="22"/>
      <c r="G99" s="61">
        <f>+I18</f>
        <v>20</v>
      </c>
      <c r="H99">
        <f ca="1">+H156</f>
        <v>20</v>
      </c>
      <c r="I99">
        <f t="shared" ref="I99:L99" ca="1" si="84">+I156</f>
        <v>20</v>
      </c>
      <c r="J99">
        <f t="shared" ca="1" si="84"/>
        <v>20</v>
      </c>
      <c r="K99">
        <f t="shared" ca="1" si="84"/>
        <v>20</v>
      </c>
      <c r="L99">
        <f t="shared" ca="1" si="84"/>
        <v>27.652254726744648</v>
      </c>
    </row>
    <row r="101" spans="1:12" x14ac:dyDescent="0.25">
      <c r="C101" t="s">
        <v>22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 t="shared" ref="I101:L101" si="85">+I102/365*(I86-I89)</f>
        <v>1.1340207249767589</v>
      </c>
      <c r="J101">
        <f t="shared" si="85"/>
        <v>1.2190940379116808</v>
      </c>
      <c r="K101">
        <f t="shared" si="85"/>
        <v>1.314329666726288</v>
      </c>
      <c r="L101">
        <f t="shared" si="85"/>
        <v>1.4211855663317419</v>
      </c>
    </row>
    <row r="102" spans="1:12" x14ac:dyDescent="0.25">
      <c r="C102" t="s">
        <v>96</v>
      </c>
      <c r="E102">
        <f>+E101/(E86-E89)*365</f>
        <v>16.684590112978526</v>
      </c>
      <c r="F102">
        <f t="shared" ref="F102:G102" si="86">+F101/(F86-F89)*365</f>
        <v>4.5134762037586551</v>
      </c>
      <c r="G102">
        <f t="shared" si="86"/>
        <v>3.0954216581398595</v>
      </c>
      <c r="H102" s="30">
        <f>+G102</f>
        <v>3.0954216581398595</v>
      </c>
      <c r="I102" s="30">
        <f t="shared" ref="I102:L102" si="87">+H102</f>
        <v>3.0954216581398595</v>
      </c>
      <c r="J102" s="30">
        <f t="shared" si="87"/>
        <v>3.0954216581398595</v>
      </c>
      <c r="K102" s="30">
        <f t="shared" si="87"/>
        <v>3.0954216581398595</v>
      </c>
      <c r="L102" s="30">
        <f t="shared" si="87"/>
        <v>3.0954216581398595</v>
      </c>
    </row>
    <row r="103" spans="1:12" x14ac:dyDescent="0.25">
      <c r="C103" t="s">
        <v>23</v>
      </c>
      <c r="E103" s="22">
        <f>+Data!E52</f>
        <v>14.432410605000001</v>
      </c>
      <c r="F103" s="22">
        <f>+Data!F52</f>
        <v>17.267365250000001</v>
      </c>
      <c r="G103" s="22">
        <f>+Data!G52</f>
        <v>19.366145442923212</v>
      </c>
      <c r="H103">
        <f>+H104/365*H86</f>
        <v>20.704062853702773</v>
      </c>
      <c r="I103">
        <f t="shared" ref="I103:L103" si="88">+I104/365*I86</f>
        <v>22.194873109661472</v>
      </c>
      <c r="J103">
        <f t="shared" si="88"/>
        <v>23.859914447991347</v>
      </c>
      <c r="K103">
        <f t="shared" si="88"/>
        <v>25.723851015025733</v>
      </c>
      <c r="L103">
        <f t="shared" si="88"/>
        <v>27.815217672200696</v>
      </c>
    </row>
    <row r="104" spans="1:12" x14ac:dyDescent="0.25">
      <c r="C104" t="s">
        <v>97</v>
      </c>
      <c r="E104">
        <f>+E103/E86*365</f>
        <v>36.081026512500003</v>
      </c>
      <c r="F104">
        <f t="shared" ref="F104:G104" si="89">+F103/F86*365</f>
        <v>42.845603781441199</v>
      </c>
      <c r="G104">
        <f t="shared" si="89"/>
        <v>42.753969619791228</v>
      </c>
      <c r="H104" s="30">
        <f>+G104</f>
        <v>42.753969619791228</v>
      </c>
      <c r="I104" s="30">
        <f t="shared" ref="I104:L104" si="90">+H104</f>
        <v>42.753969619791228</v>
      </c>
      <c r="J104" s="30">
        <f t="shared" si="90"/>
        <v>42.753969619791228</v>
      </c>
      <c r="K104" s="30">
        <f t="shared" si="90"/>
        <v>42.753969619791228</v>
      </c>
      <c r="L104" s="30">
        <f t="shared" si="90"/>
        <v>42.753969619791228</v>
      </c>
    </row>
    <row r="106" spans="1:12" x14ac:dyDescent="0.25">
      <c r="C106" t="s">
        <v>27</v>
      </c>
      <c r="E106" s="22">
        <f>+Data!E66</f>
        <v>23.503779160000001</v>
      </c>
      <c r="F106" s="22">
        <f>+Data!F66</f>
        <v>26.8249809</v>
      </c>
      <c r="G106" s="22">
        <f>+Data!G66</f>
        <v>29.951474245060318</v>
      </c>
      <c r="H106">
        <f>+H107/365*(H86-H89)</f>
        <v>33.03099129861576</v>
      </c>
      <c r="I106">
        <f t="shared" ref="I106:L106" si="91">+I107/365*(I86-I89)</f>
        <v>35.409410497804586</v>
      </c>
      <c r="J106">
        <f t="shared" si="91"/>
        <v>38.06579568880943</v>
      </c>
      <c r="K106">
        <f t="shared" si="91"/>
        <v>41.039495728358609</v>
      </c>
      <c r="L106">
        <f t="shared" si="91"/>
        <v>44.376034761469533</v>
      </c>
    </row>
    <row r="107" spans="1:12" x14ac:dyDescent="0.25">
      <c r="C107" t="s">
        <v>98</v>
      </c>
      <c r="E107">
        <f>+E106/(E86-E89)*365</f>
        <v>80.101581637721765</v>
      </c>
      <c r="F107">
        <f t="shared" ref="F107:G107" si="92">+F106/(F86-F89)*365</f>
        <v>96.845875652818989</v>
      </c>
      <c r="G107">
        <f t="shared" si="92"/>
        <v>96.653485904426972</v>
      </c>
      <c r="H107" s="30">
        <f>+G107</f>
        <v>96.653485904426972</v>
      </c>
      <c r="I107" s="30">
        <f t="shared" ref="I107:L107" si="93">+H107</f>
        <v>96.653485904426972</v>
      </c>
      <c r="J107" s="30">
        <f t="shared" si="93"/>
        <v>96.653485904426972</v>
      </c>
      <c r="K107" s="30">
        <f t="shared" si="93"/>
        <v>96.653485904426972</v>
      </c>
      <c r="L107" s="30">
        <f t="shared" si="93"/>
        <v>96.653485904426972</v>
      </c>
    </row>
    <row r="108" spans="1:12" x14ac:dyDescent="0.25">
      <c r="C108" t="s">
        <v>29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1.1569060957043789</v>
      </c>
      <c r="H108">
        <f>+H109/365*(H86-H89)</f>
        <v>1.2758555678383408</v>
      </c>
      <c r="I108">
        <f t="shared" ref="I108:L108" si="94">+I109/365*(I86-I89)</f>
        <v>1.3677244236805766</v>
      </c>
      <c r="J108">
        <f t="shared" si="94"/>
        <v>1.4703299981129998</v>
      </c>
      <c r="K108">
        <f t="shared" si="94"/>
        <v>1.5851921806687779</v>
      </c>
      <c r="L108">
        <f t="shared" si="94"/>
        <v>1.7140693876596234</v>
      </c>
    </row>
    <row r="109" spans="1:12" x14ac:dyDescent="0.25">
      <c r="C109" t="s">
        <v>99</v>
      </c>
      <c r="E109">
        <f>+E108/(E86-E89)*365</f>
        <v>2.7145751713352011</v>
      </c>
      <c r="F109">
        <f t="shared" ref="F109:G109" si="95">+F108/(F86-F89)*365</f>
        <v>3.7241117517309594</v>
      </c>
      <c r="G109">
        <f t="shared" si="95"/>
        <v>3.7333390035834495</v>
      </c>
      <c r="H109" s="30">
        <f>+G109</f>
        <v>3.7333390035834495</v>
      </c>
      <c r="I109" s="30">
        <f t="shared" ref="I109:L109" si="96">+H109</f>
        <v>3.7333390035834495</v>
      </c>
      <c r="J109" s="30">
        <f t="shared" si="96"/>
        <v>3.7333390035834495</v>
      </c>
      <c r="K109" s="30">
        <f t="shared" si="96"/>
        <v>3.7333390035834495</v>
      </c>
      <c r="L109" s="30">
        <f t="shared" si="96"/>
        <v>3.7333390035834495</v>
      </c>
    </row>
    <row r="111" spans="1:12" x14ac:dyDescent="0.25">
      <c r="C111" t="s">
        <v>94</v>
      </c>
      <c r="E111">
        <f>+E103+E101-E106-E108</f>
        <v>-4.972221704999999</v>
      </c>
      <c r="F111">
        <f t="shared" ref="F111:L111" si="97">+F103+F101-F106-F108</f>
        <v>-9.3389725099999978</v>
      </c>
      <c r="G111">
        <f t="shared" si="97"/>
        <v>-10.783009876583026</v>
      </c>
      <c r="H111">
        <f t="shared" si="97"/>
        <v>-12.544934470142319</v>
      </c>
      <c r="I111">
        <f t="shared" si="97"/>
        <v>-13.448241086846933</v>
      </c>
      <c r="J111">
        <f t="shared" si="97"/>
        <v>-14.457117201019402</v>
      </c>
      <c r="K111">
        <f t="shared" si="97"/>
        <v>-15.586507227275366</v>
      </c>
      <c r="L111">
        <f t="shared" si="97"/>
        <v>-16.853700910596718</v>
      </c>
    </row>
    <row r="112" spans="1:12" x14ac:dyDescent="0.25">
      <c r="C112" t="s">
        <v>100</v>
      </c>
      <c r="F112">
        <f>+E111-F111</f>
        <v>4.3667508049999988</v>
      </c>
      <c r="G112">
        <f t="shared" ref="G112:L112" si="98">+F111-G111</f>
        <v>1.4440373665830286</v>
      </c>
      <c r="H112">
        <f t="shared" si="98"/>
        <v>1.7619245935592929</v>
      </c>
      <c r="I112">
        <f t="shared" si="98"/>
        <v>0.90330661670461332</v>
      </c>
      <c r="J112">
        <f t="shared" si="98"/>
        <v>1.0088761141724696</v>
      </c>
      <c r="K112">
        <f t="shared" si="98"/>
        <v>1.1293900262559635</v>
      </c>
      <c r="L112">
        <f t="shared" si="98"/>
        <v>1.2671936833213522</v>
      </c>
    </row>
    <row r="114" spans="1:13" x14ac:dyDescent="0.25">
      <c r="C114" t="s">
        <v>115</v>
      </c>
      <c r="G114">
        <f>+G136</f>
        <v>0</v>
      </c>
      <c r="H114">
        <f t="shared" ref="H114:L114" ca="1" si="99">+H136</f>
        <v>0</v>
      </c>
      <c r="I114">
        <f t="shared" ca="1" si="99"/>
        <v>0</v>
      </c>
      <c r="J114">
        <f t="shared" ca="1" si="99"/>
        <v>0</v>
      </c>
      <c r="K114">
        <f t="shared" ca="1" si="99"/>
        <v>0</v>
      </c>
      <c r="L114">
        <f t="shared" ca="1" si="99"/>
        <v>0</v>
      </c>
    </row>
    <row r="115" spans="1:13" x14ac:dyDescent="0.25">
      <c r="C115" t="s">
        <v>136</v>
      </c>
      <c r="G115">
        <f>+G142</f>
        <v>74.316785177997303</v>
      </c>
      <c r="H115">
        <f t="shared" ref="H115:L115" ca="1" si="100">+H142</f>
        <v>64.650173682160329</v>
      </c>
      <c r="I115">
        <f t="shared" ca="1" si="100"/>
        <v>51.866027268144435</v>
      </c>
      <c r="J115">
        <f t="shared" ca="1" si="100"/>
        <v>35.913628054572982</v>
      </c>
      <c r="K115">
        <f t="shared" ca="1" si="100"/>
        <v>16.243281965318111</v>
      </c>
      <c r="L115">
        <f t="shared" ca="1" si="100"/>
        <v>0</v>
      </c>
    </row>
    <row r="116" spans="1:13" x14ac:dyDescent="0.25">
      <c r="C116" t="s">
        <v>157</v>
      </c>
      <c r="G116">
        <f>+G148</f>
        <v>37.158392588998652</v>
      </c>
      <c r="H116">
        <f t="shared" ref="H116:L116" si="101">+H148</f>
        <v>40.131063996118542</v>
      </c>
      <c r="I116">
        <f t="shared" si="101"/>
        <v>43.341549115808021</v>
      </c>
      <c r="J116">
        <f t="shared" si="101"/>
        <v>46.808873045072666</v>
      </c>
      <c r="K116">
        <f t="shared" si="101"/>
        <v>50.553582888678477</v>
      </c>
      <c r="L116">
        <f t="shared" si="101"/>
        <v>54.597869519772757</v>
      </c>
    </row>
    <row r="117" spans="1:13" x14ac:dyDescent="0.25">
      <c r="C117" t="s">
        <v>156</v>
      </c>
      <c r="G117" s="28">
        <f>SUM(G114:G116)</f>
        <v>111.47517776699596</v>
      </c>
      <c r="H117" s="28">
        <f t="shared" ref="H117:L117" ca="1" si="102">SUM(H114:H116)</f>
        <v>104.78123767827887</v>
      </c>
      <c r="I117" s="28">
        <f t="shared" ca="1" si="102"/>
        <v>95.207576383952457</v>
      </c>
      <c r="J117" s="28">
        <f t="shared" ca="1" si="102"/>
        <v>82.722501099645655</v>
      </c>
      <c r="K117" s="28">
        <f t="shared" ca="1" si="102"/>
        <v>66.796864853996595</v>
      </c>
      <c r="L117" s="28">
        <f t="shared" ca="1" si="102"/>
        <v>54.597869519772757</v>
      </c>
    </row>
    <row r="119" spans="1:13" x14ac:dyDescent="0.25">
      <c r="A119" t="s">
        <v>61</v>
      </c>
      <c r="B119" s="27" t="s">
        <v>101</v>
      </c>
    </row>
    <row r="120" spans="1:13" x14ac:dyDescent="0.25">
      <c r="C120" t="s">
        <v>43</v>
      </c>
      <c r="H120">
        <f>+H92</f>
        <v>17.298019874722797</v>
      </c>
      <c r="I120">
        <f t="shared" ref="I120:L120" si="103">+I92</f>
        <v>19.937517366128226</v>
      </c>
      <c r="J120">
        <f t="shared" si="103"/>
        <v>22.981577325431253</v>
      </c>
      <c r="K120">
        <f t="shared" si="103"/>
        <v>26.491171391547255</v>
      </c>
      <c r="L120">
        <f t="shared" si="103"/>
        <v>30.536966265308898</v>
      </c>
    </row>
    <row r="121" spans="1:13" x14ac:dyDescent="0.25">
      <c r="C121" t="s">
        <v>100</v>
      </c>
      <c r="H121">
        <f>+H112</f>
        <v>1.7619245935592929</v>
      </c>
      <c r="I121">
        <f t="shared" ref="I121:L121" si="104">+I112</f>
        <v>0.90330661670461332</v>
      </c>
      <c r="J121">
        <f t="shared" si="104"/>
        <v>1.0088761141724696</v>
      </c>
      <c r="K121">
        <f t="shared" si="104"/>
        <v>1.1293900262559635</v>
      </c>
      <c r="L121">
        <f t="shared" si="104"/>
        <v>1.2671936833213522</v>
      </c>
    </row>
    <row r="122" spans="1:13" x14ac:dyDescent="0.25">
      <c r="C122" t="s">
        <v>102</v>
      </c>
      <c r="H122">
        <f ca="1">+H152</f>
        <v>-4.1690087658047288</v>
      </c>
      <c r="I122">
        <f t="shared" ref="I122:L122" ca="1" si="105">+I152</f>
        <v>-3.4954860285091427</v>
      </c>
      <c r="J122">
        <f t="shared" ca="1" si="105"/>
        <v>-2.6333896596815225</v>
      </c>
      <c r="K122">
        <f t="shared" ca="1" si="105"/>
        <v>-1.5647073005967327</v>
      </c>
      <c r="L122">
        <f t="shared" ca="1" si="105"/>
        <v>-0.48729845895954332</v>
      </c>
      <c r="M122" s="84" t="s">
        <v>171</v>
      </c>
    </row>
    <row r="123" spans="1:13" x14ac:dyDescent="0.25">
      <c r="C123" t="s">
        <v>103</v>
      </c>
      <c r="H123">
        <f ca="1">+H95*H83*-1</f>
        <v>-0.36253611126679347</v>
      </c>
      <c r="I123">
        <f t="shared" ref="I123:L123" ca="1" si="106">+I95*I83*-1</f>
        <v>-1.2253370073594445</v>
      </c>
      <c r="J123">
        <f t="shared" ca="1" si="106"/>
        <v>-1.8185569380784892</v>
      </c>
      <c r="K123">
        <f t="shared" ca="1" si="106"/>
        <v>-2.5192536641901042</v>
      </c>
      <c r="L123">
        <f t="shared" ca="1" si="106"/>
        <v>-3.2407413133813487</v>
      </c>
    </row>
    <row r="124" spans="1:13" x14ac:dyDescent="0.25">
      <c r="C124" t="s">
        <v>19</v>
      </c>
      <c r="H124">
        <f>+H78</f>
        <v>-4.8617880953735906</v>
      </c>
      <c r="I124">
        <f t="shared" ref="I124:L124" si="107">+I78</f>
        <v>-3.3358545329483524</v>
      </c>
      <c r="J124">
        <f t="shared" si="107"/>
        <v>-3.5861076282722584</v>
      </c>
      <c r="K124">
        <f t="shared" si="107"/>
        <v>-3.8662543637615108</v>
      </c>
      <c r="L124">
        <f t="shared" si="107"/>
        <v>-4.1805834842265996</v>
      </c>
    </row>
    <row r="125" spans="1:13" x14ac:dyDescent="0.25">
      <c r="C125" t="s">
        <v>104</v>
      </c>
      <c r="H125" s="28">
        <f ca="1">+SUM(H120:H124)</f>
        <v>9.6666114958369764</v>
      </c>
      <c r="I125" s="28">
        <f t="shared" ref="I125:L125" ca="1" si="108">+SUM(I120:I124)</f>
        <v>12.784146414015897</v>
      </c>
      <c r="J125" s="28">
        <f t="shared" ca="1" si="108"/>
        <v>15.95239921357145</v>
      </c>
      <c r="K125" s="28">
        <f t="shared" ca="1" si="108"/>
        <v>19.67034608925487</v>
      </c>
      <c r="L125" s="28">
        <f t="shared" ca="1" si="108"/>
        <v>23.895536692062759</v>
      </c>
    </row>
    <row r="127" spans="1:13" x14ac:dyDescent="0.25">
      <c r="C127" t="s">
        <v>132</v>
      </c>
      <c r="H127">
        <f>+H154</f>
        <v>20</v>
      </c>
      <c r="I127">
        <f t="shared" ref="I127:L127" ca="1" si="109">+I154</f>
        <v>20</v>
      </c>
      <c r="J127">
        <f t="shared" ca="1" si="109"/>
        <v>20</v>
      </c>
      <c r="K127">
        <f t="shared" ca="1" si="109"/>
        <v>20</v>
      </c>
      <c r="L127">
        <f t="shared" ca="1" si="109"/>
        <v>20</v>
      </c>
    </row>
    <row r="128" spans="1:13" x14ac:dyDescent="0.25">
      <c r="C128" t="s">
        <v>125</v>
      </c>
      <c r="H128">
        <f>+$I$18*-1</f>
        <v>-20</v>
      </c>
      <c r="I128">
        <f t="shared" ref="I128:L128" si="110">+$I$18*-1</f>
        <v>-20</v>
      </c>
      <c r="J128">
        <f t="shared" si="110"/>
        <v>-20</v>
      </c>
      <c r="K128">
        <f t="shared" si="110"/>
        <v>-20</v>
      </c>
      <c r="L128">
        <f t="shared" si="110"/>
        <v>-20</v>
      </c>
    </row>
    <row r="129" spans="1:13" x14ac:dyDescent="0.25">
      <c r="C129" t="s">
        <v>133</v>
      </c>
      <c r="H129" s="28">
        <f ca="1">+H128+H127+H125</f>
        <v>9.6666114958369764</v>
      </c>
      <c r="I129" s="28">
        <f t="shared" ref="I129:L129" ca="1" si="111">+I128+I127+I125</f>
        <v>12.784146414015897</v>
      </c>
      <c r="J129" s="28">
        <f t="shared" ca="1" si="111"/>
        <v>15.95239921357145</v>
      </c>
      <c r="K129" s="28">
        <f t="shared" ca="1" si="111"/>
        <v>19.67034608925487</v>
      </c>
      <c r="L129" s="28">
        <f t="shared" ca="1" si="111"/>
        <v>23.895536692062759</v>
      </c>
    </row>
    <row r="131" spans="1:13" x14ac:dyDescent="0.25">
      <c r="A131" t="s">
        <v>61</v>
      </c>
      <c r="B131" s="27" t="s">
        <v>134</v>
      </c>
    </row>
    <row r="132" spans="1:13" x14ac:dyDescent="0.25">
      <c r="C132" t="s">
        <v>135</v>
      </c>
      <c r="H132">
        <f>+H140+H147</f>
        <v>0</v>
      </c>
      <c r="I132">
        <f t="shared" ref="I132:L132" si="112">+I140+I147</f>
        <v>0</v>
      </c>
      <c r="J132">
        <f t="shared" si="112"/>
        <v>0</v>
      </c>
      <c r="K132">
        <f t="shared" si="112"/>
        <v>0</v>
      </c>
      <c r="L132">
        <f t="shared" si="112"/>
        <v>0</v>
      </c>
    </row>
    <row r="134" spans="1:13" x14ac:dyDescent="0.25">
      <c r="C134" t="s">
        <v>138</v>
      </c>
      <c r="H134">
        <f>+G136</f>
        <v>0</v>
      </c>
      <c r="I134">
        <f t="shared" ref="I134:L134" ca="1" si="113">+H136</f>
        <v>0</v>
      </c>
      <c r="J134">
        <f t="shared" ca="1" si="113"/>
        <v>0</v>
      </c>
      <c r="K134">
        <f t="shared" ca="1" si="113"/>
        <v>0</v>
      </c>
      <c r="L134">
        <f t="shared" ca="1" si="113"/>
        <v>0</v>
      </c>
    </row>
    <row r="135" spans="1:13" x14ac:dyDescent="0.25">
      <c r="C135" t="s">
        <v>139</v>
      </c>
      <c r="H135">
        <f ca="1">+MIN(H134, H132+H129)*-1</f>
        <v>0</v>
      </c>
      <c r="I135">
        <f t="shared" ref="I135:L135" ca="1" si="114">+MIN(I134, I132+I129)*-1</f>
        <v>0</v>
      </c>
      <c r="J135">
        <f t="shared" ca="1" si="114"/>
        <v>0</v>
      </c>
      <c r="K135">
        <f t="shared" ca="1" si="114"/>
        <v>0</v>
      </c>
      <c r="L135">
        <f t="shared" ca="1" si="114"/>
        <v>0</v>
      </c>
    </row>
    <row r="136" spans="1:13" x14ac:dyDescent="0.25">
      <c r="C136" t="s">
        <v>140</v>
      </c>
      <c r="G136" s="32">
        <f>+I6</f>
        <v>0</v>
      </c>
      <c r="H136" s="28">
        <f ca="1">SUM(H134:H135)</f>
        <v>0</v>
      </c>
      <c r="I136" s="28">
        <f t="shared" ref="I136:L136" ca="1" si="115">SUM(I134:I135)</f>
        <v>0</v>
      </c>
      <c r="J136" s="28">
        <f t="shared" ca="1" si="115"/>
        <v>0</v>
      </c>
      <c r="K136" s="28">
        <f t="shared" ca="1" si="115"/>
        <v>0</v>
      </c>
      <c r="L136" s="28">
        <f t="shared" ca="1" si="115"/>
        <v>0</v>
      </c>
    </row>
    <row r="137" spans="1:13" x14ac:dyDescent="0.25">
      <c r="C137" t="s">
        <v>141</v>
      </c>
      <c r="H137">
        <f ca="1">+AVERAGE(G136:H136)*$S$6*-1</f>
        <v>0</v>
      </c>
      <c r="I137">
        <f t="shared" ref="I137:L137" ca="1" si="116">+AVERAGE(H136:I136)*$S$6*-1</f>
        <v>0</v>
      </c>
      <c r="J137">
        <f t="shared" ca="1" si="116"/>
        <v>0</v>
      </c>
      <c r="K137">
        <f t="shared" ca="1" si="116"/>
        <v>0</v>
      </c>
      <c r="L137">
        <f t="shared" ca="1" si="116"/>
        <v>0</v>
      </c>
    </row>
    <row r="139" spans="1:13" x14ac:dyDescent="0.25">
      <c r="C139" t="s">
        <v>142</v>
      </c>
      <c r="H139">
        <f>+G142</f>
        <v>74.316785177997303</v>
      </c>
      <c r="I139">
        <f t="shared" ref="I139:L139" ca="1" si="117">+H142</f>
        <v>64.650173682160329</v>
      </c>
      <c r="J139">
        <f t="shared" ca="1" si="117"/>
        <v>51.866027268144435</v>
      </c>
      <c r="K139">
        <f t="shared" ca="1" si="117"/>
        <v>35.913628054572982</v>
      </c>
      <c r="L139">
        <f t="shared" ca="1" si="117"/>
        <v>16.243281965318111</v>
      </c>
    </row>
    <row r="140" spans="1:13" x14ac:dyDescent="0.25">
      <c r="C140" t="s">
        <v>143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3" x14ac:dyDescent="0.25">
      <c r="C141" t="s">
        <v>144</v>
      </c>
      <c r="D141" s="59" t="s">
        <v>146</v>
      </c>
      <c r="E141" s="60">
        <v>1</v>
      </c>
      <c r="H141">
        <f ca="1">+MIN(H139+H140, H129+H132+H135)*$E$141*-1</f>
        <v>-9.6666114958369764</v>
      </c>
      <c r="I141">
        <f t="shared" ref="I141:L141" ca="1" si="118">+MIN(I139+I140, I129+I132+I135)*$E$141*-1</f>
        <v>-12.784146414015897</v>
      </c>
      <c r="J141">
        <f t="shared" ca="1" si="118"/>
        <v>-15.95239921357145</v>
      </c>
      <c r="K141">
        <f t="shared" ca="1" si="118"/>
        <v>-19.67034608925487</v>
      </c>
      <c r="L141">
        <f t="shared" ca="1" si="118"/>
        <v>-16.243281965318111</v>
      </c>
      <c r="M141" s="84" t="s">
        <v>172</v>
      </c>
    </row>
    <row r="142" spans="1:13" x14ac:dyDescent="0.25">
      <c r="C142" t="s">
        <v>145</v>
      </c>
      <c r="G142" s="32">
        <f>+I7</f>
        <v>74.316785177997303</v>
      </c>
      <c r="H142" s="28">
        <f ca="1">SUM(H139:H141)</f>
        <v>64.650173682160329</v>
      </c>
      <c r="I142" s="28">
        <f t="shared" ref="I142:L142" ca="1" si="119">SUM(I139:I141)</f>
        <v>51.866027268144435</v>
      </c>
      <c r="J142" s="28">
        <f t="shared" ca="1" si="119"/>
        <v>35.913628054572982</v>
      </c>
      <c r="K142" s="28">
        <f t="shared" ca="1" si="119"/>
        <v>16.243281965318111</v>
      </c>
      <c r="L142" s="28">
        <f t="shared" ca="1" si="119"/>
        <v>0</v>
      </c>
    </row>
    <row r="143" spans="1:13" x14ac:dyDescent="0.25">
      <c r="C143" t="s">
        <v>141</v>
      </c>
      <c r="H143">
        <f ca="1">+AVERAGE(G142:H142)*$S$7*-1</f>
        <v>-4.1690087658047288</v>
      </c>
      <c r="I143">
        <f t="shared" ref="I143:L143" ca="1" si="120">+AVERAGE(H142:I142)*$S$7*-1</f>
        <v>-3.4954860285091427</v>
      </c>
      <c r="J143">
        <f t="shared" ca="1" si="120"/>
        <v>-2.6333896596815225</v>
      </c>
      <c r="K143">
        <f t="shared" ca="1" si="120"/>
        <v>-1.5647073005967327</v>
      </c>
      <c r="L143">
        <f t="shared" ca="1" si="120"/>
        <v>-0.48729845895954332</v>
      </c>
    </row>
    <row r="145" spans="1:13" x14ac:dyDescent="0.25">
      <c r="C145" t="s">
        <v>147</v>
      </c>
      <c r="H145">
        <f>+G148</f>
        <v>37.158392588998652</v>
      </c>
      <c r="I145">
        <f t="shared" ref="I145:L145" si="121">+H148</f>
        <v>40.131063996118542</v>
      </c>
      <c r="J145">
        <f t="shared" si="121"/>
        <v>43.341549115808021</v>
      </c>
      <c r="K145">
        <f t="shared" si="121"/>
        <v>46.808873045072666</v>
      </c>
      <c r="L145">
        <f t="shared" si="121"/>
        <v>50.553582888678477</v>
      </c>
    </row>
    <row r="146" spans="1:13" x14ac:dyDescent="0.25">
      <c r="C146" t="s">
        <v>149</v>
      </c>
      <c r="H146">
        <f>+H145*$T$8</f>
        <v>2.9726714071198921</v>
      </c>
      <c r="I146">
        <f t="shared" ref="I146:L146" si="122">+I145*$T$8</f>
        <v>3.2104851196894835</v>
      </c>
      <c r="J146">
        <f t="shared" si="122"/>
        <v>3.4673239292646416</v>
      </c>
      <c r="K146">
        <f t="shared" si="122"/>
        <v>3.7447098436058135</v>
      </c>
      <c r="L146">
        <f t="shared" si="122"/>
        <v>4.0442866310942787</v>
      </c>
    </row>
    <row r="147" spans="1:13" x14ac:dyDescent="0.25">
      <c r="C147" t="s">
        <v>143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3" x14ac:dyDescent="0.25">
      <c r="C148" t="s">
        <v>148</v>
      </c>
      <c r="G148" s="32">
        <f>+I8</f>
        <v>37.158392588998652</v>
      </c>
      <c r="H148" s="28">
        <f>SUM(H145:H147)</f>
        <v>40.131063996118542</v>
      </c>
      <c r="I148" s="28">
        <f>SUM(I145:I147)</f>
        <v>43.341549115808021</v>
      </c>
      <c r="J148" s="28">
        <f>SUM(J145:J147)</f>
        <v>46.808873045072666</v>
      </c>
      <c r="K148" s="28">
        <f>SUM(K145:K147)</f>
        <v>50.553582888678477</v>
      </c>
      <c r="L148" s="28">
        <f>SUM(L145:L147)</f>
        <v>54.597869519772757</v>
      </c>
    </row>
    <row r="149" spans="1:13" x14ac:dyDescent="0.25">
      <c r="C149" t="s">
        <v>150</v>
      </c>
      <c r="H149">
        <f>+H146*-1</f>
        <v>-2.9726714071198921</v>
      </c>
      <c r="I149">
        <f>+I146*-1</f>
        <v>-3.2104851196894835</v>
      </c>
      <c r="J149">
        <f>+J146*-1</f>
        <v>-3.4673239292646416</v>
      </c>
      <c r="K149">
        <f>+K146*-1</f>
        <v>-3.7447098436058135</v>
      </c>
      <c r="L149">
        <f>+L146*-1</f>
        <v>-4.0442866310942787</v>
      </c>
    </row>
    <row r="151" spans="1:13" x14ac:dyDescent="0.25">
      <c r="C151" t="s">
        <v>151</v>
      </c>
      <c r="H151">
        <f ca="1">+H149+H143+H137</f>
        <v>-7.1416801729246213</v>
      </c>
      <c r="I151">
        <f ca="1">+I149+I143+I137</f>
        <v>-6.7059711481986266</v>
      </c>
      <c r="J151">
        <f ca="1">+J149+J143+J137</f>
        <v>-6.1007135889461637</v>
      </c>
      <c r="K151">
        <f ca="1">+K149+K143+K137</f>
        <v>-5.3094171442025466</v>
      </c>
      <c r="L151">
        <f ca="1">+L149+L143+L137</f>
        <v>-4.5315850900538219</v>
      </c>
    </row>
    <row r="152" spans="1:13" x14ac:dyDescent="0.25">
      <c r="C152" t="s">
        <v>102</v>
      </c>
      <c r="H152">
        <f ca="1">+H143+H137</f>
        <v>-4.1690087658047288</v>
      </c>
      <c r="I152">
        <f ca="1">+I143+I137</f>
        <v>-3.4954860285091427</v>
      </c>
      <c r="J152">
        <f ca="1">+J143+J137</f>
        <v>-2.6333896596815225</v>
      </c>
      <c r="K152">
        <f ca="1">+K143+K137</f>
        <v>-1.5647073005967327</v>
      </c>
      <c r="L152">
        <f ca="1">+L143+L137</f>
        <v>-0.48729845895954332</v>
      </c>
    </row>
    <row r="154" spans="1:13" x14ac:dyDescent="0.25">
      <c r="C154" t="s">
        <v>132</v>
      </c>
      <c r="H154">
        <f>+G156</f>
        <v>20</v>
      </c>
      <c r="I154">
        <f t="shared" ref="I154:L154" ca="1" si="123">+H156</f>
        <v>20</v>
      </c>
      <c r="J154">
        <f t="shared" ca="1" si="123"/>
        <v>20</v>
      </c>
      <c r="K154">
        <f t="shared" ca="1" si="123"/>
        <v>20</v>
      </c>
      <c r="L154">
        <f t="shared" ca="1" si="123"/>
        <v>20</v>
      </c>
    </row>
    <row r="155" spans="1:13" x14ac:dyDescent="0.25">
      <c r="C155" t="s">
        <v>152</v>
      </c>
      <c r="H155">
        <f ca="1">+H125+H135+H140+H141+H147</f>
        <v>0</v>
      </c>
      <c r="I155">
        <f t="shared" ref="I155:L155" ca="1" si="124">+I125+I135+I140+I141+I147</f>
        <v>0</v>
      </c>
      <c r="J155">
        <f t="shared" ca="1" si="124"/>
        <v>0</v>
      </c>
      <c r="K155">
        <f t="shared" ca="1" si="124"/>
        <v>0</v>
      </c>
      <c r="L155">
        <f t="shared" ca="1" si="124"/>
        <v>7.6522547267446477</v>
      </c>
    </row>
    <row r="156" spans="1:13" x14ac:dyDescent="0.25">
      <c r="C156" t="s">
        <v>153</v>
      </c>
      <c r="G156" s="32">
        <f>+G99</f>
        <v>20</v>
      </c>
      <c r="H156" s="28">
        <f ca="1">SUM(H154:H155)</f>
        <v>20</v>
      </c>
      <c r="I156" s="28">
        <f t="shared" ref="I156:L156" ca="1" si="125">SUM(I154:I155)</f>
        <v>20</v>
      </c>
      <c r="J156" s="28">
        <f t="shared" ca="1" si="125"/>
        <v>20</v>
      </c>
      <c r="K156" s="28">
        <f t="shared" ca="1" si="125"/>
        <v>20</v>
      </c>
      <c r="L156" s="28">
        <f t="shared" ca="1" si="125"/>
        <v>27.652254726744648</v>
      </c>
    </row>
    <row r="158" spans="1:13" x14ac:dyDescent="0.25">
      <c r="A158" t="s">
        <v>61</v>
      </c>
      <c r="B158" s="27" t="s">
        <v>158</v>
      </c>
    </row>
    <row r="159" spans="1:13" x14ac:dyDescent="0.25">
      <c r="C159" t="s">
        <v>43</v>
      </c>
      <c r="L159">
        <f>+L92</f>
        <v>30.536966265308898</v>
      </c>
      <c r="M159" s="84" t="s">
        <v>173</v>
      </c>
    </row>
    <row r="160" spans="1:13" x14ac:dyDescent="0.25">
      <c r="C160" t="s">
        <v>159</v>
      </c>
      <c r="L160" s="62">
        <f>+M8</f>
        <v>12</v>
      </c>
    </row>
    <row r="161" spans="1:12" x14ac:dyDescent="0.25">
      <c r="C161" t="s">
        <v>160</v>
      </c>
      <c r="L161" s="28">
        <f>+L160*L159</f>
        <v>366.44359518370675</v>
      </c>
    </row>
    <row r="163" spans="1:12" x14ac:dyDescent="0.25">
      <c r="C163" t="s">
        <v>161</v>
      </c>
      <c r="L163">
        <f ca="1">+L117-L99</f>
        <v>26.94561479302811</v>
      </c>
    </row>
    <row r="164" spans="1:12" x14ac:dyDescent="0.25">
      <c r="C164" t="s">
        <v>162</v>
      </c>
      <c r="L164" s="28">
        <f ca="1">+L161-L163</f>
        <v>339.49798039067866</v>
      </c>
    </row>
    <row r="166" spans="1:12" x14ac:dyDescent="0.25">
      <c r="C166" t="s">
        <v>163</v>
      </c>
      <c r="L166" s="62">
        <f ca="1">+L164/I9</f>
        <v>2.3190383085308546</v>
      </c>
    </row>
    <row r="167" spans="1:12" x14ac:dyDescent="0.25">
      <c r="C167" t="s">
        <v>164</v>
      </c>
      <c r="L167" s="29">
        <f ca="1">+L166^(1/L1)-1</f>
        <v>0.18320932731663908</v>
      </c>
    </row>
    <row r="168" spans="1:12" x14ac:dyDescent="0.25">
      <c r="C168" t="s">
        <v>165</v>
      </c>
      <c r="L168">
        <f ca="1">+L164-I9</f>
        <v>193.10195961698315</v>
      </c>
    </row>
    <row r="170" spans="1:12" x14ac:dyDescent="0.25">
      <c r="A170" t="s">
        <v>61</v>
      </c>
      <c r="B170" s="27" t="s">
        <v>166</v>
      </c>
    </row>
    <row r="171" spans="1:12" x14ac:dyDescent="0.25">
      <c r="H171" s="65" t="s">
        <v>159</v>
      </c>
      <c r="I171" s="65"/>
      <c r="J171" s="65"/>
      <c r="K171" s="65"/>
      <c r="L171" s="65"/>
    </row>
    <row r="172" spans="1:12" x14ac:dyDescent="0.25">
      <c r="G172" s="63">
        <f ca="1">+L167</f>
        <v>0.18320932731663908</v>
      </c>
      <c r="H172" s="56">
        <v>10</v>
      </c>
      <c r="I172" s="62">
        <f>+H172+0.5</f>
        <v>10.5</v>
      </c>
      <c r="J172" s="62">
        <f t="shared" ref="J172:L172" si="126">+I172+0.5</f>
        <v>11</v>
      </c>
      <c r="K172" s="62">
        <f t="shared" si="126"/>
        <v>11.5</v>
      </c>
      <c r="L172" s="62">
        <f t="shared" si="126"/>
        <v>12</v>
      </c>
    </row>
    <row r="173" spans="1:12" x14ac:dyDescent="0.25">
      <c r="G173" s="56">
        <v>10</v>
      </c>
      <c r="H173" s="68">
        <f t="dataTable" ref="H173:L177" dt2D="1" dtr="1" r1="M8" r2="D6" ca="1"/>
        <v>0.20992069306375361</v>
      </c>
      <c r="I173" s="67">
        <v>0.22290898595891862</v>
      </c>
      <c r="J173" s="67">
        <v>0.23536784266337829</v>
      </c>
      <c r="K173" s="67">
        <v>0.24734347747585628</v>
      </c>
      <c r="L173" s="67">
        <v>0.25887611849269754</v>
      </c>
    </row>
    <row r="174" spans="1:12" x14ac:dyDescent="0.25">
      <c r="G174" s="62">
        <f>+G173+0.5</f>
        <v>10.5</v>
      </c>
      <c r="H174" s="66">
        <v>0.18906312762823529</v>
      </c>
      <c r="I174" s="36">
        <v>0.20182751810524202</v>
      </c>
      <c r="J174" s="36">
        <v>0.21407159922940577</v>
      </c>
      <c r="K174" s="36">
        <v>0.22584078862098544</v>
      </c>
      <c r="L174" s="36">
        <v>0.23717462089273122</v>
      </c>
    </row>
    <row r="175" spans="1:12" x14ac:dyDescent="0.25">
      <c r="E175" s="26" t="s">
        <v>167</v>
      </c>
      <c r="G175" s="62">
        <f t="shared" ref="G175:G177" si="127">+G174+0.5</f>
        <v>11</v>
      </c>
      <c r="H175" s="66">
        <v>0.17019255536376332</v>
      </c>
      <c r="I175" s="36">
        <v>0.18275437345641854</v>
      </c>
      <c r="J175" s="36">
        <v>0.19480413956710896</v>
      </c>
      <c r="K175" s="36">
        <v>0.2063865505330964</v>
      </c>
      <c r="L175" s="36">
        <v>0.21754051354815784</v>
      </c>
    </row>
    <row r="176" spans="1:12" x14ac:dyDescent="0.25">
      <c r="G176" s="62">
        <f t="shared" si="127"/>
        <v>11.5</v>
      </c>
      <c r="H176" s="66">
        <v>0.15298735151452325</v>
      </c>
      <c r="I176" s="36">
        <v>0.16536447466957127</v>
      </c>
      <c r="J176" s="36">
        <v>0.17723707448286929</v>
      </c>
      <c r="K176" s="36">
        <v>0.18864919061932439</v>
      </c>
      <c r="L176" s="36">
        <v>0.19963915822480871</v>
      </c>
    </row>
    <row r="177" spans="5:12" x14ac:dyDescent="0.25">
      <c r="G177" s="62">
        <f t="shared" si="127"/>
        <v>12</v>
      </c>
      <c r="H177" s="66">
        <v>0.13719644714568457</v>
      </c>
      <c r="I177" s="36">
        <v>0.14940405762754838</v>
      </c>
      <c r="J177" s="36">
        <v>0.16111405453976957</v>
      </c>
      <c r="K177" s="36">
        <v>0.17236987439568008</v>
      </c>
      <c r="L177" s="36">
        <v>0.18320932731663908</v>
      </c>
    </row>
    <row r="178" spans="5:12" x14ac:dyDescent="0.25">
      <c r="G178" s="62"/>
      <c r="H178" s="36"/>
      <c r="I178" s="36"/>
      <c r="J178" s="36"/>
      <c r="K178" s="36"/>
      <c r="L178" s="36"/>
    </row>
    <row r="179" spans="5:12" x14ac:dyDescent="0.25">
      <c r="G179" s="69" t="s">
        <v>169</v>
      </c>
      <c r="H179" s="36"/>
      <c r="I179" s="36"/>
      <c r="J179" s="36"/>
      <c r="K179" s="36"/>
      <c r="L179" s="36"/>
    </row>
    <row r="181" spans="5:12" x14ac:dyDescent="0.25">
      <c r="H181" s="65" t="s">
        <v>168</v>
      </c>
      <c r="I181" s="64"/>
      <c r="J181" s="64"/>
      <c r="K181" s="64"/>
      <c r="L181" s="64"/>
    </row>
    <row r="182" spans="5:12" x14ac:dyDescent="0.25">
      <c r="G182" s="63">
        <f ca="1">+L167</f>
        <v>0.18320932731663908</v>
      </c>
      <c r="H182" s="35">
        <v>7.0000000000000007E-2</v>
      </c>
      <c r="I182" s="36">
        <f>+H182+0.5%</f>
        <v>7.5000000000000011E-2</v>
      </c>
      <c r="J182" s="36">
        <f t="shared" ref="J182:L182" si="128">+I182+0.5%</f>
        <v>8.0000000000000016E-2</v>
      </c>
      <c r="K182" s="36">
        <f t="shared" si="128"/>
        <v>8.500000000000002E-2</v>
      </c>
      <c r="L182" s="36">
        <f t="shared" si="128"/>
        <v>9.0000000000000024E-2</v>
      </c>
    </row>
    <row r="183" spans="5:12" x14ac:dyDescent="0.25">
      <c r="G183" s="56">
        <v>10</v>
      </c>
      <c r="H183" s="68">
        <f t="dataTable" ref="H183:L187" dt2D="1" dtr="1" r1="N21" r2="D6" ca="1"/>
        <v>0.25887611849269754</v>
      </c>
      <c r="I183" s="67">
        <v>0.26918328220254462</v>
      </c>
      <c r="J183" s="67">
        <v>0.27933484965228694</v>
      </c>
      <c r="K183" s="67">
        <v>0.28933974941330787</v>
      </c>
      <c r="L183" s="67">
        <v>0.29920621872406405</v>
      </c>
    </row>
    <row r="184" spans="5:12" x14ac:dyDescent="0.25">
      <c r="G184" s="62">
        <f>+G183+0.5</f>
        <v>10.5</v>
      </c>
      <c r="H184" s="66">
        <v>0.23717462730900851</v>
      </c>
      <c r="I184" s="36">
        <v>0.24730410160007632</v>
      </c>
      <c r="J184" s="36">
        <v>0.25728066833814411</v>
      </c>
      <c r="K184" s="36">
        <v>0.26711309576057474</v>
      </c>
      <c r="L184" s="36">
        <v>0.27680947910582399</v>
      </c>
    </row>
    <row r="185" spans="5:12" x14ac:dyDescent="0.25">
      <c r="E185" s="26" t="s">
        <v>167</v>
      </c>
      <c r="G185" s="62">
        <f t="shared" ref="G185:G187" si="129">+G184+0.5</f>
        <v>11</v>
      </c>
      <c r="H185" s="66">
        <v>0.21754051986260792</v>
      </c>
      <c r="I185" s="36">
        <v>0.22750923820038005</v>
      </c>
      <c r="J185" s="36">
        <v>0.23732747564607659</v>
      </c>
      <c r="K185" s="36">
        <v>0.24700386128409835</v>
      </c>
      <c r="L185" s="36">
        <v>0.25654636188050994</v>
      </c>
    </row>
    <row r="186" spans="5:12" x14ac:dyDescent="0.25">
      <c r="G186" s="62">
        <f t="shared" si="129"/>
        <v>11.5</v>
      </c>
      <c r="H186" s="66">
        <v>0.19963916444641816</v>
      </c>
      <c r="I186" s="36">
        <v>0.20946131388804501</v>
      </c>
      <c r="J186" s="36">
        <v>0.2191351949404976</v>
      </c>
      <c r="K186" s="36">
        <v>0.22866930981576061</v>
      </c>
      <c r="L186" s="36">
        <v>0.23807150814547273</v>
      </c>
    </row>
    <row r="187" spans="5:12" x14ac:dyDescent="0.25">
      <c r="G187" s="62">
        <f t="shared" si="129"/>
        <v>12</v>
      </c>
      <c r="H187" s="66">
        <v>0.18320933345303958</v>
      </c>
      <c r="I187" s="36">
        <v>0.19289696223203689</v>
      </c>
      <c r="J187" s="36">
        <v>0.20243835325294302</v>
      </c>
      <c r="K187" s="36">
        <v>0.21184189228447359</v>
      </c>
      <c r="L187" s="36">
        <v>0.22111532145250634</v>
      </c>
    </row>
    <row r="188" spans="5:12" x14ac:dyDescent="0.25">
      <c r="G188" s="29"/>
    </row>
  </sheetData>
  <dataValidations count="1">
    <dataValidation type="list" allowBlank="1" showInputMessage="1" showErrorMessage="1" sqref="E141 M12" xr:uid="{F0DBCF94-8BD1-4BDC-8401-A21BA468FF2F}">
      <formula1>"0,1"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2026-01-15T02:48:25Z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{C3B2A8D3-546C-46A2-A467-947981FD4A7B}</vt:lpwstr>
  </property>
</Properties>
</file>