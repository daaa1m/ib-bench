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bendahara99-my.sharepoint.com/personal/danial_bendahara_com/Documents/ib-bench/"/>
    </mc:Choice>
  </mc:AlternateContent>
  <xr:revisionPtr revIDLastSave="38" documentId="13_ncr:1_{48BA5745-8F8F-4127-ACEF-B13AC3CEF22E}" xr6:coauthVersionLast="47" xr6:coauthVersionMax="47" xr10:uidLastSave="{8F0B6742-1E25-41F7-8F21-78C9E5A79671}"/>
  <bookViews>
    <workbookView xWindow="-98" yWindow="353" windowWidth="28996" windowHeight="15944" activeTab="2" xr2:uid="{00000000-000D-0000-FFFF-FFFF00000000}"/>
  </bookViews>
  <sheets>
    <sheet name="Segments" sheetId="18" r:id="rId1"/>
    <sheet name="IS" sheetId="7" r:id="rId2"/>
    <sheet name="BS &amp; CFS" sheetId="20" r:id="rId3"/>
  </sheets>
  <definedNames>
    <definedName name="\" hidden="1">{"kricash",#N/A,FALSE,"INC";"kriinc",#N/A,FALSE,"INC";"krimiami",#N/A,FALSE,"INC";"kriother",#N/A,FALSE,"INC";"kripapers",#N/A,FALSE,"INC"}</definedName>
    <definedName name="_____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_____p5" hidden="1">{"MARCRD",#N/A,FALSE,"FORECAST";"MARMKT",#N/A,FALSE,"FORECAST";"MARSTO",#N/A,FALSE,"FORECAST";"q1cred",#N/A,FALSE,"FORECAST";"q1mkt",#N/A,FALSE,"FORECAST";"q1sto",#N/A,FALSE,"FORECAST";"SUMMARY",#N/A,FALSE,"FORECAST"}</definedName>
    <definedName name="___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___p5" hidden="1">{"MARCRD",#N/A,FALSE,"FORECAST";"MARMKT",#N/A,FALSE,"FORECAST";"MARSTO",#N/A,FALSE,"FORECAST";"q1cred",#N/A,FALSE,"FORECAST";"q1mkt",#N/A,FALSE,"FORECAST";"q1sto",#N/A,FALSE,"FORECAST";"SUMMARY",#N/A,FALSE,"FORECAST"}</definedName>
    <definedName name="_____________p5" hidden="1">{"MARCRD",#N/A,FALSE,"FORECAST";"MARMKT",#N/A,FALSE,"FORECAST";"MARSTO",#N/A,FALSE,"FORECAST";"q1cred",#N/A,FALSE,"FORECAST";"q1mkt",#N/A,FALSE,"FORECAST";"q1sto",#N/A,FALSE,"FORECAST";"SUMMARY",#N/A,FALSE,"FORECAST"}</definedName>
    <definedName name="__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__p5" hidden="1">{"MARCRD",#N/A,FALSE,"FORECAST";"MARMKT",#N/A,FALSE,"FORECAST";"MARSTO",#N/A,FALSE,"FORECAST";"q1cred",#N/A,FALSE,"FORECAST";"q1mkt",#N/A,FALSE,"FORECAST";"q1sto",#N/A,FALSE,"FORECAST";"SUMMARY",#N/A,FALSE,"FORECAST"}</definedName>
    <definedName name="___________p5" hidden="1">{"MARCRD",#N/A,FALSE,"FORECAST";"MARMKT",#N/A,FALSE,"FORECAST";"MARSTO",#N/A,FALSE,"FORECAST";"q1cred",#N/A,FALSE,"FORECAST";"q1mkt",#N/A,FALSE,"FORECAST";"q1sto",#N/A,FALSE,"FORECAST";"SUMMARY",#N/A,FALSE,"FORECAST"}</definedName>
    <definedName name="__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__p5" hidden="1">{"MARCRD",#N/A,FALSE,"FORECAST";"MARMKT",#N/A,FALSE,"FORECAST";"MARSTO",#N/A,FALSE,"FORECAST";"q1cred",#N/A,FALSE,"FORECAST";"q1mkt",#N/A,FALSE,"FORECAST";"q1sto",#N/A,FALSE,"FORECAST";"SUMMARY",#N/A,FALSE,"FORECAST"}</definedName>
    <definedName name="_________p5" hidden="1">{"MARCRD",#N/A,FALSE,"FORECAST";"MARMKT",#N/A,FALSE,"FORECAST";"MARSTO",#N/A,FALSE,"FORECAST";"q1cred",#N/A,FALSE,"FORECAST";"q1mkt",#N/A,FALSE,"FORECAST";"q1sto",#N/A,FALSE,"FORECAST";"SUMMARY",#N/A,FALSE,"FORECAST"}</definedName>
    <definedName name="__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__p5" hidden="1">{"MARCRD",#N/A,FALSE,"FORECAST";"MARMKT",#N/A,FALSE,"FORECAST";"MARSTO",#N/A,FALSE,"FORECAST";"q1cred",#N/A,FALSE,"FORECAST";"q1mkt",#N/A,FALSE,"FORECAST";"q1sto",#N/A,FALSE,"FORECAST";"SUMMARY",#N/A,FALSE,"FORECAST"}</definedName>
    <definedName name="_______p5" hidden="1">{"MARCRD",#N/A,FALSE,"FORECAST";"MARMKT",#N/A,FALSE,"FORECAST";"MARSTO",#N/A,FALSE,"FORECAST";"q1cred",#N/A,FALSE,"FORECAST";"q1mkt",#N/A,FALSE,"FORECAST";"q1sto",#N/A,FALSE,"FORECAST";"SUMMARY",#N/A,FALSE,"FORECAST"}</definedName>
    <definedName name="_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_p5" hidden="1">{"MARCRD",#N/A,FALSE,"FORECAST";"MARMKT",#N/A,FALSE,"FORECAST";"MARSTO",#N/A,FALSE,"FORECAST";"q1cred",#N/A,FALSE,"FORECAST";"q1mkt",#N/A,FALSE,"FORECAST";"q1sto",#N/A,FALSE,"FORECAST";"SUMMARY",#N/A,FALSE,"FORECAST"}</definedName>
    <definedName name="_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_p5" hidden="1">{"MARCRD",#N/A,FALSE,"FORECAST";"MARMKT",#N/A,FALSE,"FORECAST";"MARSTO",#N/A,FALSE,"FORECAST";"q1cred",#N/A,FALSE,"FORECAST";"q1mkt",#N/A,FALSE,"FORECAST";"q1sto",#N/A,FALSE,"FORECAST";"SUMMARY",#N/A,FALSE,"FORECAST"}</definedName>
    <definedName name="_____v1" hidden="1">{"MARCRD",#N/A,FALSE,"FORECAST";"MARMKT",#N/A,FALSE,"FORECAST";"MARSTO",#N/A,FALSE,"FORECAST";"q1cred",#N/A,FALSE,"FORECAST";"q1mkt",#N/A,FALSE,"FORECAST";"q1sto",#N/A,FALSE,"FORECAST";"SUMMARY",#N/A,FALSE,"FORECAST"}</definedName>
    <definedName name="_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_p5" hidden="1">{"MARCRD",#N/A,FALSE,"FORECAST";"MARMKT",#N/A,FALSE,"FORECAST";"MARSTO",#N/A,FALSE,"FORECAST";"q1cred",#N/A,FALSE,"FORECAST";"q1mkt",#N/A,FALSE,"FORECAST";"q1sto",#N/A,FALSE,"FORECAST";"SUMMARY",#N/A,FALSE,"FORECAST"}</definedName>
    <definedName name="____v1" hidden="1">{"MARCRD",#N/A,FALSE,"FORECAST";"MARMKT",#N/A,FALSE,"FORECAST";"MARSTO",#N/A,FALSE,"FORECAST";"q1cred",#N/A,FALSE,"FORECAST";"q1mkt",#N/A,FALSE,"FORECAST";"q1sto",#N/A,FALSE,"FORECAST";"SUMMARY",#N/A,FALSE,"FORECAST"}</definedName>
    <definedName name="_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_p5" hidden="1">{"MARCRD",#N/A,FALSE,"FORECAST";"MARMKT",#N/A,FALSE,"FORECAST";"MARSTO",#N/A,FALSE,"FORECAST";"q1cred",#N/A,FALSE,"FORECAST";"q1mkt",#N/A,FALSE,"FORECAST";"q1sto",#N/A,FALSE,"FORECAST";"SUMMARY",#N/A,FALSE,"FORECAST"}</definedName>
    <definedName name="___v1" hidden="1">{"MARCRD",#N/A,FALSE,"FORECAST";"MARMKT",#N/A,FALSE,"FORECAST";"MARSTO",#N/A,FALSE,"FORECAST";"q1cred",#N/A,FALSE,"FORECAST";"q1mkt",#N/A,FALSE,"FORECAST";"q1sto",#N/A,FALSE,"FORECAST";"SUMMARY",#N/A,FALSE,"FORECAST"}</definedName>
    <definedName name="__1__123Graph_AChart_1A" hidden="1">#REF!</definedName>
    <definedName name="__10__123Graph_AChart_1AJ" hidden="1">#REF!</definedName>
    <definedName name="__100__123Graph_EChart_1AB" hidden="1">#REF!</definedName>
    <definedName name="__101__123Graph_EChart_1B" hidden="1">#REF!</definedName>
    <definedName name="__102__123Graph_EGRAFICO_20" hidden="1">#REF!</definedName>
    <definedName name="__103__123Graph_FChart_1B" hidden="1">#REF!</definedName>
    <definedName name="__104__123Graph_FGRAFICO_20" hidden="1">#REF!</definedName>
    <definedName name="__105__123Graph_LBL_AGRAFICO_20" hidden="1">#REF!</definedName>
    <definedName name="__106__123Graph_LBL_BGRAFICO_20" hidden="1">#REF!</definedName>
    <definedName name="__107__123Graph_LBL_CGRAFICO_20" hidden="1">#REF!</definedName>
    <definedName name="__108__123Graph_LBL_DGRAFICO_20" hidden="1">#REF!</definedName>
    <definedName name="__109__123Graph_LBL_EGRAFICO_20" hidden="1">#REF!</definedName>
    <definedName name="__11__123Graph_AChart_1AK" hidden="1">#REF!</definedName>
    <definedName name="__110__123Graph_LBL_FGRAFICO_20" hidden="1">#REF!</definedName>
    <definedName name="__111__123Graph_XGRAFICO_8" hidden="1">#REF!</definedName>
    <definedName name="__12__123Graph_AChart_1AL" hidden="1">#REF!</definedName>
    <definedName name="__123Graph_A" hidden="1">#REF!</definedName>
    <definedName name="__123Graph_AINC_STMT" hidden="1">#REF!</definedName>
    <definedName name="__123Graph_APROCEEDS" hidden="1">#REF!</definedName>
    <definedName name="__123Graph_B" hidden="1">#REF!</definedName>
    <definedName name="__123Graph_BINC_STMT" hidden="1">#REF!</definedName>
    <definedName name="__123Graph_BPROCEEDS" hidden="1">#REF!</definedName>
    <definedName name="__123Graph_C" hidden="1">#REF!</definedName>
    <definedName name="__123Graph_CINC_STMT" hidden="1">#REF!</definedName>
    <definedName name="__123Graph_CPROCEEDS" hidden="1">#REF!</definedName>
    <definedName name="__123Graph_D" hidden="1">#REF!</definedName>
    <definedName name="__123Graph_DINC_STMT" hidden="1">#REF!</definedName>
    <definedName name="__123Graph_E" hidden="1">#REF!</definedName>
    <definedName name="__123Graph_EINC_STMT" hidden="1">#REF!</definedName>
    <definedName name="__123GRAPH_G" hidden="1">#REF!</definedName>
    <definedName name="__123Graph_X" hidden="1">#REF!</definedName>
    <definedName name="__123Graph_XPROCEEDS" hidden="1">#REF!</definedName>
    <definedName name="__13__123Graph_AChart_1AM" hidden="1">#REF!</definedName>
    <definedName name="__14__123Graph_AChart_1AN" hidden="1">#REF!</definedName>
    <definedName name="__15__123Graph_AChart_1B" hidden="1">#REF!</definedName>
    <definedName name="__16__123Graph_AChart_1C" hidden="1">#REF!</definedName>
    <definedName name="__17__123Graph_AChart_1E" hidden="1">#REF!</definedName>
    <definedName name="__18__123Graph_AChart_1F" hidden="1">#REF!</definedName>
    <definedName name="__19__123Graph_AChart_1G" hidden="1">#REF!</definedName>
    <definedName name="__2__123Graph_AChart_1AA" hidden="1">#REF!</definedName>
    <definedName name="__20__123Graph_AChart_1H" hidden="1">#REF!</definedName>
    <definedName name="__21__123Graph_AChart_1I" hidden="1">#REF!</definedName>
    <definedName name="__22__123Graph_AChart_1J" hidden="1">#REF!</definedName>
    <definedName name="__23__123Graph_AChart_1K" hidden="1">#REF!</definedName>
    <definedName name="__24__123Graph_AChart_1L" hidden="1">#REF!</definedName>
    <definedName name="__25__123Graph_AChart_1M" hidden="1">#REF!</definedName>
    <definedName name="__26__123Graph_AChart_1N" hidden="1">#REF!</definedName>
    <definedName name="__27__123Graph_AChart_1O" hidden="1">#REF!</definedName>
    <definedName name="__28__123Graph_AChart_1P" hidden="1">#REF!</definedName>
    <definedName name="__29__123Graph_AChart_1Q" hidden="1">#REF!</definedName>
    <definedName name="__3__123Graph_AChart_1AB" hidden="1">#REF!</definedName>
    <definedName name="__30__123Graph_AChart_1R" hidden="1">#REF!</definedName>
    <definedName name="__31__123Graph_AChart_1S" hidden="1">#REF!</definedName>
    <definedName name="__32__123Graph_AChart_1T" hidden="1">#REF!</definedName>
    <definedName name="__33__123Graph_AChart_1U" hidden="1">#REF!</definedName>
    <definedName name="__34__123Graph_AChart_1V" hidden="1">#REF!</definedName>
    <definedName name="__35__123Graph_AChart_1W" hidden="1">#REF!</definedName>
    <definedName name="__36__123Graph_AChart_1X" hidden="1">#REF!</definedName>
    <definedName name="__37__123Graph_AChart_1Y" hidden="1">#REF!</definedName>
    <definedName name="__38__123Graph_AChart_1Z" hidden="1">#REF!</definedName>
    <definedName name="__39__123Graph_AChart_2D" hidden="1">#REF!</definedName>
    <definedName name="__4__123Graph_AChart_1AC" hidden="1">#REF!</definedName>
    <definedName name="__40__123Graph_AChart_3D" hidden="1">#REF!</definedName>
    <definedName name="__41__123Graph_AChart_3X" hidden="1">#REF!</definedName>
    <definedName name="__42__123Graph_AChart_9C" hidden="1">#REF!</definedName>
    <definedName name="__43__123Graph_AGRAFICO_20" hidden="1">#REF!</definedName>
    <definedName name="__44__123Graph_AGRAFICO_7" hidden="1">#REF!</definedName>
    <definedName name="__45__123Graph_AGRAFICO_8" hidden="1">#REF!</definedName>
    <definedName name="__46__123Graph_BChart_1AA" hidden="1">#REF!</definedName>
    <definedName name="__47__123Graph_BChart_1AB" hidden="1">#REF!</definedName>
    <definedName name="__48__123Graph_BChart_1AC" hidden="1">#REF!</definedName>
    <definedName name="__49__123Graph_BChart_1AD" hidden="1">#REF!</definedName>
    <definedName name="__5__123Graph_AChart_1AD" hidden="1">#REF!</definedName>
    <definedName name="__50__123Graph_BChart_1AE" hidden="1">#REF!</definedName>
    <definedName name="__51__123Graph_BChart_1AF" hidden="1">#REF!</definedName>
    <definedName name="__52__123Graph_BChart_1AG" hidden="1">#REF!</definedName>
    <definedName name="__53__123Graph_BChart_1B" hidden="1">#REF!</definedName>
    <definedName name="__54__123Graph_BChart_1C" hidden="1">#REF!</definedName>
    <definedName name="__55__123Graph_BChart_1E" hidden="1">#REF!</definedName>
    <definedName name="__56__123Graph_BChart_1F" hidden="1">#REF!</definedName>
    <definedName name="__57__123Graph_BChart_1G" hidden="1">#REF!</definedName>
    <definedName name="__58__123Graph_BChart_1H" hidden="1">#REF!</definedName>
    <definedName name="__59__123Graph_BChart_1I" hidden="1">#REF!</definedName>
    <definedName name="__6__123Graph_AChart_1AE" hidden="1">#REF!</definedName>
    <definedName name="__60__123Graph_BChart_1J" hidden="1">#REF!</definedName>
    <definedName name="__61__123Graph_BChart_1K" hidden="1">#REF!</definedName>
    <definedName name="__62__123Graph_BChart_1L" hidden="1">#REF!</definedName>
    <definedName name="__63__123Graph_BChart_1N" hidden="1">#REF!</definedName>
    <definedName name="__64__123Graph_BChart_1Q" hidden="1">#REF!</definedName>
    <definedName name="__65__123Graph_BChart_1U" hidden="1">#REF!</definedName>
    <definedName name="__66__123Graph_BChart_1Y" hidden="1">#REF!</definedName>
    <definedName name="__67__123Graph_BChart_1Z" hidden="1">#REF!</definedName>
    <definedName name="__68__123Graph_BChart_2D" hidden="1">#REF!</definedName>
    <definedName name="__69__123Graph_BChart_9C" hidden="1">#REF!</definedName>
    <definedName name="__7__123Graph_AChart_1AF" hidden="1">#REF!</definedName>
    <definedName name="__70__123Graph_BGRAFICO_20" hidden="1">#REF!</definedName>
    <definedName name="__71__123Graph_BGRAFICO_7" hidden="1">#REF!</definedName>
    <definedName name="__72__123Graph_BGRAFICO_8" hidden="1">#REF!</definedName>
    <definedName name="__73__123Graph_CChart_1AA" hidden="1">#REF!</definedName>
    <definedName name="__74__123Graph_CChart_1AB" hidden="1">#REF!</definedName>
    <definedName name="__75__123Graph_CChart_1AE" hidden="1">#REF!</definedName>
    <definedName name="__76__123Graph_CChart_1AF" hidden="1">#REF!</definedName>
    <definedName name="__77__123Graph_CChart_1B" hidden="1">#REF!</definedName>
    <definedName name="__78__123Graph_CChart_1C" hidden="1">#REF!</definedName>
    <definedName name="__79__123Graph_CChart_1E" hidden="1">#REF!</definedName>
    <definedName name="__8__123Graph_AChart_1AG" hidden="1">#REF!</definedName>
    <definedName name="__80__123Graph_CChart_1F" hidden="1">#REF!</definedName>
    <definedName name="__81__123Graph_CChart_1G" hidden="1">#REF!</definedName>
    <definedName name="__82__123Graph_CChart_1H" hidden="1">#REF!</definedName>
    <definedName name="__83__123Graph_CChart_1I" hidden="1">#REF!</definedName>
    <definedName name="__84__123Graph_CChart_1J" hidden="1">#REF!</definedName>
    <definedName name="__85__123Graph_CChart_1K" hidden="1">#REF!</definedName>
    <definedName name="__86__123Graph_CChart_1L" hidden="1">#REF!</definedName>
    <definedName name="__87__123Graph_CChart_1N" hidden="1">#REF!</definedName>
    <definedName name="__88__123Graph_CChart_1U" hidden="1">#REF!</definedName>
    <definedName name="__89__123Graph_CChart_1Y" hidden="1">#REF!</definedName>
    <definedName name="__9__123Graph_AChart_1AI" hidden="1">#REF!</definedName>
    <definedName name="__90__123Graph_CChart_9C" hidden="1">#REF!</definedName>
    <definedName name="__91__123Graph_CGRAFICO_20" hidden="1">#REF!</definedName>
    <definedName name="__92__123Graph_DChart_1AB" hidden="1">#REF!</definedName>
    <definedName name="__93__123Graph_DChart_1B" hidden="1">#REF!</definedName>
    <definedName name="__94__123Graph_DChart_1C" hidden="1">#REF!</definedName>
    <definedName name="__95__123Graph_DChart_1I" hidden="1">#REF!</definedName>
    <definedName name="__96__123Graph_DChart_1J" hidden="1">#REF!</definedName>
    <definedName name="__97__123Graph_DChart_1K" hidden="1">#REF!</definedName>
    <definedName name="__98__123Graph_DChart_1L" hidden="1">#REF!</definedName>
    <definedName name="__99__123Graph_DGRAFICO_20" hidden="1">#REF!</definedName>
    <definedName name="__a2"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PW_RESTORE_DATA0__" hidden="1">#REF!</definedName>
    <definedName name="__APW_RESTORE_DATA1__" hidden="1">#REF!</definedName>
    <definedName name="__APW_RESTORE_DATA10__" hidden="1">#REF!,#REF!,#REF!,#REF!,#REF!,#REF!,#REF!,#REF!,#REF!,#REF!,#REF!,#REF!,#REF!,#REF!,#REF!</definedName>
    <definedName name="__APW_RESTORE_DATA100__" hidden="1">#REF!,#REF!,#REF!,#REF!,#REF!,#REF!,#REF!,#REF!,#REF!,#REF!,#REF!,#REF!,#REF!,#REF!</definedName>
    <definedName name="__APW_RESTORE_DATA1000__" hidden="1">#REF!,#REF!,#REF!,#REF!,#REF!,#REF!,#REF!,#REF!,#REF!,#REF!,#REF!,#REF!,#REF!,#REF!,#REF!</definedName>
    <definedName name="__APW_RESTORE_DATA1001__" hidden="1">#REF!,#REF!,#REF!,#REF!,#REF!,#REF!,#REF!,#REF!,#REF!,#REF!,#REF!,#REF!,#REF!,#REF!,#REF!</definedName>
    <definedName name="__APW_RESTORE_DATA1002__" hidden="1">#REF!,#REF!,#REF!,#REF!,#REF!,#REF!,#REF!,#REF!,#REF!,#REF!,#REF!,#REF!,#REF!,#REF!,#REF!</definedName>
    <definedName name="__APW_RESTORE_DATA1003__" hidden="1">#REF!,#REF!,#REF!,#REF!,#REF!,#REF!,#REF!,#REF!,#REF!,#REF!,#REF!,#REF!,#REF!,#REF!,#REF!</definedName>
    <definedName name="__APW_RESTORE_DATA1004__" hidden="1">#REF!,#REF!,#REF!,#REF!,#REF!,#REF!,#REF!,#REF!,#REF!,#REF!,#REF!,#REF!,#REF!,#REF!,#REF!</definedName>
    <definedName name="__APW_RESTORE_DATA1005__" hidden="1">#REF!,#REF!,#REF!,#REF!,#REF!,#REF!,#REF!,#REF!,#REF!,#REF!,#REF!,#REF!,#REF!,#REF!,#REF!</definedName>
    <definedName name="__APW_RESTORE_DATA1006__" hidden="1">#REF!,#REF!,#REF!,#REF!,#REF!,#REF!,#REF!,#REF!,#REF!,#REF!,#REF!,#REF!,#REF!,#REF!</definedName>
    <definedName name="__APW_RESTORE_DATA1007__" hidden="1">#REF!,#REF!,#REF!,#REF!,#REF!,#REF!,#REF!,#REF!,#REF!,#REF!,#REF!,#REF!,#REF!,#REF!</definedName>
    <definedName name="__APW_RESTORE_DATA1008__" hidden="1">#REF!,#REF!,#REF!,#REF!,#REF!,#REF!,#REF!,#REF!,#REF!,#REF!,#REF!,#REF!,#REF!,#REF!</definedName>
    <definedName name="__APW_RESTORE_DATA1009__" hidden="1">#REF!,#REF!,#REF!,#REF!,#REF!,#REF!,#REF!,#REF!,#REF!,#REF!,#REF!,#REF!,#REF!,#REF!</definedName>
    <definedName name="__APW_RESTORE_DATA101__" hidden="1">#REF!,#REF!,#REF!,#REF!,#REF!,#REF!,#REF!,#REF!,#REF!,#REF!,#REF!,#REF!,#REF!,#REF!</definedName>
    <definedName name="__APW_RESTORE_DATA1010__" hidden="1">#REF!,#REF!,#REF!,#REF!,#REF!,#REF!,#REF!,#REF!,#REF!,#REF!,#REF!,#REF!,#REF!,#REF!</definedName>
    <definedName name="__APW_RESTORE_DATA1011__" hidden="1">#REF!,#REF!,#REF!,#REF!,#REF!,#REF!,#REF!,#REF!,#REF!,#REF!,#REF!,#REF!,#REF!,#REF!</definedName>
    <definedName name="__APW_RESTORE_DATA1012__" hidden="1">#REF!,#REF!,#REF!,#REF!,#REF!,#REF!,#REF!,#REF!,#REF!,#REF!,#REF!,#REF!,#REF!,#REF!</definedName>
    <definedName name="__APW_RESTORE_DATA1013__" hidden="1">#REF!,#REF!,#REF!,#REF!,#REF!,#REF!,#REF!,#REF!,#REF!,#REF!,#REF!,#REF!,#REF!,#REF!</definedName>
    <definedName name="__APW_RESTORE_DATA1014__" hidden="1">#REF!,#REF!,#REF!,#REF!,#REF!,#REF!,#REF!,#REF!,#REF!,#REF!,#REF!,#REF!,#REF!,#REF!</definedName>
    <definedName name="__APW_RESTORE_DATA1015__" hidden="1">#REF!,#REF!,#REF!,#REF!,#REF!,#REF!,#REF!,#REF!,#REF!,#REF!,#REF!,#REF!,#REF!,#REF!</definedName>
    <definedName name="__APW_RESTORE_DATA1016__" hidden="1">#REF!,#REF!,#REF!,#REF!,#REF!,#REF!,#REF!,#REF!,#REF!,#REF!,#REF!,#REF!,#REF!,#REF!</definedName>
    <definedName name="__APW_RESTORE_DATA1017__" hidden="1">#REF!,#REF!,#REF!,#REF!,#REF!,#REF!,#REF!,#REF!,#REF!,#REF!,#REF!,#REF!,#REF!,#REF!</definedName>
    <definedName name="__APW_RESTORE_DATA1018__" hidden="1">#REF!,#REF!,#REF!,#REF!,#REF!,#REF!,#REF!,#REF!,#REF!,#REF!,#REF!,#REF!,#REF!,#REF!</definedName>
    <definedName name="__APW_RESTORE_DATA1019__" hidden="1">#REF!,#REF!,#REF!,#REF!,#REF!,#REF!,#REF!,#REF!,#REF!,#REF!,#REF!,#REF!,#REF!,#REF!</definedName>
    <definedName name="__APW_RESTORE_DATA102__" hidden="1">#REF!,#REF!,#REF!,#REF!,#REF!,#REF!,#REF!,#REF!,#REF!,#REF!,#REF!,#REF!,#REF!,#REF!</definedName>
    <definedName name="__APW_RESTORE_DATA1020__" hidden="1">#REF!,#REF!,#REF!,#REF!,#REF!,#REF!,#REF!,#REF!,#REF!,#REF!,#REF!,#REF!,#REF!,#REF!</definedName>
    <definedName name="__APW_RESTORE_DATA1021__" hidden="1">#REF!,#REF!,#REF!,#REF!,#REF!,#REF!,#REF!,#REF!,#REF!,#REF!,#REF!,#REF!,#REF!,#REF!</definedName>
    <definedName name="__APW_RESTORE_DATA1022__" hidden="1">#REF!,#REF!,#REF!,#REF!,#REF!,#REF!,#REF!,#REF!,#REF!,#REF!,#REF!,#REF!,#REF!,#REF!</definedName>
    <definedName name="__APW_RESTORE_DATA1023__" hidden="1">#REF!,#REF!,#REF!,#REF!,#REF!,#REF!,#REF!,#REF!,#REF!,#REF!,#REF!,#REF!,#REF!,#REF!</definedName>
    <definedName name="__APW_RESTORE_DATA1024__" hidden="1">#REF!,#REF!,#REF!,#REF!,#REF!,#REF!,#REF!,#REF!,#REF!,#REF!,#REF!,#REF!,#REF!,#REF!</definedName>
    <definedName name="__APW_RESTORE_DATA1025__" hidden="1">#REF!,#REF!,#REF!,#REF!,#REF!,#REF!,#REF!,#REF!,#REF!,#REF!,#REF!,#REF!,#REF!,#REF!</definedName>
    <definedName name="__APW_RESTORE_DATA1026__" hidden="1">#REF!,#REF!,#REF!,#REF!,#REF!,#REF!,#REF!,#REF!,#REF!,#REF!,#REF!,#REF!,#REF!,#REF!</definedName>
    <definedName name="__APW_RESTORE_DATA1027__" hidden="1">#REF!,#REF!,#REF!,#REF!,#REF!,#REF!,#REF!,#REF!,#REF!,#REF!,#REF!,#REF!,#REF!,#REF!</definedName>
    <definedName name="__APW_RESTORE_DATA1028__" hidden="1">#REF!,#REF!,#REF!,#REF!,#REF!,#REF!,#REF!,#REF!,#REF!,#REF!,#REF!,#REF!,#REF!,#REF!</definedName>
    <definedName name="__APW_RESTORE_DATA1029__" hidden="1">#REF!,#REF!,#REF!,#REF!,#REF!,#REF!,#REF!,#REF!,#REF!,#REF!,#REF!,#REF!,#REF!,#REF!</definedName>
    <definedName name="__APW_RESTORE_DATA103__" hidden="1">#REF!,#REF!,#REF!,#REF!,#REF!,#REF!,#REF!,#REF!,#REF!,#REF!,#REF!,#REF!,#REF!,#REF!</definedName>
    <definedName name="__APW_RESTORE_DATA1030__" hidden="1">#REF!,#REF!,#REF!,#REF!,#REF!,#REF!,#REF!,#REF!,#REF!,#REF!,#REF!,#REF!,#REF!,#REF!</definedName>
    <definedName name="__APW_RESTORE_DATA1031__" hidden="1">#REF!,#REF!,#REF!,#REF!,#REF!,#REF!,#REF!,#REF!,#REF!,#REF!,#REF!,#REF!,#REF!,#REF!</definedName>
    <definedName name="__APW_RESTORE_DATA1032__" hidden="1">#REF!,#REF!,#REF!,#REF!,#REF!,#REF!,#REF!,#REF!,#REF!,#REF!,#REF!,#REF!,#REF!,#REF!</definedName>
    <definedName name="__APW_RESTORE_DATA1033__" hidden="1">#REF!,#REF!,#REF!,#REF!,#REF!,#REF!,#REF!,#REF!,#REF!,#REF!,#REF!,#REF!,#REF!,#REF!</definedName>
    <definedName name="__APW_RESTORE_DATA1034__" hidden="1">#REF!,#REF!,#REF!,#REF!,#REF!,#REF!,#REF!,#REF!,#REF!,#REF!,#REF!,#REF!,#REF!,#REF!</definedName>
    <definedName name="__APW_RESTORE_DATA1035__" hidden="1">#REF!,#REF!,#REF!,#REF!,#REF!,#REF!,#REF!,#REF!,#REF!,#REF!,#REF!,#REF!,#REF!,#REF!</definedName>
    <definedName name="__APW_RESTORE_DATA1036__" hidden="1">#REF!,#REF!,#REF!,#REF!,#REF!,#REF!,#REF!,#REF!,#REF!,#REF!,#REF!,#REF!,#REF!,#REF!</definedName>
    <definedName name="__APW_RESTORE_DATA1037__" hidden="1">#REF!,#REF!,#REF!,#REF!,#REF!,#REF!,#REF!,#REF!,#REF!,#REF!,#REF!,#REF!,#REF!,#REF!</definedName>
    <definedName name="__APW_RESTORE_DATA1038__" hidden="1">#REF!,#REF!,#REF!,#REF!,#REF!,#REF!,#REF!,#REF!,#REF!,#REF!,#REF!,#REF!,#REF!,#REF!</definedName>
    <definedName name="__APW_RESTORE_DATA1039__" hidden="1">#REF!,#REF!,#REF!,#REF!,#REF!,#REF!,#REF!,#REF!,#REF!,#REF!,#REF!,#REF!,#REF!,#REF!</definedName>
    <definedName name="__APW_RESTORE_DATA104__" hidden="1">#REF!,#REF!,#REF!,#REF!,#REF!,#REF!,#REF!,#REF!,#REF!,#REF!,#REF!,#REF!,#REF!,#REF!</definedName>
    <definedName name="__APW_RESTORE_DATA1040__" hidden="1">#REF!,#REF!,#REF!,#REF!,#REF!,#REF!,#REF!,#REF!,#REF!,#REF!,#REF!,#REF!,#REF!,#REF!</definedName>
    <definedName name="__APW_RESTORE_DATA1041__" hidden="1">#REF!,#REF!,#REF!,#REF!,#REF!,#REF!,#REF!,#REF!,#REF!,#REF!,#REF!,#REF!,#REF!,#REF!</definedName>
    <definedName name="__APW_RESTORE_DATA1042__" hidden="1">#REF!,#REF!,#REF!,#REF!,#REF!,#REF!,#REF!,#REF!,#REF!,#REF!,#REF!,#REF!,#REF!,#REF!</definedName>
    <definedName name="__APW_RESTORE_DATA1043__" hidden="1">#REF!</definedName>
    <definedName name="__APW_RESTORE_DATA1044__" hidden="1">#REF!,#REF!,#REF!,#REF!,#REF!,#REF!,#REF!,#REF!,#REF!,#REF!,#REF!,#REF!,#REF!,#REF!,#REF!,#REF!,#REF!</definedName>
    <definedName name="__APW_RESTORE_DATA1045__" hidden="1">#REF!,#REF!,#REF!,#REF!,#REF!,#REF!,#REF!,#REF!,#REF!,#REF!,#REF!,#REF!,#REF!,#REF!,#REF!,#REF!</definedName>
    <definedName name="__APW_RESTORE_DATA1046__" hidden="1">#REF!,#REF!,#REF!,#REF!,#REF!,#REF!,#REF!,#REF!,#REF!,#REF!,#REF!,#REF!,#REF!,#REF!,#REF!,#REF!</definedName>
    <definedName name="__APW_RESTORE_DATA1047__" hidden="1">#REF!,#REF!,#REF!,#REF!,#REF!,#REF!,#REF!,#REF!,#REF!,#REF!,#REF!,#REF!,#REF!,#REF!,#REF!,#REF!</definedName>
    <definedName name="__APW_RESTORE_DATA1048__" hidden="1">#REF!,#REF!,#REF!,#REF!,#REF!,#REF!,#REF!,#REF!,#REF!,#REF!,#REF!,#REF!,#REF!,#REF!,#REF!,#REF!</definedName>
    <definedName name="__APW_RESTORE_DATA1049__" hidden="1">#REF!,#REF!,#REF!,#REF!,#REF!,#REF!,#REF!,#REF!,#REF!,#REF!,#REF!,#REF!,#REF!,#REF!,#REF!,#REF!</definedName>
    <definedName name="__APW_RESTORE_DATA105__" hidden="1">#REF!,#REF!,#REF!,#REF!,#REF!,#REF!,#REF!,#REF!,#REF!,#REF!,#REF!,#REF!,#REF!,#REF!</definedName>
    <definedName name="__APW_RESTORE_DATA1050__" hidden="1">#REF!,#REF!,#REF!,#REF!,#REF!,#REF!,#REF!,#REF!,#REF!,#REF!,#REF!,#REF!,#REF!,#REF!,#REF!</definedName>
    <definedName name="__APW_RESTORE_DATA1051__" hidden="1">#REF!,#REF!,#REF!,#REF!,#REF!,#REF!,#REF!,#REF!,#REF!,#REF!,#REF!,#REF!,#REF!,#REF!,#REF!</definedName>
    <definedName name="__APW_RESTORE_DATA1052__" hidden="1">#REF!,#REF!,#REF!,#REF!,#REF!,#REF!,#REF!,#REF!,#REF!,#REF!,#REF!,#REF!,#REF!,#REF!,#REF!</definedName>
    <definedName name="__APW_RESTORE_DATA1053__" hidden="1">#REF!,#REF!,#REF!,#REF!,#REF!,#REF!,#REF!,#REF!,#REF!,#REF!,#REF!,#REF!,#REF!,#REF!,#REF!</definedName>
    <definedName name="__APW_RESTORE_DATA1054__" hidden="1">#REF!,#REF!,#REF!,#REF!,#REF!,#REF!,#REF!,#REF!,#REF!,#REF!,#REF!,#REF!,#REF!,#REF!,#REF!</definedName>
    <definedName name="__APW_RESTORE_DATA1055__" hidden="1">#REF!,#REF!,#REF!,#REF!,#REF!,#REF!,#REF!,#REF!,#REF!,#REF!,#REF!,#REF!,#REF!,#REF!,#REF!</definedName>
    <definedName name="__APW_RESTORE_DATA1056__" hidden="1">#REF!,#REF!,#REF!,#REF!,#REF!,#REF!,#REF!,#REF!,#REF!,#REF!,#REF!,#REF!,#REF!,#REF!,#REF!</definedName>
    <definedName name="__APW_RESTORE_DATA1057__" hidden="1">#REF!,#REF!,#REF!,#REF!,#REF!,#REF!,#REF!,#REF!,#REF!,#REF!,#REF!,#REF!,#REF!,#REF!,#REF!</definedName>
    <definedName name="__APW_RESTORE_DATA1058__" hidden="1">#REF!,#REF!,#REF!,#REF!,#REF!,#REF!,#REF!,#REF!,#REF!,#REF!,#REF!,#REF!,#REF!,#REF!,#REF!</definedName>
    <definedName name="__APW_RESTORE_DATA1059__" hidden="1">#REF!,#REF!,#REF!,#REF!,#REF!,#REF!,#REF!,#REF!,#REF!,#REF!,#REF!,#REF!,#REF!,#REF!,#REF!</definedName>
    <definedName name="__APW_RESTORE_DATA106__" hidden="1">#REF!,#REF!,#REF!,#REF!,#REF!,#REF!,#REF!,#REF!,#REF!,#REF!,#REF!,#REF!,#REF!,#REF!</definedName>
    <definedName name="__APW_RESTORE_DATA1060__" hidden="1">#REF!,#REF!,#REF!,#REF!,#REF!,#REF!,#REF!,#REF!,#REF!,#REF!,#REF!,#REF!,#REF!,#REF!,#REF!</definedName>
    <definedName name="__APW_RESTORE_DATA1061__" hidden="1">#REF!,#REF!,#REF!,#REF!,#REF!,#REF!,#REF!,#REF!,#REF!,#REF!,#REF!,#REF!,#REF!,#REF!,#REF!</definedName>
    <definedName name="__APW_RESTORE_DATA1062__" hidden="1">#REF!,#REF!,#REF!,#REF!,#REF!,#REF!,#REF!,#REF!,#REF!,#REF!,#REF!,#REF!,#REF!,#REF!,#REF!</definedName>
    <definedName name="__APW_RESTORE_DATA1063__" hidden="1">#REF!,#REF!,#REF!,#REF!,#REF!,#REF!,#REF!,#REF!,#REF!,#REF!,#REF!,#REF!,#REF!,#REF!,#REF!</definedName>
    <definedName name="__APW_RESTORE_DATA1064__" hidden="1">#REF!,#REF!,#REF!,#REF!,#REF!,#REF!,#REF!,#REF!,#REF!,#REF!,#REF!,#REF!,#REF!,#REF!,#REF!</definedName>
    <definedName name="__APW_RESTORE_DATA1065__" hidden="1">#REF!,#REF!,#REF!,#REF!,#REF!,#REF!,#REF!,#REF!,#REF!,#REF!,#REF!,#REF!,#REF!,#REF!,#REF!</definedName>
    <definedName name="__APW_RESTORE_DATA1066__" hidden="1">#REF!,#REF!,#REF!,#REF!,#REF!,#REF!,#REF!,#REF!,#REF!,#REF!,#REF!,#REF!,#REF!,#REF!,#REF!</definedName>
    <definedName name="__APW_RESTORE_DATA1067__" hidden="1">#REF!,#REF!,#REF!,#REF!,#REF!,#REF!,#REF!,#REF!,#REF!,#REF!,#REF!,#REF!,#REF!,#REF!,#REF!</definedName>
    <definedName name="__APW_RESTORE_DATA1068__" hidden="1">#REF!,#REF!,#REF!,#REF!,#REF!,#REF!,#REF!,#REF!,#REF!,#REF!,#REF!,#REF!,#REF!,#REF!,#REF!</definedName>
    <definedName name="__APW_RESTORE_DATA1069__" hidden="1">#REF!,#REF!,#REF!,#REF!,#REF!,#REF!,#REF!,#REF!,#REF!,#REF!,#REF!,#REF!,#REF!,#REF!,#REF!</definedName>
    <definedName name="__APW_RESTORE_DATA107__" hidden="1">#REF!,#REF!</definedName>
    <definedName name="__APW_RESTORE_DATA1070__" hidden="1">#REF!,#REF!,#REF!,#REF!,#REF!,#REF!,#REF!,#REF!,#REF!,#REF!,#REF!,#REF!,#REF!,#REF!,#REF!</definedName>
    <definedName name="__APW_RESTORE_DATA1071__" hidden="1">#REF!,#REF!,#REF!,#REF!,#REF!,#REF!,#REF!,#REF!,#REF!,#REF!,#REF!,#REF!,#REF!,#REF!,#REF!</definedName>
    <definedName name="__APW_RESTORE_DATA1072__" hidden="1">#REF!,#REF!,#REF!,#REF!,#REF!,#REF!,#REF!,#REF!,#REF!,#REF!,#REF!,#REF!,#REF!,#REF!,#REF!</definedName>
    <definedName name="__APW_RESTORE_DATA1073__" hidden="1">#REF!,#REF!,#REF!,#REF!,#REF!,#REF!,#REF!,#REF!,#REF!,#REF!,#REF!,#REF!,#REF!,#REF!,#REF!</definedName>
    <definedName name="__APW_RESTORE_DATA1074__" hidden="1">#REF!,#REF!,#REF!,#REF!,#REF!,#REF!,#REF!,#REF!,#REF!,#REF!,#REF!,#REF!,#REF!,#REF!,#REF!</definedName>
    <definedName name="__APW_RESTORE_DATA1075__" hidden="1">#REF!,#REF!,#REF!,#REF!,#REF!,#REF!,#REF!,#REF!,#REF!,#REF!,#REF!,#REF!,#REF!,#REF!,#REF!</definedName>
    <definedName name="__APW_RESTORE_DATA1076__" hidden="1">#REF!,#REF!,#REF!,#REF!,#REF!,#REF!,#REF!,#REF!,#REF!,#REF!,#REF!,#REF!,#REF!,#REF!,#REF!</definedName>
    <definedName name="__APW_RESTORE_DATA1077__" hidden="1">#REF!,#REF!,#REF!,#REF!,#REF!,#REF!,#REF!,#REF!,#REF!,#REF!,#REF!,#REF!,#REF!,#REF!,#REF!</definedName>
    <definedName name="__APW_RESTORE_DATA1078__" hidden="1">#REF!,#REF!,#REF!,#REF!,#REF!,#REF!,#REF!,#REF!,#REF!,#REF!,#REF!,#REF!,#REF!,#REF!,#REF!</definedName>
    <definedName name="__APW_RESTORE_DATA1079__" hidden="1">#REF!,#REF!,#REF!,#REF!,#REF!,#REF!,#REF!,#REF!,#REF!,#REF!,#REF!,#REF!,#REF!,#REF!,#REF!</definedName>
    <definedName name="__APW_RESTORE_DATA108__" hidden="1">#REF!,#REF!,#REF!,#REF!,#REF!,#REF!,#REF!,#REF!,#REF!,#REF!,#REF!,#REF!,#REF!,#REF!,#REF!,#REF!,#REF!</definedName>
    <definedName name="__APW_RESTORE_DATA1080__" hidden="1">#REF!,#REF!,#REF!,#REF!,#REF!,#REF!,#REF!,#REF!,#REF!,#REF!,#REF!,#REF!,#REF!,#REF!,#REF!</definedName>
    <definedName name="__APW_RESTORE_DATA1081__" hidden="1">#REF!,#REF!,#REF!,#REF!,#REF!,#REF!,#REF!,#REF!,#REF!,#REF!,#REF!,#REF!,#REF!,#REF!,#REF!</definedName>
    <definedName name="__APW_RESTORE_DATA1082__" hidden="1">#REF!,#REF!,#REF!,#REF!,#REF!,#REF!,#REF!,#REF!,#REF!,#REF!,#REF!,#REF!,#REF!,#REF!,#REF!</definedName>
    <definedName name="__APW_RESTORE_DATA1083__" hidden="1">#REF!,#REF!,#REF!,#REF!,#REF!,#REF!,#REF!,#REF!,#REF!,#REF!,#REF!,#REF!,#REF!,#REF!,#REF!</definedName>
    <definedName name="__APW_RESTORE_DATA1084__" hidden="1">#REF!,#REF!,#REF!,#REF!,#REF!,#REF!,#REF!,#REF!,#REF!,#REF!,#REF!,#REF!,#REF!,#REF!,#REF!</definedName>
    <definedName name="__APW_RESTORE_DATA1085__" hidden="1">#REF!,#REF!,#REF!,#REF!,#REF!,#REF!,#REF!,#REF!,#REF!,#REF!,#REF!,#REF!,#REF!,#REF!,#REF!</definedName>
    <definedName name="__APW_RESTORE_DATA1086__" hidden="1">#REF!,#REF!,#REF!,#REF!,#REF!,#REF!,#REF!,#REF!,#REF!,#REF!,#REF!,#REF!,#REF!,#REF!,#REF!</definedName>
    <definedName name="__APW_RESTORE_DATA1087__" hidden="1">#REF!,#REF!,#REF!,#REF!,#REF!,#REF!,#REF!,#REF!,#REF!,#REF!,#REF!,#REF!,#REF!,#REF!,#REF!</definedName>
    <definedName name="__APW_RESTORE_DATA1088__" hidden="1">#REF!,#REF!,#REF!,#REF!,#REF!,#REF!,#REF!,#REF!,#REF!,#REF!,#REF!,#REF!,#REF!,#REF!,#REF!</definedName>
    <definedName name="__APW_RESTORE_DATA1089__" hidden="1">#REF!,#REF!,#REF!,#REF!,#REF!,#REF!,#REF!,#REF!,#REF!,#REF!,#REF!,#REF!,#REF!,#REF!,#REF!</definedName>
    <definedName name="__APW_RESTORE_DATA109__" hidden="1">#REF!,#REF!,#REF!,#REF!,#REF!,#REF!,#REF!,#REF!,#REF!,#REF!,#REF!,#REF!,#REF!,#REF!,#REF!,#REF!</definedName>
    <definedName name="__APW_RESTORE_DATA1090__" hidden="1">#REF!,#REF!,#REF!,#REF!,#REF!,#REF!,#REF!,#REF!,#REF!,#REF!,#REF!,#REF!,#REF!,#REF!,#REF!</definedName>
    <definedName name="__APW_RESTORE_DATA1091__" hidden="1">#REF!,#REF!,#REF!,#REF!,#REF!,#REF!,#REF!,#REF!,#REF!,#REF!,#REF!,#REF!,#REF!,#REF!,#REF!</definedName>
    <definedName name="__APW_RESTORE_DATA1092__" hidden="1">#REF!,#REF!,#REF!,#REF!,#REF!,#REF!,#REF!,#REF!,#REF!,#REF!,#REF!,#REF!,#REF!,#REF!,#REF!</definedName>
    <definedName name="__APW_RESTORE_DATA1093__" hidden="1">#REF!,#REF!,#REF!,#REF!,#REF!,#REF!,#REF!,#REF!,#REF!,#REF!,#REF!,#REF!,#REF!,#REF!,#REF!</definedName>
    <definedName name="__APW_RESTORE_DATA1094__" hidden="1">#REF!,#REF!,#REF!,#REF!,#REF!,#REF!,#REF!,#REF!,#REF!,#REF!,#REF!,#REF!,#REF!,#REF!,#REF!</definedName>
    <definedName name="__APW_RESTORE_DATA1095__" hidden="1">#REF!,#REF!,#REF!,#REF!,#REF!,#REF!,#REF!,#REF!,#REF!,#REF!,#REF!,#REF!,#REF!,#REF!,#REF!</definedName>
    <definedName name="__APW_RESTORE_DATA1096__" hidden="1">#REF!,#REF!,#REF!,#REF!,#REF!,#REF!,#REF!,#REF!,#REF!,#REF!,#REF!,#REF!,#REF!,#REF!,#REF!</definedName>
    <definedName name="__APW_RESTORE_DATA1097__" hidden="1">#REF!,#REF!,#REF!,#REF!,#REF!,#REF!,#REF!,#REF!,#REF!,#REF!,#REF!,#REF!,#REF!,#REF!,#REF!</definedName>
    <definedName name="__APW_RESTORE_DATA1098__" hidden="1">#REF!,#REF!,#REF!,#REF!,#REF!,#REF!,#REF!,#REF!,#REF!,#REF!,#REF!,#REF!,#REF!,#REF!,#REF!</definedName>
    <definedName name="__APW_RESTORE_DATA1099__" hidden="1">#REF!,#REF!,#REF!,#REF!,#REF!,#REF!,#REF!,#REF!,#REF!,#REF!,#REF!,#REF!,#REF!,#REF!,#REF!</definedName>
    <definedName name="__APW_RESTORE_DATA11__" hidden="1">#REF!,#REF!,#REF!,#REF!,#REF!,#REF!,#REF!,#REF!,#REF!,#REF!,#REF!,#REF!,#REF!,#REF!,#REF!</definedName>
    <definedName name="__APW_RESTORE_DATA110__" hidden="1">#REF!,#REF!,#REF!,#REF!,#REF!,#REF!,#REF!,#REF!,#REF!,#REF!,#REF!,#REF!,#REF!,#REF!,#REF!,#REF!</definedName>
    <definedName name="__APW_RESTORE_DATA1100__" hidden="1">#REF!,#REF!,#REF!,#REF!,#REF!,#REF!,#REF!,#REF!,#REF!,#REF!,#REF!,#REF!,#REF!,#REF!,#REF!</definedName>
    <definedName name="__APW_RESTORE_DATA1101__" hidden="1">#REF!,#REF!,#REF!,#REF!,#REF!,#REF!,#REF!,#REF!,#REF!,#REF!,#REF!,#REF!,#REF!,#REF!,#REF!</definedName>
    <definedName name="__APW_RESTORE_DATA1102__" hidden="1">#REF!,#REF!,#REF!,#REF!,#REF!,#REF!,#REF!,#REF!,#REF!,#REF!,#REF!,#REF!,#REF!,#REF!,#REF!</definedName>
    <definedName name="__APW_RESTORE_DATA1103__" hidden="1">#REF!,#REF!,#REF!,#REF!,#REF!,#REF!,#REF!,#REF!,#REF!,#REF!,#REF!,#REF!,#REF!,#REF!,#REF!</definedName>
    <definedName name="__APW_RESTORE_DATA1104__" hidden="1">#REF!,#REF!,#REF!,#REF!,#REF!,#REF!,#REF!,#REF!,#REF!,#REF!,#REF!,#REF!,#REF!,#REF!,#REF!</definedName>
    <definedName name="__APW_RESTORE_DATA1105__" hidden="1">#REF!,#REF!,#REF!,#REF!,#REF!,#REF!,#REF!,#REF!,#REF!,#REF!,#REF!,#REF!,#REF!,#REF!,#REF!</definedName>
    <definedName name="__APW_RESTORE_DATA1106__" hidden="1">#REF!,#REF!,#REF!,#REF!,#REF!,#REF!,#REF!,#REF!,#REF!,#REF!,#REF!,#REF!,#REF!,#REF!,#REF!</definedName>
    <definedName name="__APW_RESTORE_DATA1107__" hidden="1">#REF!,#REF!,#REF!,#REF!,#REF!,#REF!,#REF!,#REF!,#REF!,#REF!,#REF!,#REF!,#REF!,#REF!,#REF!</definedName>
    <definedName name="__APW_RESTORE_DATA1108__" hidden="1">#REF!,#REF!,#REF!,#REF!,#REF!,#REF!,#REF!,#REF!,#REF!,#REF!,#REF!,#REF!,#REF!,#REF!,#REF!</definedName>
    <definedName name="__APW_RESTORE_DATA1109__" hidden="1">#REF!,#REF!,#REF!,#REF!,#REF!,#REF!,#REF!,#REF!,#REF!,#REF!,#REF!,#REF!,#REF!,#REF!,#REF!</definedName>
    <definedName name="__APW_RESTORE_DATA111__" hidden="1">#REF!,#REF!,#REF!,#REF!,#REF!,#REF!,#REF!,#REF!,#REF!,#REF!,#REF!,#REF!,#REF!,#REF!,#REF!,#REF!</definedName>
    <definedName name="__APW_RESTORE_DATA1110__" hidden="1">#REF!,#REF!,#REF!,#REF!,#REF!,#REF!,#REF!,#REF!,#REF!,#REF!,#REF!,#REF!,#REF!,#REF!</definedName>
    <definedName name="__APW_RESTORE_DATA1111__" hidden="1">#REF!,#REF!,#REF!,#REF!,#REF!,#REF!,#REF!,#REF!,#REF!,#REF!,#REF!,#REF!,#REF!,#REF!</definedName>
    <definedName name="__APW_RESTORE_DATA1112__" hidden="1">#REF!,#REF!,#REF!,#REF!,#REF!,#REF!,#REF!,#REF!,#REF!,#REF!,#REF!,#REF!,#REF!,#REF!</definedName>
    <definedName name="__APW_RESTORE_DATA1113__" hidden="1">#REF!,#REF!,#REF!,#REF!,#REF!,#REF!,#REF!,#REF!,#REF!,#REF!,#REF!,#REF!,#REF!,#REF!</definedName>
    <definedName name="__APW_RESTORE_DATA1114__" hidden="1">#REF!,#REF!,#REF!,#REF!,#REF!,#REF!,#REF!,#REF!,#REF!,#REF!,#REF!,#REF!,#REF!,#REF!</definedName>
    <definedName name="__APW_RESTORE_DATA1115__" hidden="1">#REF!,#REF!,#REF!,#REF!,#REF!,#REF!,#REF!,#REF!,#REF!,#REF!,#REF!,#REF!,#REF!,#REF!</definedName>
    <definedName name="__APW_RESTORE_DATA1116__" hidden="1">#REF!,#REF!,#REF!,#REF!,#REF!,#REF!,#REF!,#REF!,#REF!,#REF!,#REF!,#REF!,#REF!,#REF!</definedName>
    <definedName name="__APW_RESTORE_DATA1117__" hidden="1">#REF!,#REF!,#REF!,#REF!,#REF!,#REF!,#REF!,#REF!,#REF!,#REF!,#REF!,#REF!,#REF!,#REF!</definedName>
    <definedName name="__APW_RESTORE_DATA1118__" hidden="1">#REF!,#REF!,#REF!,#REF!,#REF!,#REF!,#REF!,#REF!,#REF!,#REF!,#REF!,#REF!,#REF!,#REF!</definedName>
    <definedName name="__APW_RESTORE_DATA1119__" hidden="1">#REF!,#REF!,#REF!,#REF!,#REF!,#REF!,#REF!,#REF!,#REF!,#REF!,#REF!,#REF!,#REF!,#REF!</definedName>
    <definedName name="__APW_RESTORE_DATA112__" hidden="1">#REF!,#REF!,#REF!,#REF!,#REF!,#REF!,#REF!,#REF!,#REF!,#REF!,#REF!,#REF!,#REF!,#REF!,#REF!,#REF!</definedName>
    <definedName name="__APW_RESTORE_DATA1120__" hidden="1">#REF!,#REF!,#REF!,#REF!,#REF!,#REF!,#REF!,#REF!,#REF!,#REF!,#REF!,#REF!,#REF!,#REF!</definedName>
    <definedName name="__APW_RESTORE_DATA1121__" hidden="1">#REF!,#REF!,#REF!,#REF!,#REF!,#REF!,#REF!,#REF!,#REF!,#REF!,#REF!,#REF!,#REF!,#REF!</definedName>
    <definedName name="__APW_RESTORE_DATA1122__" hidden="1">#REF!,#REF!,#REF!,#REF!,#REF!,#REF!,#REF!,#REF!,#REF!,#REF!,#REF!,#REF!,#REF!,#REF!</definedName>
    <definedName name="__APW_RESTORE_DATA1123__" hidden="1">#REF!,#REF!,#REF!,#REF!,#REF!,#REF!,#REF!,#REF!,#REF!,#REF!,#REF!,#REF!,#REF!,#REF!</definedName>
    <definedName name="__APW_RESTORE_DATA1124__" hidden="1">#REF!,#REF!,#REF!,#REF!,#REF!,#REF!,#REF!,#REF!,#REF!,#REF!,#REF!,#REF!,#REF!,#REF!</definedName>
    <definedName name="__APW_RESTORE_DATA1125__" hidden="1">#REF!,#REF!,#REF!,#REF!,#REF!,#REF!,#REF!,#REF!,#REF!,#REF!,#REF!,#REF!,#REF!,#REF!</definedName>
    <definedName name="__APW_RESTORE_DATA1126__" hidden="1">#REF!,#REF!,#REF!,#REF!,#REF!,#REF!,#REF!,#REF!,#REF!,#REF!,#REF!,#REF!,#REF!,#REF!</definedName>
    <definedName name="__APW_RESTORE_DATA1127__" hidden="1">#REF!,#REF!,#REF!,#REF!,#REF!,#REF!,#REF!,#REF!,#REF!,#REF!,#REF!,#REF!,#REF!,#REF!</definedName>
    <definedName name="__APW_RESTORE_DATA1128__" hidden="1">#REF!,#REF!,#REF!,#REF!,#REF!,#REF!,#REF!,#REF!,#REF!,#REF!,#REF!,#REF!,#REF!,#REF!</definedName>
    <definedName name="__APW_RESTORE_DATA1129__" hidden="1">#REF!,#REF!,#REF!,#REF!,#REF!,#REF!,#REF!,#REF!,#REF!,#REF!,#REF!,#REF!,#REF!,#REF!</definedName>
    <definedName name="__APW_RESTORE_DATA113__" hidden="1">#REF!,#REF!,#REF!,#REF!,#REF!,#REF!,#REF!,#REF!,#REF!,#REF!,#REF!,#REF!,#REF!,#REF!,#REF!,#REF!</definedName>
    <definedName name="__APW_RESTORE_DATA1130__" hidden="1">#REF!,#REF!,#REF!,#REF!,#REF!,#REF!,#REF!,#REF!,#REF!,#REF!,#REF!,#REF!,#REF!,#REF!</definedName>
    <definedName name="__APW_RESTORE_DATA1131__" hidden="1">#REF!,#REF!,#REF!,#REF!,#REF!,#REF!,#REF!,#REF!,#REF!,#REF!,#REF!,#REF!,#REF!,#REF!</definedName>
    <definedName name="__APW_RESTORE_DATA1132__" hidden="1">#REF!,#REF!,#REF!,#REF!,#REF!,#REF!,#REF!,#REF!,#REF!,#REF!,#REF!,#REF!,#REF!,#REF!</definedName>
    <definedName name="__APW_RESTORE_DATA1133__" hidden="1">#REF!,#REF!,#REF!,#REF!,#REF!,#REF!,#REF!,#REF!,#REF!,#REF!,#REF!,#REF!,#REF!,#REF!</definedName>
    <definedName name="__APW_RESTORE_DATA1134__" hidden="1">#REF!,#REF!,#REF!,#REF!,#REF!,#REF!,#REF!,#REF!,#REF!,#REF!,#REF!,#REF!,#REF!,#REF!</definedName>
    <definedName name="__APW_RESTORE_DATA1135__" hidden="1">#REF!,#REF!,#REF!,#REF!,#REF!,#REF!,#REF!,#REF!,#REF!,#REF!,#REF!,#REF!,#REF!,#REF!</definedName>
    <definedName name="__APW_RESTORE_DATA1136__" hidden="1">#REF!,#REF!,#REF!,#REF!,#REF!,#REF!,#REF!,#REF!,#REF!,#REF!,#REF!,#REF!,#REF!,#REF!</definedName>
    <definedName name="__APW_RESTORE_DATA1137__" hidden="1">#REF!,#REF!,#REF!,#REF!,#REF!,#REF!,#REF!,#REF!,#REF!,#REF!,#REF!,#REF!,#REF!,#REF!</definedName>
    <definedName name="__APW_RESTORE_DATA1138__" hidden="1">#REF!,#REF!,#REF!,#REF!,#REF!,#REF!,#REF!,#REF!,#REF!,#REF!,#REF!,#REF!,#REF!,#REF!</definedName>
    <definedName name="__APW_RESTORE_DATA1139__" hidden="1">#REF!,#REF!,#REF!,#REF!,#REF!,#REF!,#REF!,#REF!,#REF!,#REF!,#REF!,#REF!,#REF!,#REF!</definedName>
    <definedName name="__APW_RESTORE_DATA114__" hidden="1">#REF!,#REF!,#REF!,#REF!,#REF!,#REF!,#REF!,#REF!,#REF!,#REF!,#REF!,#REF!,#REF!,#REF!,#REF!</definedName>
    <definedName name="__APW_RESTORE_DATA1140__" hidden="1">#REF!,#REF!,#REF!,#REF!,#REF!,#REF!,#REF!,#REF!,#REF!,#REF!,#REF!,#REF!,#REF!,#REF!</definedName>
    <definedName name="__APW_RESTORE_DATA1141__" hidden="1">#REF!,#REF!,#REF!,#REF!,#REF!,#REF!,#REF!,#REF!,#REF!,#REF!,#REF!,#REF!,#REF!,#REF!</definedName>
    <definedName name="__APW_RESTORE_DATA1142__" hidden="1">#REF!,#REF!,#REF!,#REF!,#REF!,#REF!,#REF!,#REF!,#REF!,#REF!,#REF!,#REF!,#REF!,#REF!</definedName>
    <definedName name="__APW_RESTORE_DATA1143__" hidden="1">#REF!,#REF!,#REF!,#REF!,#REF!,#REF!,#REF!,#REF!,#REF!,#REF!,#REF!,#REF!,#REF!,#REF!</definedName>
    <definedName name="__APW_RESTORE_DATA1144__" hidden="1">#REF!,#REF!,#REF!,#REF!,#REF!,#REF!,#REF!,#REF!,#REF!,#REF!,#REF!,#REF!,#REF!,#REF!</definedName>
    <definedName name="__APW_RESTORE_DATA1145__" hidden="1">#REF!,#REF!,#REF!,#REF!,#REF!,#REF!,#REF!,#REF!,#REF!,#REF!,#REF!,#REF!,#REF!,#REF!</definedName>
    <definedName name="__APW_RESTORE_DATA1146__" hidden="1">#REF!,#REF!,#REF!,#REF!,#REF!,#REF!,#REF!,#REF!,#REF!,#REF!,#REF!,#REF!,#REF!,#REF!</definedName>
    <definedName name="__APW_RESTORE_DATA1147__" hidden="1">#REF!</definedName>
    <definedName name="__APW_RESTORE_DATA1148__" hidden="1">#REF!,#REF!,#REF!,#REF!,#REF!,#REF!,#REF!,#REF!,#REF!,#REF!,#REF!,#REF!,#REF!,#REF!,#REF!,#REF!,#REF!</definedName>
    <definedName name="__APW_RESTORE_DATA1149__" hidden="1">#REF!,#REF!,#REF!,#REF!,#REF!,#REF!,#REF!,#REF!,#REF!,#REF!,#REF!,#REF!,#REF!,#REF!,#REF!,#REF!</definedName>
    <definedName name="__APW_RESTORE_DATA115__" hidden="1">#REF!,#REF!,#REF!,#REF!,#REF!,#REF!,#REF!,#REF!,#REF!,#REF!,#REF!,#REF!,#REF!,#REF!,#REF!</definedName>
    <definedName name="__APW_RESTORE_DATA1150__" hidden="1">#REF!,#REF!,#REF!,#REF!,#REF!,#REF!,#REF!,#REF!,#REF!,#REF!,#REF!,#REF!,#REF!,#REF!,#REF!,#REF!</definedName>
    <definedName name="__APW_RESTORE_DATA1151__" hidden="1">#REF!,#REF!,#REF!,#REF!,#REF!,#REF!,#REF!,#REF!,#REF!,#REF!,#REF!,#REF!,#REF!,#REF!,#REF!,#REF!</definedName>
    <definedName name="__APW_RESTORE_DATA1152__" hidden="1">#REF!,#REF!,#REF!,#REF!,#REF!,#REF!,#REF!,#REF!,#REF!,#REF!,#REF!,#REF!,#REF!,#REF!,#REF!,#REF!</definedName>
    <definedName name="__APW_RESTORE_DATA1153__" hidden="1">#REF!,#REF!,#REF!,#REF!,#REF!,#REF!,#REF!,#REF!,#REF!,#REF!,#REF!,#REF!,#REF!,#REF!,#REF!,#REF!</definedName>
    <definedName name="__APW_RESTORE_DATA1154__" hidden="1">#REF!,#REF!,#REF!,#REF!,#REF!,#REF!,#REF!,#REF!,#REF!,#REF!,#REF!,#REF!,#REF!,#REF!,#REF!</definedName>
    <definedName name="__APW_RESTORE_DATA1155__" hidden="1">#REF!,#REF!,#REF!,#REF!,#REF!,#REF!,#REF!,#REF!,#REF!,#REF!,#REF!,#REF!,#REF!,#REF!,#REF!</definedName>
    <definedName name="__APW_RESTORE_DATA1156__" hidden="1">#REF!,#REF!,#REF!,#REF!,#REF!,#REF!,#REF!,#REF!,#REF!,#REF!,#REF!,#REF!,#REF!,#REF!,#REF!</definedName>
    <definedName name="__APW_RESTORE_DATA1157__" hidden="1">#REF!,#REF!,#REF!,#REF!,#REF!,#REF!,#REF!,#REF!,#REF!,#REF!,#REF!,#REF!,#REF!,#REF!,#REF!</definedName>
    <definedName name="__APW_RESTORE_DATA1158__" hidden="1">#REF!,#REF!,#REF!,#REF!,#REF!,#REF!,#REF!,#REF!,#REF!,#REF!,#REF!,#REF!,#REF!,#REF!,#REF!</definedName>
    <definedName name="__APW_RESTORE_DATA1159__" hidden="1">#REF!,#REF!,#REF!,#REF!,#REF!,#REF!,#REF!,#REF!,#REF!,#REF!,#REF!,#REF!,#REF!,#REF!,#REF!</definedName>
    <definedName name="__APW_RESTORE_DATA116__" hidden="1">#REF!,#REF!,#REF!,#REF!,#REF!,#REF!,#REF!,#REF!,#REF!,#REF!,#REF!,#REF!,#REF!,#REF!,#REF!</definedName>
    <definedName name="__APW_RESTORE_DATA1160__" hidden="1">#REF!,#REF!,#REF!,#REF!,#REF!,#REF!,#REF!,#REF!,#REF!,#REF!,#REF!,#REF!,#REF!,#REF!,#REF!</definedName>
    <definedName name="__APW_RESTORE_DATA1161__" hidden="1">#REF!,#REF!,#REF!,#REF!,#REF!,#REF!,#REF!,#REF!,#REF!,#REF!,#REF!,#REF!,#REF!,#REF!,#REF!</definedName>
    <definedName name="__APW_RESTORE_DATA1162__" hidden="1">#REF!,#REF!,#REF!,#REF!,#REF!,#REF!,#REF!,#REF!,#REF!,#REF!,#REF!,#REF!,#REF!,#REF!,#REF!</definedName>
    <definedName name="__APW_RESTORE_DATA1163__" hidden="1">#REF!,#REF!,#REF!,#REF!,#REF!,#REF!,#REF!,#REF!,#REF!,#REF!,#REF!,#REF!,#REF!,#REF!,#REF!</definedName>
    <definedName name="__APW_RESTORE_DATA1164__" hidden="1">#REF!,#REF!,#REF!,#REF!,#REF!,#REF!,#REF!,#REF!,#REF!,#REF!,#REF!,#REF!,#REF!,#REF!,#REF!</definedName>
    <definedName name="__APW_RESTORE_DATA1165__" hidden="1">#REF!,#REF!,#REF!,#REF!,#REF!,#REF!,#REF!,#REF!,#REF!,#REF!,#REF!,#REF!,#REF!,#REF!,#REF!</definedName>
    <definedName name="__APW_RESTORE_DATA1166__" hidden="1">#REF!,#REF!,#REF!,#REF!,#REF!,#REF!,#REF!,#REF!,#REF!,#REF!,#REF!,#REF!,#REF!,#REF!,#REF!</definedName>
    <definedName name="__APW_RESTORE_DATA1167__" hidden="1">#REF!,#REF!,#REF!,#REF!,#REF!,#REF!,#REF!,#REF!,#REF!,#REF!,#REF!,#REF!,#REF!,#REF!,#REF!</definedName>
    <definedName name="__APW_RESTORE_DATA1168__" hidden="1">#REF!,#REF!,#REF!,#REF!,#REF!,#REF!,#REF!,#REF!,#REF!,#REF!,#REF!,#REF!,#REF!,#REF!,#REF!</definedName>
    <definedName name="__APW_RESTORE_DATA1169__" hidden="1">#REF!,#REF!,#REF!,#REF!,#REF!,#REF!,#REF!,#REF!,#REF!,#REF!,#REF!,#REF!,#REF!,#REF!,#REF!</definedName>
    <definedName name="__APW_RESTORE_DATA117__" hidden="1">#REF!,#REF!,#REF!,#REF!,#REF!,#REF!,#REF!,#REF!,#REF!,#REF!,#REF!,#REF!,#REF!,#REF!,#REF!</definedName>
    <definedName name="__APW_RESTORE_DATA1170__" hidden="1">#REF!,#REF!,#REF!,#REF!,#REF!,#REF!,#REF!,#REF!,#REF!,#REF!,#REF!,#REF!,#REF!,#REF!,#REF!</definedName>
    <definedName name="__APW_RESTORE_DATA1171__" hidden="1">#REF!,#REF!,#REF!,#REF!,#REF!,#REF!,#REF!,#REF!,#REF!,#REF!,#REF!,#REF!,#REF!,#REF!,#REF!</definedName>
    <definedName name="__APW_RESTORE_DATA1172__" hidden="1">#REF!,#REF!,#REF!,#REF!,#REF!,#REF!,#REF!,#REF!,#REF!,#REF!,#REF!,#REF!,#REF!,#REF!,#REF!</definedName>
    <definedName name="__APW_RESTORE_DATA1173__" hidden="1">#REF!,#REF!,#REF!,#REF!,#REF!,#REF!,#REF!,#REF!,#REF!,#REF!,#REF!,#REF!,#REF!,#REF!,#REF!</definedName>
    <definedName name="__APW_RESTORE_DATA1174__" hidden="1">#REF!,#REF!,#REF!,#REF!,#REF!,#REF!,#REF!,#REF!,#REF!,#REF!,#REF!,#REF!,#REF!,#REF!,#REF!</definedName>
    <definedName name="__APW_RESTORE_DATA1175__" hidden="1">#REF!,#REF!,#REF!,#REF!,#REF!,#REF!,#REF!,#REF!,#REF!,#REF!,#REF!,#REF!,#REF!,#REF!,#REF!</definedName>
    <definedName name="__APW_RESTORE_DATA1176__" hidden="1">#REF!,#REF!,#REF!,#REF!,#REF!,#REF!,#REF!,#REF!,#REF!,#REF!,#REF!,#REF!,#REF!,#REF!,#REF!</definedName>
    <definedName name="__APW_RESTORE_DATA1177__" hidden="1">#REF!,#REF!,#REF!,#REF!,#REF!,#REF!,#REF!,#REF!,#REF!,#REF!,#REF!,#REF!,#REF!,#REF!,#REF!</definedName>
    <definedName name="__APW_RESTORE_DATA1178__" hidden="1">#REF!,#REF!,#REF!,#REF!,#REF!,#REF!,#REF!,#REF!,#REF!,#REF!,#REF!,#REF!,#REF!,#REF!,#REF!</definedName>
    <definedName name="__APW_RESTORE_DATA1179__" hidden="1">#REF!,#REF!,#REF!,#REF!,#REF!,#REF!,#REF!,#REF!,#REF!,#REF!,#REF!,#REF!,#REF!,#REF!,#REF!</definedName>
    <definedName name="__APW_RESTORE_DATA118__" hidden="1">#REF!,#REF!,#REF!,#REF!,#REF!,#REF!,#REF!,#REF!,#REF!,#REF!,#REF!,#REF!,#REF!,#REF!,#REF!</definedName>
    <definedName name="__APW_RESTORE_DATA1180__" hidden="1">#REF!,#REF!,#REF!,#REF!,#REF!,#REF!,#REF!,#REF!,#REF!,#REF!,#REF!,#REF!,#REF!,#REF!,#REF!</definedName>
    <definedName name="__APW_RESTORE_DATA1181__" hidden="1">#REF!,#REF!,#REF!,#REF!,#REF!,#REF!,#REF!,#REF!,#REF!,#REF!,#REF!,#REF!,#REF!,#REF!,#REF!</definedName>
    <definedName name="__APW_RESTORE_DATA1182__" hidden="1">#REF!,#REF!,#REF!,#REF!,#REF!,#REF!,#REF!,#REF!,#REF!,#REF!,#REF!,#REF!,#REF!,#REF!,#REF!</definedName>
    <definedName name="__APW_RESTORE_DATA1183__" hidden="1">#REF!,#REF!,#REF!,#REF!,#REF!,#REF!,#REF!,#REF!,#REF!,#REF!,#REF!,#REF!,#REF!,#REF!,#REF!</definedName>
    <definedName name="__APW_RESTORE_DATA1184__" hidden="1">#REF!,#REF!,#REF!,#REF!,#REF!,#REF!,#REF!,#REF!,#REF!,#REF!,#REF!,#REF!,#REF!,#REF!,#REF!</definedName>
    <definedName name="__APW_RESTORE_DATA1185__" hidden="1">#REF!,#REF!,#REF!,#REF!,#REF!,#REF!,#REF!,#REF!,#REF!,#REF!,#REF!,#REF!,#REF!,#REF!,#REF!</definedName>
    <definedName name="__APW_RESTORE_DATA1186__" hidden="1">#REF!,#REF!,#REF!,#REF!,#REF!,#REF!,#REF!,#REF!,#REF!,#REF!,#REF!,#REF!,#REF!,#REF!,#REF!</definedName>
    <definedName name="__APW_RESTORE_DATA1187__" hidden="1">#REF!,#REF!,#REF!,#REF!,#REF!,#REF!,#REF!,#REF!,#REF!,#REF!,#REF!,#REF!,#REF!,#REF!,#REF!</definedName>
    <definedName name="__APW_RESTORE_DATA1188__" hidden="1">#REF!,#REF!,#REF!,#REF!,#REF!,#REF!,#REF!,#REF!,#REF!,#REF!,#REF!,#REF!,#REF!,#REF!,#REF!</definedName>
    <definedName name="__APW_RESTORE_DATA1189__" hidden="1">#REF!,#REF!,#REF!,#REF!,#REF!,#REF!,#REF!,#REF!,#REF!,#REF!,#REF!,#REF!,#REF!,#REF!,#REF!</definedName>
    <definedName name="__APW_RESTORE_DATA119__" hidden="1">#REF!,#REF!,#REF!,#REF!,#REF!,#REF!,#REF!,#REF!,#REF!,#REF!,#REF!,#REF!,#REF!,#REF!,#REF!</definedName>
    <definedName name="__APW_RESTORE_DATA1190__" hidden="1">#REF!,#REF!,#REF!,#REF!,#REF!,#REF!,#REF!,#REF!,#REF!,#REF!,#REF!,#REF!,#REF!,#REF!,#REF!</definedName>
    <definedName name="__APW_RESTORE_DATA1191__" hidden="1">#REF!,#REF!,#REF!,#REF!,#REF!,#REF!,#REF!,#REF!,#REF!,#REF!,#REF!,#REF!,#REF!,#REF!,#REF!</definedName>
    <definedName name="__APW_RESTORE_DATA1192__" hidden="1">#REF!,#REF!,#REF!,#REF!,#REF!,#REF!,#REF!,#REF!,#REF!,#REF!,#REF!,#REF!,#REF!,#REF!,#REF!</definedName>
    <definedName name="__APW_RESTORE_DATA1193__" hidden="1">#REF!,#REF!,#REF!,#REF!,#REF!,#REF!,#REF!,#REF!,#REF!,#REF!,#REF!,#REF!,#REF!,#REF!,#REF!</definedName>
    <definedName name="__APW_RESTORE_DATA1194__" hidden="1">#REF!,#REF!,#REF!,#REF!,#REF!,#REF!,#REF!,#REF!,#REF!,#REF!,#REF!,#REF!,#REF!,#REF!,#REF!</definedName>
    <definedName name="__APW_RESTORE_DATA1195__" hidden="1">#REF!,#REF!,#REF!,#REF!,#REF!,#REF!,#REF!,#REF!,#REF!,#REF!,#REF!,#REF!,#REF!,#REF!,#REF!</definedName>
    <definedName name="__APW_RESTORE_DATA1196__" hidden="1">#REF!,#REF!,#REF!,#REF!,#REF!,#REF!,#REF!,#REF!,#REF!,#REF!,#REF!,#REF!,#REF!,#REF!,#REF!</definedName>
    <definedName name="__APW_RESTORE_DATA1197__" hidden="1">#REF!,#REF!,#REF!,#REF!,#REF!,#REF!,#REF!,#REF!,#REF!,#REF!,#REF!,#REF!,#REF!,#REF!,#REF!</definedName>
    <definedName name="__APW_RESTORE_DATA1198__" hidden="1">#REF!,#REF!,#REF!,#REF!,#REF!,#REF!,#REF!,#REF!,#REF!,#REF!,#REF!,#REF!,#REF!,#REF!,#REF!</definedName>
    <definedName name="__APW_RESTORE_DATA1199__" hidden="1">#REF!,#REF!,#REF!,#REF!,#REF!,#REF!,#REF!,#REF!,#REF!,#REF!,#REF!,#REF!,#REF!,#REF!,#REF!</definedName>
    <definedName name="__APW_RESTORE_DATA12__" hidden="1">#REF!,#REF!,#REF!,#REF!,#REF!,#REF!,#REF!,#REF!,#REF!,#REF!,#REF!,#REF!,#REF!,#REF!,#REF!</definedName>
    <definedName name="__APW_RESTORE_DATA120__" hidden="1">#REF!,#REF!,#REF!,#REF!,#REF!,#REF!,#REF!,#REF!,#REF!,#REF!,#REF!,#REF!,#REF!,#REF!,#REF!</definedName>
    <definedName name="__APW_RESTORE_DATA1200__" hidden="1">#REF!,#REF!,#REF!,#REF!,#REF!,#REF!,#REF!,#REF!,#REF!,#REF!,#REF!,#REF!,#REF!,#REF!,#REF!</definedName>
    <definedName name="__APW_RESTORE_DATA1201__" hidden="1">#REF!,#REF!,#REF!,#REF!,#REF!,#REF!,#REF!,#REF!,#REF!,#REF!,#REF!,#REF!,#REF!,#REF!,#REF!</definedName>
    <definedName name="__APW_RESTORE_DATA1202__" hidden="1">#REF!,#REF!,#REF!,#REF!,#REF!,#REF!,#REF!,#REF!,#REF!,#REF!,#REF!,#REF!,#REF!,#REF!,#REF!</definedName>
    <definedName name="__APW_RESTORE_DATA1203__" hidden="1">#REF!,#REF!,#REF!,#REF!,#REF!,#REF!,#REF!,#REF!,#REF!,#REF!,#REF!,#REF!,#REF!,#REF!,#REF!</definedName>
    <definedName name="__APW_RESTORE_DATA1204__" hidden="1">#REF!,#REF!,#REF!,#REF!,#REF!,#REF!,#REF!,#REF!,#REF!,#REF!,#REF!,#REF!,#REF!,#REF!,#REF!</definedName>
    <definedName name="__APW_RESTORE_DATA1205__" hidden="1">#REF!,#REF!,#REF!,#REF!,#REF!,#REF!,#REF!,#REF!,#REF!,#REF!,#REF!,#REF!,#REF!,#REF!,#REF!</definedName>
    <definedName name="__APW_RESTORE_DATA1206__" hidden="1">#REF!,#REF!,#REF!,#REF!,#REF!,#REF!,#REF!,#REF!,#REF!,#REF!,#REF!,#REF!,#REF!,#REF!,#REF!</definedName>
    <definedName name="__APW_RESTORE_DATA1207__" hidden="1">#REF!,#REF!,#REF!,#REF!,#REF!,#REF!,#REF!,#REF!,#REF!,#REF!,#REF!,#REF!,#REF!,#REF!,#REF!</definedName>
    <definedName name="__APW_RESTORE_DATA1208__" hidden="1">#REF!,#REF!,#REF!,#REF!,#REF!,#REF!,#REF!,#REF!,#REF!,#REF!,#REF!,#REF!,#REF!,#REF!,#REF!</definedName>
    <definedName name="__APW_RESTORE_DATA1209__" hidden="1">#REF!,#REF!,#REF!,#REF!,#REF!,#REF!,#REF!,#REF!,#REF!,#REF!,#REF!,#REF!,#REF!,#REF!,#REF!</definedName>
    <definedName name="__APW_RESTORE_DATA121__" hidden="1">#REF!,#REF!,#REF!,#REF!,#REF!,#REF!,#REF!,#REF!,#REF!,#REF!,#REF!,#REF!,#REF!,#REF!,#REF!</definedName>
    <definedName name="__APW_RESTORE_DATA1210__" hidden="1">#REF!,#REF!,#REF!,#REF!,#REF!,#REF!,#REF!,#REF!,#REF!,#REF!,#REF!,#REF!,#REF!,#REF!,#REF!</definedName>
    <definedName name="__APW_RESTORE_DATA1211__" hidden="1">#REF!,#REF!,#REF!,#REF!,#REF!,#REF!,#REF!,#REF!,#REF!,#REF!,#REF!,#REF!,#REF!,#REF!,#REF!</definedName>
    <definedName name="__APW_RESTORE_DATA1212__" hidden="1">#REF!,#REF!,#REF!,#REF!,#REF!,#REF!,#REF!,#REF!,#REF!,#REF!,#REF!,#REF!,#REF!,#REF!,#REF!</definedName>
    <definedName name="__APW_RESTORE_DATA1213__" hidden="1">#REF!,#REF!,#REF!,#REF!,#REF!,#REF!,#REF!,#REF!,#REF!,#REF!,#REF!,#REF!,#REF!,#REF!,#REF!</definedName>
    <definedName name="__APW_RESTORE_DATA1214__" hidden="1">#REF!,#REF!,#REF!,#REF!,#REF!,#REF!,#REF!,#REF!,#REF!,#REF!,#REF!,#REF!,#REF!,#REF!</definedName>
    <definedName name="__APW_RESTORE_DATA1215__" hidden="1">#REF!,#REF!,#REF!,#REF!,#REF!,#REF!,#REF!,#REF!,#REF!,#REF!,#REF!,#REF!,#REF!,#REF!</definedName>
    <definedName name="__APW_RESTORE_DATA1216__" hidden="1">#REF!,#REF!,#REF!,#REF!,#REF!,#REF!,#REF!,#REF!,#REF!,#REF!,#REF!,#REF!,#REF!,#REF!</definedName>
    <definedName name="__APW_RESTORE_DATA1217__" hidden="1">#REF!,#REF!,#REF!,#REF!,#REF!,#REF!,#REF!,#REF!,#REF!,#REF!,#REF!,#REF!,#REF!,#REF!</definedName>
    <definedName name="__APW_RESTORE_DATA1218__" hidden="1">#REF!,#REF!,#REF!,#REF!,#REF!,#REF!,#REF!,#REF!,#REF!,#REF!,#REF!,#REF!,#REF!,#REF!</definedName>
    <definedName name="__APW_RESTORE_DATA1219__" hidden="1">#REF!,#REF!,#REF!,#REF!,#REF!,#REF!,#REF!,#REF!,#REF!,#REF!,#REF!,#REF!,#REF!,#REF!</definedName>
    <definedName name="__APW_RESTORE_DATA122__" hidden="1">#REF!,#REF!,#REF!,#REF!,#REF!,#REF!,#REF!,#REF!,#REF!,#REF!,#REF!,#REF!,#REF!,#REF!,#REF!</definedName>
    <definedName name="__APW_RESTORE_DATA1220__" hidden="1">#REF!,#REF!,#REF!,#REF!,#REF!,#REF!,#REF!,#REF!,#REF!,#REF!,#REF!,#REF!,#REF!,#REF!</definedName>
    <definedName name="__APW_RESTORE_DATA1221__" hidden="1">#REF!,#REF!,#REF!,#REF!,#REF!,#REF!,#REF!,#REF!,#REF!,#REF!,#REF!,#REF!,#REF!,#REF!</definedName>
    <definedName name="__APW_RESTORE_DATA1222__" hidden="1">#REF!,#REF!,#REF!,#REF!,#REF!,#REF!,#REF!,#REF!,#REF!,#REF!,#REF!,#REF!,#REF!,#REF!</definedName>
    <definedName name="__APW_RESTORE_DATA1223__" hidden="1">#REF!,#REF!,#REF!,#REF!,#REF!,#REF!,#REF!,#REF!,#REF!,#REF!,#REF!,#REF!,#REF!,#REF!</definedName>
    <definedName name="__APW_RESTORE_DATA1224__" hidden="1">#REF!,#REF!,#REF!,#REF!,#REF!,#REF!,#REF!,#REF!,#REF!,#REF!,#REF!,#REF!,#REF!,#REF!</definedName>
    <definedName name="__APW_RESTORE_DATA1225__" hidden="1">#REF!,#REF!,#REF!,#REF!,#REF!,#REF!,#REF!,#REF!,#REF!,#REF!,#REF!,#REF!,#REF!,#REF!</definedName>
    <definedName name="__APW_RESTORE_DATA1226__" hidden="1">#REF!,#REF!,#REF!,#REF!,#REF!,#REF!,#REF!,#REF!,#REF!,#REF!,#REF!,#REF!,#REF!,#REF!</definedName>
    <definedName name="__APW_RESTORE_DATA1227__" hidden="1">#REF!,#REF!,#REF!,#REF!,#REF!,#REF!,#REF!,#REF!,#REF!,#REF!,#REF!,#REF!,#REF!,#REF!</definedName>
    <definedName name="__APW_RESTORE_DATA1228__" hidden="1">#REF!,#REF!,#REF!,#REF!,#REF!,#REF!,#REF!,#REF!,#REF!,#REF!,#REF!,#REF!,#REF!,#REF!</definedName>
    <definedName name="__APW_RESTORE_DATA1229__" hidden="1">#REF!,#REF!,#REF!,#REF!,#REF!,#REF!,#REF!,#REF!,#REF!,#REF!,#REF!,#REF!,#REF!,#REF!</definedName>
    <definedName name="__APW_RESTORE_DATA123__" hidden="1">#REF!,#REF!,#REF!,#REF!,#REF!,#REF!,#REF!,#REF!,#REF!,#REF!,#REF!,#REF!,#REF!,#REF!,#REF!</definedName>
    <definedName name="__APW_RESTORE_DATA1230__" hidden="1">#REF!,#REF!,#REF!,#REF!,#REF!,#REF!,#REF!,#REF!,#REF!,#REF!,#REF!,#REF!,#REF!,#REF!</definedName>
    <definedName name="__APW_RESTORE_DATA1231__" hidden="1">#REF!,#REF!,#REF!,#REF!,#REF!,#REF!,#REF!,#REF!,#REF!,#REF!,#REF!,#REF!,#REF!,#REF!</definedName>
    <definedName name="__APW_RESTORE_DATA1232__" hidden="1">#REF!,#REF!,#REF!,#REF!,#REF!,#REF!,#REF!,#REF!,#REF!,#REF!,#REF!,#REF!,#REF!,#REF!</definedName>
    <definedName name="__APW_RESTORE_DATA1233__" hidden="1">#REF!,#REF!,#REF!,#REF!,#REF!,#REF!,#REF!,#REF!,#REF!,#REF!,#REF!,#REF!,#REF!,#REF!</definedName>
    <definedName name="__APW_RESTORE_DATA1234__" hidden="1">#REF!,#REF!,#REF!,#REF!,#REF!,#REF!,#REF!,#REF!,#REF!,#REF!,#REF!,#REF!,#REF!,#REF!</definedName>
    <definedName name="__APW_RESTORE_DATA1235__" hidden="1">#REF!,#REF!,#REF!,#REF!,#REF!,#REF!,#REF!,#REF!,#REF!,#REF!,#REF!,#REF!,#REF!,#REF!</definedName>
    <definedName name="__APW_RESTORE_DATA1236__" hidden="1">#REF!,#REF!,#REF!,#REF!,#REF!,#REF!,#REF!,#REF!,#REF!,#REF!,#REF!,#REF!,#REF!,#REF!</definedName>
    <definedName name="__APW_RESTORE_DATA1237__" hidden="1">#REF!,#REF!,#REF!,#REF!,#REF!,#REF!,#REF!,#REF!,#REF!,#REF!,#REF!,#REF!,#REF!,#REF!</definedName>
    <definedName name="__APW_RESTORE_DATA1238__" hidden="1">#REF!,#REF!,#REF!,#REF!,#REF!,#REF!,#REF!,#REF!,#REF!,#REF!,#REF!,#REF!,#REF!,#REF!</definedName>
    <definedName name="__APW_RESTORE_DATA1239__" hidden="1">#REF!,#REF!,#REF!,#REF!,#REF!,#REF!,#REF!,#REF!,#REF!,#REF!,#REF!,#REF!,#REF!,#REF!</definedName>
    <definedName name="__APW_RESTORE_DATA124__" hidden="1">#REF!,#REF!,#REF!,#REF!,#REF!,#REF!,#REF!,#REF!,#REF!,#REF!,#REF!,#REF!,#REF!,#REF!,#REF!</definedName>
    <definedName name="__APW_RESTORE_DATA1240__" hidden="1">#REF!,#REF!,#REF!,#REF!,#REF!,#REF!,#REF!,#REF!,#REF!,#REF!,#REF!,#REF!,#REF!,#REF!</definedName>
    <definedName name="__APW_RESTORE_DATA1241__" hidden="1">#REF!,#REF!,#REF!,#REF!,#REF!,#REF!,#REF!,#REF!,#REF!,#REF!,#REF!,#REF!,#REF!,#REF!</definedName>
    <definedName name="__APW_RESTORE_DATA1242__" hidden="1">#REF!,#REF!,#REF!,#REF!,#REF!,#REF!,#REF!,#REF!,#REF!,#REF!,#REF!,#REF!,#REF!,#REF!</definedName>
    <definedName name="__APW_RESTORE_DATA1243__" hidden="1">#REF!,#REF!,#REF!,#REF!,#REF!,#REF!,#REF!,#REF!,#REF!,#REF!,#REF!,#REF!,#REF!,#REF!</definedName>
    <definedName name="__APW_RESTORE_DATA1244__" hidden="1">#REF!,#REF!,#REF!,#REF!,#REF!,#REF!,#REF!,#REF!,#REF!,#REF!,#REF!,#REF!,#REF!,#REF!</definedName>
    <definedName name="__APW_RESTORE_DATA1245__" hidden="1">#REF!,#REF!,#REF!,#REF!,#REF!,#REF!,#REF!,#REF!,#REF!,#REF!,#REF!,#REF!,#REF!,#REF!</definedName>
    <definedName name="__APW_RESTORE_DATA1246__" hidden="1">#REF!,#REF!,#REF!,#REF!,#REF!,#REF!,#REF!,#REF!,#REF!,#REF!,#REF!,#REF!,#REF!,#REF!</definedName>
    <definedName name="__APW_RESTORE_DATA1247__" hidden="1">#REF!,#REF!,#REF!,#REF!,#REF!,#REF!,#REF!,#REF!,#REF!,#REF!,#REF!,#REF!,#REF!,#REF!</definedName>
    <definedName name="__APW_RESTORE_DATA1248__" hidden="1">#REF!,#REF!,#REF!,#REF!,#REF!,#REF!,#REF!,#REF!,#REF!,#REF!,#REF!,#REF!,#REF!,#REF!</definedName>
    <definedName name="__APW_RESTORE_DATA1249__" hidden="1">#REF!,#REF!,#REF!,#REF!,#REF!,#REF!,#REF!,#REF!,#REF!,#REF!,#REF!,#REF!,#REF!,#REF!</definedName>
    <definedName name="__APW_RESTORE_DATA125__" hidden="1">#REF!,#REF!,#REF!,#REF!,#REF!,#REF!,#REF!,#REF!,#REF!,#REF!,#REF!,#REF!,#REF!,#REF!,#REF!</definedName>
    <definedName name="__APW_RESTORE_DATA1250__" hidden="1">#REF!,#REF!,#REF!,#REF!,#REF!,#REF!,#REF!,#REF!,#REF!,#REF!,#REF!,#REF!,#REF!,#REF!</definedName>
    <definedName name="__APW_RESTORE_DATA1251__" hidden="1">#REF!</definedName>
    <definedName name="__APW_RESTORE_DATA1252__" hidden="1">#REF!,#REF!,#REF!,#REF!,#REF!,#REF!,#REF!,#REF!,#REF!,#REF!,#REF!,#REF!,#REF!,#REF!,#REF!,#REF!,#REF!</definedName>
    <definedName name="__APW_RESTORE_DATA1253__" hidden="1">#REF!,#REF!,#REF!,#REF!,#REF!,#REF!,#REF!,#REF!,#REF!,#REF!,#REF!,#REF!,#REF!,#REF!,#REF!,#REF!</definedName>
    <definedName name="__APW_RESTORE_DATA1254__" hidden="1">#REF!,#REF!,#REF!,#REF!,#REF!,#REF!,#REF!,#REF!,#REF!,#REF!,#REF!,#REF!,#REF!,#REF!,#REF!,#REF!</definedName>
    <definedName name="__APW_RESTORE_DATA1255__" hidden="1">#REF!,#REF!,#REF!,#REF!,#REF!,#REF!,#REF!,#REF!,#REF!,#REF!,#REF!,#REF!,#REF!,#REF!,#REF!,#REF!</definedName>
    <definedName name="__APW_RESTORE_DATA1256__" hidden="1">#REF!,#REF!,#REF!,#REF!,#REF!,#REF!,#REF!,#REF!,#REF!,#REF!,#REF!,#REF!,#REF!,#REF!,#REF!,#REF!</definedName>
    <definedName name="__APW_RESTORE_DATA1257__" hidden="1">#REF!,#REF!,#REF!,#REF!,#REF!,#REF!,#REF!,#REF!,#REF!,#REF!,#REF!,#REF!,#REF!,#REF!,#REF!,#REF!</definedName>
    <definedName name="__APW_RESTORE_DATA1258__" hidden="1">#REF!,#REF!,#REF!,#REF!,#REF!,#REF!,#REF!,#REF!,#REF!,#REF!,#REF!,#REF!,#REF!,#REF!,#REF!</definedName>
    <definedName name="__APW_RESTORE_DATA1259__" hidden="1">#REF!,#REF!,#REF!,#REF!,#REF!,#REF!,#REF!,#REF!,#REF!,#REF!,#REF!,#REF!,#REF!,#REF!,#REF!</definedName>
    <definedName name="__APW_RESTORE_DATA126__" hidden="1">#REF!,#REF!,#REF!,#REF!,#REF!,#REF!,#REF!,#REF!,#REF!,#REF!,#REF!,#REF!,#REF!,#REF!,#REF!</definedName>
    <definedName name="__APW_RESTORE_DATA1260__" hidden="1">#REF!,#REF!,#REF!,#REF!,#REF!,#REF!,#REF!,#REF!,#REF!,#REF!,#REF!,#REF!,#REF!,#REF!,#REF!</definedName>
    <definedName name="__APW_RESTORE_DATA1261__" hidden="1">#REF!,#REF!,#REF!,#REF!,#REF!,#REF!,#REF!,#REF!,#REF!,#REF!,#REF!,#REF!,#REF!,#REF!,#REF!</definedName>
    <definedName name="__APW_RESTORE_DATA1262__" hidden="1">#REF!,#REF!,#REF!,#REF!,#REF!,#REF!,#REF!,#REF!,#REF!,#REF!,#REF!,#REF!,#REF!,#REF!,#REF!</definedName>
    <definedName name="__APW_RESTORE_DATA1263__" hidden="1">#REF!,#REF!,#REF!,#REF!,#REF!,#REF!,#REF!,#REF!,#REF!,#REF!,#REF!,#REF!,#REF!,#REF!,#REF!</definedName>
    <definedName name="__APW_RESTORE_DATA1264__" hidden="1">#REF!,#REF!,#REF!,#REF!,#REF!,#REF!,#REF!,#REF!,#REF!,#REF!,#REF!,#REF!,#REF!,#REF!,#REF!</definedName>
    <definedName name="__APW_RESTORE_DATA1265__" hidden="1">#REF!,#REF!,#REF!,#REF!,#REF!,#REF!,#REF!,#REF!,#REF!,#REF!,#REF!,#REF!,#REF!,#REF!,#REF!</definedName>
    <definedName name="__APW_RESTORE_DATA1266__" hidden="1">#REF!,#REF!,#REF!,#REF!,#REF!,#REF!,#REF!,#REF!,#REF!,#REF!,#REF!,#REF!,#REF!,#REF!,#REF!</definedName>
    <definedName name="__APW_RESTORE_DATA1267__" hidden="1">#REF!,#REF!,#REF!,#REF!,#REF!,#REF!,#REF!,#REF!,#REF!,#REF!,#REF!,#REF!,#REF!,#REF!,#REF!</definedName>
    <definedName name="__APW_RESTORE_DATA1268__" hidden="1">#REF!,#REF!,#REF!,#REF!,#REF!,#REF!,#REF!,#REF!,#REF!,#REF!,#REF!,#REF!,#REF!,#REF!,#REF!</definedName>
    <definedName name="__APW_RESTORE_DATA1269__" hidden="1">#REF!,#REF!,#REF!,#REF!,#REF!,#REF!,#REF!,#REF!,#REF!,#REF!,#REF!,#REF!,#REF!,#REF!,#REF!</definedName>
    <definedName name="__APW_RESTORE_DATA127__" hidden="1">#REF!,#REF!,#REF!,#REF!,#REF!,#REF!,#REF!,#REF!,#REF!,#REF!,#REF!,#REF!,#REF!,#REF!,#REF!</definedName>
    <definedName name="__APW_RESTORE_DATA1270__" hidden="1">#REF!,#REF!,#REF!,#REF!,#REF!,#REF!,#REF!,#REF!,#REF!,#REF!,#REF!,#REF!,#REF!,#REF!,#REF!</definedName>
    <definedName name="__APW_RESTORE_DATA1271__" hidden="1">#REF!,#REF!,#REF!,#REF!,#REF!,#REF!,#REF!,#REF!,#REF!,#REF!,#REF!,#REF!,#REF!,#REF!,#REF!</definedName>
    <definedName name="__APW_RESTORE_DATA1272__" hidden="1">#REF!,#REF!,#REF!,#REF!,#REF!,#REF!,#REF!,#REF!,#REF!,#REF!,#REF!,#REF!,#REF!,#REF!,#REF!</definedName>
    <definedName name="__APW_RESTORE_DATA1273__" hidden="1">#REF!,#REF!,#REF!,#REF!,#REF!,#REF!,#REF!,#REF!,#REF!,#REF!,#REF!,#REF!,#REF!,#REF!,#REF!</definedName>
    <definedName name="__APW_RESTORE_DATA1274__" hidden="1">#REF!,#REF!,#REF!,#REF!,#REF!,#REF!,#REF!,#REF!,#REF!,#REF!,#REF!,#REF!,#REF!,#REF!,#REF!</definedName>
    <definedName name="__APW_RESTORE_DATA1275__" hidden="1">#REF!,#REF!,#REF!,#REF!,#REF!,#REF!,#REF!,#REF!,#REF!,#REF!,#REF!,#REF!,#REF!,#REF!,#REF!</definedName>
    <definedName name="__APW_RESTORE_DATA1276__" hidden="1">#REF!,#REF!,#REF!,#REF!,#REF!,#REF!,#REF!,#REF!,#REF!,#REF!,#REF!,#REF!,#REF!,#REF!,#REF!</definedName>
    <definedName name="__APW_RESTORE_DATA1277__" hidden="1">#REF!,#REF!,#REF!,#REF!,#REF!,#REF!,#REF!,#REF!,#REF!,#REF!,#REF!,#REF!,#REF!,#REF!,#REF!</definedName>
    <definedName name="__APW_RESTORE_DATA1278__" hidden="1">#REF!,#REF!,#REF!,#REF!,#REF!,#REF!,#REF!,#REF!,#REF!,#REF!,#REF!,#REF!,#REF!,#REF!,#REF!</definedName>
    <definedName name="__APW_RESTORE_DATA1279__" hidden="1">#REF!,#REF!,#REF!,#REF!,#REF!,#REF!,#REF!,#REF!,#REF!,#REF!,#REF!,#REF!,#REF!,#REF!,#REF!</definedName>
    <definedName name="__APW_RESTORE_DATA128__" hidden="1">#REF!,#REF!,#REF!,#REF!,#REF!,#REF!,#REF!,#REF!,#REF!,#REF!,#REF!,#REF!,#REF!,#REF!,#REF!</definedName>
    <definedName name="__APW_RESTORE_DATA1280__" hidden="1">#REF!,#REF!,#REF!,#REF!,#REF!,#REF!,#REF!,#REF!,#REF!,#REF!,#REF!,#REF!,#REF!,#REF!,#REF!</definedName>
    <definedName name="__APW_RESTORE_DATA1281__" hidden="1">#REF!,#REF!,#REF!,#REF!,#REF!,#REF!,#REF!,#REF!,#REF!,#REF!,#REF!,#REF!,#REF!,#REF!,#REF!</definedName>
    <definedName name="__APW_RESTORE_DATA1282__" hidden="1">#REF!,#REF!,#REF!,#REF!,#REF!,#REF!,#REF!,#REF!,#REF!,#REF!,#REF!,#REF!,#REF!,#REF!,#REF!</definedName>
    <definedName name="__APW_RESTORE_DATA1283__" hidden="1">#REF!,#REF!,#REF!,#REF!,#REF!,#REF!,#REF!,#REF!,#REF!,#REF!,#REF!,#REF!,#REF!,#REF!,#REF!</definedName>
    <definedName name="__APW_RESTORE_DATA1284__" hidden="1">#REF!,#REF!,#REF!,#REF!,#REF!,#REF!,#REF!,#REF!,#REF!,#REF!,#REF!,#REF!,#REF!,#REF!,#REF!</definedName>
    <definedName name="__APW_RESTORE_DATA1285__" hidden="1">#REF!,#REF!,#REF!,#REF!,#REF!,#REF!,#REF!,#REF!,#REF!,#REF!,#REF!,#REF!,#REF!,#REF!,#REF!</definedName>
    <definedName name="__APW_RESTORE_DATA1286__" hidden="1">#REF!,#REF!,#REF!,#REF!,#REF!,#REF!,#REF!,#REF!,#REF!,#REF!,#REF!,#REF!,#REF!,#REF!,#REF!</definedName>
    <definedName name="__APW_RESTORE_DATA1287__" hidden="1">#REF!,#REF!,#REF!,#REF!,#REF!,#REF!,#REF!,#REF!,#REF!,#REF!,#REF!,#REF!,#REF!,#REF!,#REF!</definedName>
    <definedName name="__APW_RESTORE_DATA1288__" hidden="1">#REF!,#REF!,#REF!,#REF!,#REF!,#REF!,#REF!,#REF!,#REF!,#REF!,#REF!,#REF!,#REF!,#REF!,#REF!</definedName>
    <definedName name="__APW_RESTORE_DATA1289__" hidden="1">#REF!,#REF!,#REF!,#REF!,#REF!,#REF!,#REF!,#REF!,#REF!,#REF!,#REF!,#REF!,#REF!,#REF!,#REF!</definedName>
    <definedName name="__APW_RESTORE_DATA129__" hidden="1">#REF!,#REF!,#REF!,#REF!,#REF!,#REF!,#REF!,#REF!,#REF!,#REF!,#REF!,#REF!,#REF!,#REF!,#REF!</definedName>
    <definedName name="__APW_RESTORE_DATA1290__" hidden="1">#REF!,#REF!,#REF!,#REF!,#REF!,#REF!,#REF!,#REF!,#REF!,#REF!,#REF!,#REF!,#REF!,#REF!,#REF!</definedName>
    <definedName name="__APW_RESTORE_DATA1291__" hidden="1">#REF!,#REF!,#REF!,#REF!,#REF!,#REF!,#REF!,#REF!,#REF!,#REF!,#REF!,#REF!,#REF!,#REF!,#REF!</definedName>
    <definedName name="__APW_RESTORE_DATA1292__" hidden="1">#REF!,#REF!,#REF!,#REF!,#REF!,#REF!,#REF!,#REF!,#REF!,#REF!,#REF!,#REF!,#REF!,#REF!,#REF!</definedName>
    <definedName name="__APW_RESTORE_DATA1293__" hidden="1">#REF!,#REF!,#REF!,#REF!,#REF!,#REF!,#REF!,#REF!,#REF!,#REF!,#REF!,#REF!,#REF!,#REF!,#REF!</definedName>
    <definedName name="__APW_RESTORE_DATA1294__" hidden="1">#REF!,#REF!,#REF!,#REF!,#REF!,#REF!,#REF!,#REF!,#REF!,#REF!,#REF!,#REF!,#REF!,#REF!,#REF!</definedName>
    <definedName name="__APW_RESTORE_DATA1295__" hidden="1">#REF!,#REF!,#REF!,#REF!,#REF!,#REF!,#REF!,#REF!,#REF!,#REF!,#REF!,#REF!,#REF!,#REF!,#REF!</definedName>
    <definedName name="__APW_RESTORE_DATA1296__" hidden="1">#REF!,#REF!,#REF!,#REF!,#REF!,#REF!,#REF!,#REF!,#REF!,#REF!,#REF!,#REF!,#REF!,#REF!,#REF!</definedName>
    <definedName name="__APW_RESTORE_DATA1297__" hidden="1">#REF!,#REF!,#REF!,#REF!,#REF!,#REF!,#REF!,#REF!,#REF!,#REF!,#REF!,#REF!,#REF!,#REF!,#REF!</definedName>
    <definedName name="__APW_RESTORE_DATA1298__" hidden="1">#REF!,#REF!,#REF!,#REF!,#REF!,#REF!,#REF!,#REF!,#REF!,#REF!,#REF!,#REF!,#REF!,#REF!,#REF!</definedName>
    <definedName name="__APW_RESTORE_DATA1299__" hidden="1">#REF!,#REF!,#REF!,#REF!,#REF!,#REF!,#REF!,#REF!,#REF!,#REF!,#REF!,#REF!,#REF!,#REF!,#REF!</definedName>
    <definedName name="__APW_RESTORE_DATA13__" hidden="1">#REF!,#REF!,#REF!,#REF!,#REF!,#REF!,#REF!,#REF!,#REF!,#REF!,#REF!,#REF!,#REF!,#REF!,#REF!</definedName>
    <definedName name="__APW_RESTORE_DATA130__" hidden="1">#REF!,#REF!,#REF!,#REF!,#REF!,#REF!,#REF!,#REF!,#REF!,#REF!,#REF!,#REF!,#REF!,#REF!,#REF!</definedName>
    <definedName name="__APW_RESTORE_DATA1300__" hidden="1">#REF!,#REF!,#REF!,#REF!,#REF!,#REF!,#REF!,#REF!,#REF!,#REF!,#REF!,#REF!,#REF!,#REF!,#REF!</definedName>
    <definedName name="__APW_RESTORE_DATA1301__" hidden="1">#REF!,#REF!,#REF!,#REF!,#REF!,#REF!,#REF!,#REF!,#REF!,#REF!,#REF!,#REF!,#REF!,#REF!,#REF!</definedName>
    <definedName name="__APW_RESTORE_DATA1302__" hidden="1">#REF!,#REF!,#REF!,#REF!,#REF!,#REF!,#REF!,#REF!,#REF!,#REF!,#REF!,#REF!,#REF!,#REF!,#REF!</definedName>
    <definedName name="__APW_RESTORE_DATA1303__" hidden="1">#REF!,#REF!,#REF!,#REF!,#REF!,#REF!,#REF!,#REF!,#REF!,#REF!,#REF!,#REF!,#REF!,#REF!,#REF!</definedName>
    <definedName name="__APW_RESTORE_DATA1304__" hidden="1">#REF!,#REF!,#REF!,#REF!,#REF!,#REF!,#REF!,#REF!,#REF!,#REF!,#REF!,#REF!,#REF!,#REF!,#REF!</definedName>
    <definedName name="__APW_RESTORE_DATA1305__" hidden="1">#REF!,#REF!,#REF!,#REF!,#REF!,#REF!,#REF!,#REF!,#REF!,#REF!,#REF!,#REF!,#REF!,#REF!,#REF!</definedName>
    <definedName name="__APW_RESTORE_DATA1306__" hidden="1">#REF!,#REF!,#REF!,#REF!,#REF!,#REF!,#REF!,#REF!,#REF!,#REF!,#REF!,#REF!,#REF!,#REF!,#REF!</definedName>
    <definedName name="__APW_RESTORE_DATA1307__" hidden="1">#REF!,#REF!,#REF!,#REF!,#REF!,#REF!,#REF!,#REF!,#REF!,#REF!,#REF!,#REF!,#REF!,#REF!,#REF!</definedName>
    <definedName name="__APW_RESTORE_DATA1308__" hidden="1">#REF!,#REF!,#REF!,#REF!,#REF!,#REF!,#REF!,#REF!,#REF!,#REF!,#REF!,#REF!,#REF!,#REF!,#REF!</definedName>
    <definedName name="__APW_RESTORE_DATA1309__" hidden="1">#REF!,#REF!,#REF!,#REF!,#REF!,#REF!,#REF!,#REF!,#REF!,#REF!,#REF!,#REF!,#REF!,#REF!,#REF!</definedName>
    <definedName name="__APW_RESTORE_DATA131__" hidden="1">#REF!,#REF!,#REF!,#REF!,#REF!,#REF!,#REF!,#REF!,#REF!,#REF!,#REF!,#REF!,#REF!,#REF!,#REF!</definedName>
    <definedName name="__APW_RESTORE_DATA1310__" hidden="1">#REF!,#REF!,#REF!,#REF!,#REF!,#REF!,#REF!,#REF!,#REF!,#REF!,#REF!,#REF!,#REF!,#REF!,#REF!</definedName>
    <definedName name="__APW_RESTORE_DATA1311__" hidden="1">#REF!,#REF!,#REF!,#REF!,#REF!,#REF!,#REF!,#REF!,#REF!,#REF!,#REF!,#REF!,#REF!,#REF!,#REF!</definedName>
    <definedName name="__APW_RESTORE_DATA1312__" hidden="1">#REF!,#REF!,#REF!,#REF!,#REF!,#REF!,#REF!,#REF!,#REF!,#REF!,#REF!,#REF!,#REF!,#REF!,#REF!</definedName>
    <definedName name="__APW_RESTORE_DATA1313__" hidden="1">#REF!,#REF!,#REF!,#REF!,#REF!,#REF!,#REF!,#REF!,#REF!,#REF!,#REF!,#REF!,#REF!,#REF!,#REF!</definedName>
    <definedName name="__APW_RESTORE_DATA1314__" hidden="1">#REF!,#REF!,#REF!,#REF!,#REF!,#REF!,#REF!,#REF!,#REF!,#REF!,#REF!,#REF!,#REF!,#REF!,#REF!</definedName>
    <definedName name="__APW_RESTORE_DATA1315__" hidden="1">#REF!,#REF!,#REF!,#REF!,#REF!,#REF!,#REF!,#REF!,#REF!,#REF!,#REF!,#REF!,#REF!,#REF!,#REF!</definedName>
    <definedName name="__APW_RESTORE_DATA1316__" hidden="1">#REF!,#REF!,#REF!,#REF!,#REF!,#REF!,#REF!,#REF!,#REF!,#REF!,#REF!,#REF!,#REF!,#REF!,#REF!</definedName>
    <definedName name="__APW_RESTORE_DATA1317__" hidden="1">#REF!,#REF!,#REF!,#REF!,#REF!,#REF!,#REF!,#REF!,#REF!,#REF!,#REF!,#REF!,#REF!,#REF!,#REF!</definedName>
    <definedName name="__APW_RESTORE_DATA1318__" hidden="1">#REF!,#REF!,#REF!,#REF!,#REF!,#REF!,#REF!,#REF!,#REF!,#REF!,#REF!,#REF!,#REF!,#REF!</definedName>
    <definedName name="__APW_RESTORE_DATA1319__" hidden="1">#REF!,#REF!,#REF!,#REF!,#REF!,#REF!,#REF!,#REF!,#REF!,#REF!,#REF!,#REF!,#REF!,#REF!</definedName>
    <definedName name="__APW_RESTORE_DATA132__" hidden="1">#REF!,#REF!,#REF!,#REF!,#REF!,#REF!,#REF!,#REF!,#REF!,#REF!,#REF!,#REF!,#REF!,#REF!,#REF!</definedName>
    <definedName name="__APW_RESTORE_DATA1320__" hidden="1">#REF!,#REF!,#REF!,#REF!,#REF!,#REF!,#REF!,#REF!,#REF!,#REF!,#REF!,#REF!,#REF!,#REF!</definedName>
    <definedName name="__APW_RESTORE_DATA1321__" hidden="1">#REF!,#REF!,#REF!,#REF!,#REF!,#REF!,#REF!,#REF!,#REF!,#REF!,#REF!,#REF!,#REF!,#REF!</definedName>
    <definedName name="__APW_RESTORE_DATA1322__" hidden="1">#REF!,#REF!,#REF!,#REF!,#REF!,#REF!,#REF!,#REF!,#REF!,#REF!,#REF!,#REF!,#REF!,#REF!</definedName>
    <definedName name="__APW_RESTORE_DATA1323__" hidden="1">#REF!,#REF!,#REF!,#REF!,#REF!,#REF!,#REF!,#REF!,#REF!,#REF!,#REF!,#REF!,#REF!,#REF!</definedName>
    <definedName name="__APW_RESTORE_DATA1324__" hidden="1">#REF!,#REF!,#REF!,#REF!,#REF!,#REF!,#REF!,#REF!,#REF!,#REF!,#REF!,#REF!,#REF!,#REF!</definedName>
    <definedName name="__APW_RESTORE_DATA1325__" hidden="1">#REF!,#REF!,#REF!,#REF!,#REF!,#REF!,#REF!,#REF!,#REF!,#REF!,#REF!,#REF!,#REF!,#REF!</definedName>
    <definedName name="__APW_RESTORE_DATA1326__" hidden="1">#REF!,#REF!,#REF!,#REF!,#REF!,#REF!,#REF!,#REF!,#REF!,#REF!,#REF!,#REF!,#REF!,#REF!</definedName>
    <definedName name="__APW_RESTORE_DATA1327__" hidden="1">#REF!,#REF!,#REF!,#REF!,#REF!,#REF!,#REF!,#REF!,#REF!,#REF!,#REF!,#REF!,#REF!,#REF!</definedName>
    <definedName name="__APW_RESTORE_DATA1328__" hidden="1">#REF!,#REF!,#REF!,#REF!,#REF!,#REF!,#REF!,#REF!,#REF!,#REF!,#REF!,#REF!,#REF!,#REF!</definedName>
    <definedName name="__APW_RESTORE_DATA1329__" hidden="1">#REF!,#REF!,#REF!,#REF!,#REF!,#REF!,#REF!,#REF!,#REF!,#REF!,#REF!,#REF!,#REF!,#REF!</definedName>
    <definedName name="__APW_RESTORE_DATA133__" hidden="1">#REF!,#REF!,#REF!,#REF!,#REF!,#REF!,#REF!,#REF!,#REF!,#REF!,#REF!,#REF!,#REF!,#REF!,#REF!</definedName>
    <definedName name="__APW_RESTORE_DATA1330__" hidden="1">#REF!,#REF!,#REF!,#REF!,#REF!,#REF!,#REF!,#REF!,#REF!,#REF!,#REF!,#REF!,#REF!,#REF!</definedName>
    <definedName name="__APW_RESTORE_DATA1331__" hidden="1">#REF!,#REF!,#REF!,#REF!,#REF!,#REF!,#REF!,#REF!,#REF!,#REF!,#REF!,#REF!,#REF!,#REF!</definedName>
    <definedName name="__APW_RESTORE_DATA1332__" hidden="1">#REF!,#REF!,#REF!,#REF!,#REF!,#REF!,#REF!,#REF!,#REF!,#REF!,#REF!,#REF!,#REF!,#REF!</definedName>
    <definedName name="__APW_RESTORE_DATA1333__" hidden="1">#REF!,#REF!,#REF!,#REF!,#REF!,#REF!,#REF!,#REF!,#REF!,#REF!,#REF!,#REF!,#REF!,#REF!</definedName>
    <definedName name="__APW_RESTORE_DATA1334__" hidden="1">#REF!,#REF!,#REF!,#REF!,#REF!,#REF!,#REF!,#REF!,#REF!,#REF!,#REF!,#REF!,#REF!,#REF!</definedName>
    <definedName name="__APW_RESTORE_DATA1335__" hidden="1">#REF!,#REF!,#REF!,#REF!,#REF!,#REF!,#REF!,#REF!,#REF!,#REF!,#REF!,#REF!,#REF!,#REF!</definedName>
    <definedName name="__APW_RESTORE_DATA1336__" hidden="1">#REF!,#REF!,#REF!,#REF!,#REF!,#REF!,#REF!,#REF!,#REF!,#REF!,#REF!,#REF!,#REF!,#REF!</definedName>
    <definedName name="__APW_RESTORE_DATA1337__" hidden="1">#REF!,#REF!,#REF!,#REF!,#REF!,#REF!,#REF!,#REF!,#REF!,#REF!,#REF!,#REF!,#REF!,#REF!</definedName>
    <definedName name="__APW_RESTORE_DATA1338__" hidden="1">#REF!,#REF!,#REF!,#REF!,#REF!,#REF!,#REF!,#REF!,#REF!,#REF!,#REF!,#REF!,#REF!,#REF!</definedName>
    <definedName name="__APW_RESTORE_DATA1339__" hidden="1">#REF!,#REF!,#REF!,#REF!,#REF!,#REF!,#REF!,#REF!,#REF!,#REF!,#REF!,#REF!,#REF!,#REF!</definedName>
    <definedName name="__APW_RESTORE_DATA134__" hidden="1">#REF!,#REF!,#REF!,#REF!,#REF!,#REF!,#REF!,#REF!,#REF!,#REF!,#REF!,#REF!,#REF!,#REF!,#REF!</definedName>
    <definedName name="__APW_RESTORE_DATA1340__" hidden="1">#REF!,#REF!,#REF!,#REF!,#REF!,#REF!,#REF!,#REF!,#REF!,#REF!,#REF!,#REF!,#REF!,#REF!</definedName>
    <definedName name="__APW_RESTORE_DATA1341__" hidden="1">#REF!,#REF!,#REF!,#REF!,#REF!,#REF!,#REF!,#REF!,#REF!,#REF!,#REF!,#REF!,#REF!,#REF!</definedName>
    <definedName name="__APW_RESTORE_DATA1342__" hidden="1">#REF!,#REF!,#REF!,#REF!,#REF!,#REF!,#REF!,#REF!,#REF!,#REF!,#REF!,#REF!,#REF!,#REF!</definedName>
    <definedName name="__APW_RESTORE_DATA1343__" hidden="1">#REF!,#REF!,#REF!,#REF!,#REF!,#REF!,#REF!,#REF!,#REF!,#REF!,#REF!,#REF!,#REF!,#REF!</definedName>
    <definedName name="__APW_RESTORE_DATA1344__" hidden="1">#REF!,#REF!,#REF!,#REF!,#REF!,#REF!,#REF!,#REF!,#REF!,#REF!,#REF!,#REF!,#REF!,#REF!</definedName>
    <definedName name="__APW_RESTORE_DATA1345__" hidden="1">#REF!,#REF!,#REF!,#REF!,#REF!,#REF!,#REF!,#REF!,#REF!,#REF!,#REF!,#REF!,#REF!,#REF!</definedName>
    <definedName name="__APW_RESTORE_DATA1346__" hidden="1">#REF!,#REF!,#REF!,#REF!,#REF!,#REF!,#REF!,#REF!,#REF!,#REF!,#REF!,#REF!,#REF!,#REF!</definedName>
    <definedName name="__APW_RESTORE_DATA1347__" hidden="1">#REF!,#REF!,#REF!,#REF!,#REF!,#REF!,#REF!,#REF!,#REF!,#REF!,#REF!,#REF!,#REF!,#REF!</definedName>
    <definedName name="__APW_RESTORE_DATA1348__" hidden="1">#REF!,#REF!,#REF!,#REF!,#REF!,#REF!,#REF!,#REF!,#REF!,#REF!,#REF!,#REF!,#REF!,#REF!</definedName>
    <definedName name="__APW_RESTORE_DATA1349__" hidden="1">#REF!,#REF!,#REF!,#REF!,#REF!,#REF!,#REF!,#REF!,#REF!,#REF!,#REF!,#REF!,#REF!,#REF!</definedName>
    <definedName name="__APW_RESTORE_DATA135__" hidden="1">#REF!,#REF!,#REF!,#REF!,#REF!,#REF!,#REF!,#REF!,#REF!,#REF!,#REF!,#REF!,#REF!,#REF!,#REF!</definedName>
    <definedName name="__APW_RESTORE_DATA1350__" hidden="1">#REF!,#REF!,#REF!,#REF!,#REF!,#REF!,#REF!,#REF!,#REF!,#REF!,#REF!,#REF!,#REF!,#REF!</definedName>
    <definedName name="__APW_RESTORE_DATA1351__" hidden="1">#REF!,#REF!,#REF!,#REF!,#REF!,#REF!,#REF!,#REF!,#REF!,#REF!,#REF!,#REF!,#REF!,#REF!</definedName>
    <definedName name="__APW_RESTORE_DATA1352__" hidden="1">#REF!,#REF!,#REF!,#REF!,#REF!,#REF!,#REF!,#REF!,#REF!,#REF!,#REF!,#REF!,#REF!,#REF!</definedName>
    <definedName name="__APW_RESTORE_DATA1353__" hidden="1">#REF!,#REF!,#REF!,#REF!,#REF!,#REF!,#REF!,#REF!,#REF!,#REF!,#REF!,#REF!,#REF!,#REF!</definedName>
    <definedName name="__APW_RESTORE_DATA1354__" hidden="1">#REF!,#REF!,#REF!,#REF!,#REF!,#REF!,#REF!,#REF!,#REF!,#REF!,#REF!,#REF!,#REF!,#REF!</definedName>
    <definedName name="__APW_RESTORE_DATA1355__" hidden="1">#REF!</definedName>
    <definedName name="__APW_RESTORE_DATA1356__" hidden="1">#REF!,#REF!,#REF!,#REF!,#REF!,#REF!,#REF!,#REF!,#REF!,#REF!,#REF!,#REF!,#REF!,#REF!,#REF!,#REF!,#REF!</definedName>
    <definedName name="__APW_RESTORE_DATA1357__" hidden="1">#REF!,#REF!,#REF!,#REF!,#REF!,#REF!,#REF!,#REF!,#REF!,#REF!,#REF!,#REF!,#REF!,#REF!,#REF!,#REF!</definedName>
    <definedName name="__APW_RESTORE_DATA1358__" hidden="1">#REF!,#REF!,#REF!,#REF!,#REF!,#REF!,#REF!,#REF!,#REF!,#REF!,#REF!,#REF!,#REF!,#REF!,#REF!,#REF!</definedName>
    <definedName name="__APW_RESTORE_DATA1359__" hidden="1">#REF!,#REF!,#REF!,#REF!,#REF!,#REF!,#REF!,#REF!,#REF!,#REF!,#REF!,#REF!,#REF!,#REF!,#REF!,#REF!</definedName>
    <definedName name="__APW_RESTORE_DATA136__" hidden="1">#REF!,#REF!,#REF!,#REF!,#REF!,#REF!,#REF!,#REF!,#REF!,#REF!,#REF!,#REF!,#REF!,#REF!,#REF!</definedName>
    <definedName name="__APW_RESTORE_DATA1360__" hidden="1">#REF!,#REF!,#REF!,#REF!,#REF!,#REF!,#REF!,#REF!,#REF!,#REF!,#REF!,#REF!,#REF!,#REF!,#REF!,#REF!</definedName>
    <definedName name="__APW_RESTORE_DATA1361__" hidden="1">#REF!,#REF!,#REF!,#REF!,#REF!,#REF!,#REF!,#REF!,#REF!,#REF!,#REF!,#REF!,#REF!,#REF!,#REF!,#REF!</definedName>
    <definedName name="__APW_RESTORE_DATA1362__" hidden="1">#REF!,#REF!,#REF!,#REF!,#REF!,#REF!,#REF!,#REF!,#REF!,#REF!,#REF!,#REF!,#REF!,#REF!,#REF!</definedName>
    <definedName name="__APW_RESTORE_DATA1363__" hidden="1">#REF!,#REF!,#REF!,#REF!,#REF!,#REF!,#REF!,#REF!,#REF!,#REF!,#REF!,#REF!,#REF!,#REF!,#REF!</definedName>
    <definedName name="__APW_RESTORE_DATA1364__" hidden="1">#REF!,#REF!,#REF!,#REF!,#REF!,#REF!,#REF!,#REF!,#REF!,#REF!,#REF!,#REF!,#REF!,#REF!,#REF!</definedName>
    <definedName name="__APW_RESTORE_DATA1365__" hidden="1">#REF!,#REF!,#REF!,#REF!,#REF!,#REF!,#REF!,#REF!,#REF!,#REF!,#REF!,#REF!,#REF!,#REF!,#REF!</definedName>
    <definedName name="__APW_RESTORE_DATA1366__" hidden="1">#REF!,#REF!,#REF!,#REF!,#REF!,#REF!,#REF!,#REF!,#REF!,#REF!,#REF!,#REF!,#REF!,#REF!,#REF!</definedName>
    <definedName name="__APW_RESTORE_DATA1367__" hidden="1">#REF!,#REF!,#REF!,#REF!,#REF!,#REF!,#REF!,#REF!,#REF!,#REF!,#REF!,#REF!,#REF!,#REF!,#REF!</definedName>
    <definedName name="__APW_RESTORE_DATA1368__" hidden="1">#REF!,#REF!,#REF!,#REF!,#REF!,#REF!,#REF!,#REF!,#REF!,#REF!,#REF!,#REF!,#REF!,#REF!,#REF!</definedName>
    <definedName name="__APW_RESTORE_DATA1369__" hidden="1">#REF!,#REF!,#REF!,#REF!,#REF!,#REF!,#REF!,#REF!,#REF!,#REF!,#REF!,#REF!,#REF!,#REF!,#REF!</definedName>
    <definedName name="__APW_RESTORE_DATA137__" hidden="1">#REF!,#REF!,#REF!,#REF!,#REF!,#REF!,#REF!,#REF!,#REF!,#REF!,#REF!,#REF!,#REF!,#REF!,#REF!</definedName>
    <definedName name="__APW_RESTORE_DATA1370__" hidden="1">#REF!,#REF!,#REF!,#REF!,#REF!,#REF!,#REF!,#REF!,#REF!,#REF!,#REF!,#REF!,#REF!,#REF!,#REF!</definedName>
    <definedName name="__APW_RESTORE_DATA1371__" hidden="1">#REF!,#REF!,#REF!,#REF!,#REF!,#REF!,#REF!,#REF!,#REF!,#REF!,#REF!,#REF!,#REF!,#REF!,#REF!</definedName>
    <definedName name="__APW_RESTORE_DATA1372__" hidden="1">#REF!,#REF!,#REF!,#REF!,#REF!,#REF!,#REF!,#REF!,#REF!,#REF!,#REF!,#REF!,#REF!,#REF!,#REF!</definedName>
    <definedName name="__APW_RESTORE_DATA1373__" hidden="1">#REF!,#REF!,#REF!,#REF!,#REF!,#REF!,#REF!,#REF!,#REF!,#REF!,#REF!,#REF!,#REF!,#REF!,#REF!</definedName>
    <definedName name="__APW_RESTORE_DATA1374__" hidden="1">#REF!,#REF!,#REF!,#REF!,#REF!,#REF!,#REF!,#REF!,#REF!,#REF!,#REF!,#REF!,#REF!,#REF!,#REF!</definedName>
    <definedName name="__APW_RESTORE_DATA1375__" hidden="1">#REF!,#REF!,#REF!,#REF!,#REF!,#REF!,#REF!,#REF!,#REF!,#REF!,#REF!,#REF!,#REF!,#REF!,#REF!</definedName>
    <definedName name="__APW_RESTORE_DATA1376__" hidden="1">#REF!,#REF!,#REF!,#REF!,#REF!,#REF!,#REF!,#REF!,#REF!,#REF!,#REF!,#REF!,#REF!,#REF!,#REF!</definedName>
    <definedName name="__APW_RESTORE_DATA1377__" hidden="1">#REF!,#REF!,#REF!,#REF!,#REF!,#REF!,#REF!,#REF!,#REF!,#REF!,#REF!,#REF!,#REF!,#REF!,#REF!</definedName>
    <definedName name="__APW_RESTORE_DATA1378__" hidden="1">#REF!,#REF!,#REF!,#REF!,#REF!,#REF!,#REF!,#REF!,#REF!,#REF!,#REF!,#REF!,#REF!,#REF!,#REF!</definedName>
    <definedName name="__APW_RESTORE_DATA1379__" hidden="1">#REF!,#REF!,#REF!,#REF!,#REF!,#REF!,#REF!,#REF!,#REF!,#REF!,#REF!,#REF!,#REF!,#REF!,#REF!</definedName>
    <definedName name="__APW_RESTORE_DATA138__" hidden="1">#REF!,#REF!,#REF!,#REF!,#REF!,#REF!,#REF!,#REF!,#REF!,#REF!,#REF!,#REF!,#REF!,#REF!,#REF!</definedName>
    <definedName name="__APW_RESTORE_DATA1380__" hidden="1">#REF!,#REF!,#REF!,#REF!,#REF!,#REF!,#REF!,#REF!,#REF!,#REF!,#REF!,#REF!,#REF!,#REF!,#REF!</definedName>
    <definedName name="__APW_RESTORE_DATA1381__" hidden="1">#REF!,#REF!,#REF!,#REF!,#REF!,#REF!,#REF!,#REF!,#REF!,#REF!,#REF!,#REF!,#REF!,#REF!,#REF!</definedName>
    <definedName name="__APW_RESTORE_DATA1382__" hidden="1">#REF!,#REF!,#REF!,#REF!,#REF!,#REF!,#REF!,#REF!,#REF!,#REF!,#REF!,#REF!,#REF!,#REF!,#REF!</definedName>
    <definedName name="__APW_RESTORE_DATA1383__" hidden="1">#REF!,#REF!,#REF!,#REF!,#REF!,#REF!,#REF!,#REF!,#REF!,#REF!,#REF!,#REF!,#REF!,#REF!,#REF!</definedName>
    <definedName name="__APW_RESTORE_DATA1384__" hidden="1">#REF!,#REF!,#REF!,#REF!,#REF!,#REF!,#REF!,#REF!,#REF!,#REF!,#REF!,#REF!,#REF!,#REF!,#REF!</definedName>
    <definedName name="__APW_RESTORE_DATA1385__" hidden="1">#REF!,#REF!,#REF!,#REF!,#REF!,#REF!,#REF!,#REF!,#REF!,#REF!,#REF!,#REF!,#REF!,#REF!,#REF!</definedName>
    <definedName name="__APW_RESTORE_DATA1386__" hidden="1">#REF!,#REF!,#REF!,#REF!,#REF!,#REF!,#REF!,#REF!,#REF!,#REF!,#REF!,#REF!,#REF!,#REF!,#REF!</definedName>
    <definedName name="__APW_RESTORE_DATA1387__" hidden="1">#REF!,#REF!,#REF!,#REF!,#REF!,#REF!,#REF!,#REF!,#REF!,#REF!,#REF!,#REF!,#REF!,#REF!,#REF!</definedName>
    <definedName name="__APW_RESTORE_DATA1388__" hidden="1">#REF!,#REF!,#REF!,#REF!,#REF!,#REF!,#REF!,#REF!,#REF!,#REF!,#REF!,#REF!,#REF!,#REF!,#REF!</definedName>
    <definedName name="__APW_RESTORE_DATA1389__" hidden="1">#REF!,#REF!,#REF!,#REF!,#REF!,#REF!,#REF!,#REF!,#REF!,#REF!,#REF!,#REF!,#REF!,#REF!,#REF!</definedName>
    <definedName name="__APW_RESTORE_DATA139__" hidden="1">#REF!,#REF!,#REF!,#REF!,#REF!,#REF!,#REF!,#REF!,#REF!,#REF!,#REF!,#REF!,#REF!,#REF!,#REF!</definedName>
    <definedName name="__APW_RESTORE_DATA1390__" hidden="1">#REF!,#REF!,#REF!,#REF!,#REF!,#REF!,#REF!,#REF!,#REF!,#REF!,#REF!,#REF!,#REF!,#REF!,#REF!</definedName>
    <definedName name="__APW_RESTORE_DATA1391__" hidden="1">#REF!,#REF!,#REF!,#REF!,#REF!,#REF!,#REF!,#REF!,#REF!,#REF!,#REF!,#REF!,#REF!,#REF!,#REF!</definedName>
    <definedName name="__APW_RESTORE_DATA1392__" hidden="1">#REF!,#REF!,#REF!,#REF!,#REF!,#REF!,#REF!,#REF!,#REF!,#REF!,#REF!,#REF!,#REF!,#REF!,#REF!</definedName>
    <definedName name="__APW_RESTORE_DATA1393__" hidden="1">#REF!,#REF!,#REF!,#REF!,#REF!,#REF!,#REF!,#REF!,#REF!,#REF!,#REF!,#REF!,#REF!,#REF!,#REF!</definedName>
    <definedName name="__APW_RESTORE_DATA1394__" hidden="1">#REF!,#REF!,#REF!,#REF!,#REF!,#REF!,#REF!,#REF!,#REF!,#REF!,#REF!,#REF!,#REF!,#REF!,#REF!</definedName>
    <definedName name="__APW_RESTORE_DATA1395__" hidden="1">#REF!,#REF!,#REF!,#REF!,#REF!,#REF!,#REF!,#REF!,#REF!,#REF!,#REF!,#REF!,#REF!,#REF!,#REF!</definedName>
    <definedName name="__APW_RESTORE_DATA1396__" hidden="1">#REF!,#REF!,#REF!,#REF!,#REF!,#REF!,#REF!,#REF!,#REF!,#REF!,#REF!,#REF!,#REF!,#REF!,#REF!</definedName>
    <definedName name="__APW_RESTORE_DATA1397__" hidden="1">#REF!,#REF!,#REF!,#REF!,#REF!,#REF!,#REF!,#REF!,#REF!,#REF!,#REF!,#REF!,#REF!,#REF!,#REF!</definedName>
    <definedName name="__APW_RESTORE_DATA1398__" hidden="1">#REF!,#REF!,#REF!,#REF!,#REF!,#REF!,#REF!,#REF!,#REF!,#REF!,#REF!,#REF!,#REF!,#REF!,#REF!</definedName>
    <definedName name="__APW_RESTORE_DATA1399__" hidden="1">#REF!,#REF!,#REF!,#REF!,#REF!,#REF!,#REF!,#REF!,#REF!,#REF!,#REF!,#REF!,#REF!,#REF!,#REF!</definedName>
    <definedName name="__APW_RESTORE_DATA14__" hidden="1">#REF!,#REF!,#REF!,#REF!,#REF!,#REF!,#REF!,#REF!,#REF!,#REF!,#REF!,#REF!,#REF!,#REF!,#REF!</definedName>
    <definedName name="__APW_RESTORE_DATA140__" hidden="1">#REF!,#REF!,#REF!,#REF!,#REF!,#REF!,#REF!,#REF!,#REF!,#REF!,#REF!,#REF!,#REF!,#REF!,#REF!</definedName>
    <definedName name="__APW_RESTORE_DATA1400__" hidden="1">#REF!,#REF!,#REF!,#REF!,#REF!,#REF!,#REF!,#REF!,#REF!,#REF!,#REF!,#REF!,#REF!,#REF!,#REF!</definedName>
    <definedName name="__APW_RESTORE_DATA1401__" hidden="1">#REF!,#REF!,#REF!,#REF!,#REF!,#REF!,#REF!,#REF!,#REF!,#REF!,#REF!,#REF!,#REF!,#REF!,#REF!</definedName>
    <definedName name="__APW_RESTORE_DATA1402__" hidden="1">#REF!,#REF!,#REF!,#REF!,#REF!,#REF!,#REF!,#REF!,#REF!,#REF!,#REF!,#REF!,#REF!,#REF!,#REF!</definedName>
    <definedName name="__APW_RESTORE_DATA1403__" hidden="1">#REF!,#REF!,#REF!,#REF!,#REF!,#REF!,#REF!,#REF!,#REF!,#REF!,#REF!,#REF!,#REF!,#REF!,#REF!</definedName>
    <definedName name="__APW_RESTORE_DATA1404__" hidden="1">#REF!,#REF!,#REF!,#REF!,#REF!,#REF!,#REF!,#REF!,#REF!,#REF!,#REF!,#REF!,#REF!,#REF!,#REF!</definedName>
    <definedName name="__APW_RESTORE_DATA1405__" hidden="1">#REF!,#REF!,#REF!,#REF!,#REF!,#REF!,#REF!,#REF!,#REF!,#REF!,#REF!,#REF!,#REF!,#REF!,#REF!</definedName>
    <definedName name="__APW_RESTORE_DATA1406__" hidden="1">#REF!,#REF!,#REF!,#REF!,#REF!,#REF!,#REF!,#REF!,#REF!,#REF!,#REF!,#REF!,#REF!,#REF!,#REF!</definedName>
    <definedName name="__APW_RESTORE_DATA1407__" hidden="1">#REF!,#REF!,#REF!,#REF!,#REF!,#REF!,#REF!,#REF!,#REF!,#REF!,#REF!,#REF!,#REF!,#REF!,#REF!</definedName>
    <definedName name="__APW_RESTORE_DATA1408__" hidden="1">#REF!,#REF!,#REF!,#REF!,#REF!,#REF!,#REF!,#REF!,#REF!,#REF!,#REF!,#REF!,#REF!,#REF!,#REF!</definedName>
    <definedName name="__APW_RESTORE_DATA1409__" hidden="1">#REF!,#REF!,#REF!,#REF!,#REF!,#REF!,#REF!,#REF!,#REF!,#REF!,#REF!,#REF!,#REF!,#REF!,#REF!</definedName>
    <definedName name="__APW_RESTORE_DATA141__" hidden="1">#REF!,#REF!,#REF!,#REF!,#REF!,#REF!,#REF!,#REF!,#REF!,#REF!,#REF!,#REF!,#REF!,#REF!,#REF!</definedName>
    <definedName name="__APW_RESTORE_DATA1410__" hidden="1">#REF!,#REF!,#REF!,#REF!,#REF!,#REF!,#REF!,#REF!,#REF!,#REF!,#REF!,#REF!,#REF!,#REF!,#REF!</definedName>
    <definedName name="__APW_RESTORE_DATA1411__" hidden="1">#REF!,#REF!,#REF!,#REF!,#REF!,#REF!,#REF!,#REF!,#REF!,#REF!,#REF!,#REF!,#REF!,#REF!,#REF!</definedName>
    <definedName name="__APW_RESTORE_DATA1412__" hidden="1">#REF!,#REF!,#REF!,#REF!,#REF!,#REF!,#REF!,#REF!,#REF!,#REF!,#REF!,#REF!,#REF!,#REF!,#REF!</definedName>
    <definedName name="__APW_RESTORE_DATA1413__" hidden="1">#REF!,#REF!,#REF!,#REF!,#REF!,#REF!,#REF!,#REF!,#REF!,#REF!,#REF!,#REF!,#REF!,#REF!,#REF!</definedName>
    <definedName name="__APW_RESTORE_DATA1414__" hidden="1">#REF!,#REF!,#REF!,#REF!,#REF!,#REF!,#REF!,#REF!,#REF!,#REF!,#REF!,#REF!,#REF!,#REF!,#REF!</definedName>
    <definedName name="__APW_RESTORE_DATA1415__" hidden="1">#REF!,#REF!,#REF!,#REF!,#REF!,#REF!,#REF!,#REF!,#REF!,#REF!,#REF!,#REF!,#REF!,#REF!,#REF!</definedName>
    <definedName name="__APW_RESTORE_DATA1416__" hidden="1">#REF!,#REF!,#REF!,#REF!,#REF!,#REF!,#REF!,#REF!,#REF!,#REF!,#REF!,#REF!,#REF!,#REF!,#REF!</definedName>
    <definedName name="__APW_RESTORE_DATA1417__" hidden="1">#REF!,#REF!,#REF!,#REF!,#REF!,#REF!,#REF!,#REF!,#REF!,#REF!,#REF!,#REF!,#REF!,#REF!,#REF!</definedName>
    <definedName name="__APW_RESTORE_DATA1418__" hidden="1">#REF!,#REF!,#REF!,#REF!,#REF!,#REF!,#REF!,#REF!,#REF!,#REF!,#REF!,#REF!,#REF!,#REF!,#REF!</definedName>
    <definedName name="__APW_RESTORE_DATA1419__" hidden="1">#REF!,#REF!,#REF!,#REF!,#REF!,#REF!,#REF!,#REF!,#REF!,#REF!,#REF!,#REF!,#REF!,#REF!,#REF!</definedName>
    <definedName name="__APW_RESTORE_DATA142__" hidden="1">#REF!,#REF!,#REF!,#REF!,#REF!,#REF!,#REF!,#REF!,#REF!,#REF!,#REF!,#REF!,#REF!,#REF!,#REF!</definedName>
    <definedName name="__APW_RESTORE_DATA1420__" hidden="1">#REF!,#REF!,#REF!,#REF!,#REF!,#REF!,#REF!,#REF!,#REF!,#REF!,#REF!,#REF!,#REF!,#REF!,#REF!</definedName>
    <definedName name="__APW_RESTORE_DATA1421__" hidden="1">#REF!,#REF!,#REF!,#REF!,#REF!,#REF!,#REF!,#REF!,#REF!,#REF!,#REF!,#REF!,#REF!,#REF!,#REF!</definedName>
    <definedName name="__APW_RESTORE_DATA1422__" hidden="1">#REF!,#REF!,#REF!,#REF!,#REF!,#REF!,#REF!,#REF!,#REF!,#REF!,#REF!,#REF!,#REF!,#REF!</definedName>
    <definedName name="__APW_RESTORE_DATA1423__" hidden="1">#REF!,#REF!,#REF!,#REF!,#REF!,#REF!,#REF!,#REF!,#REF!,#REF!,#REF!,#REF!,#REF!,#REF!</definedName>
    <definedName name="__APW_RESTORE_DATA1424__" hidden="1">#REF!,#REF!,#REF!,#REF!,#REF!,#REF!,#REF!,#REF!,#REF!,#REF!,#REF!,#REF!,#REF!,#REF!</definedName>
    <definedName name="__APW_RESTORE_DATA1425__" hidden="1">#REF!,#REF!,#REF!,#REF!,#REF!,#REF!,#REF!,#REF!,#REF!,#REF!,#REF!,#REF!,#REF!,#REF!</definedName>
    <definedName name="__APW_RESTORE_DATA1426__" hidden="1">#REF!,#REF!,#REF!,#REF!,#REF!,#REF!,#REF!,#REF!,#REF!,#REF!,#REF!,#REF!,#REF!,#REF!</definedName>
    <definedName name="__APW_RESTORE_DATA1427__" hidden="1">#REF!,#REF!,#REF!,#REF!,#REF!,#REF!,#REF!,#REF!,#REF!,#REF!,#REF!,#REF!,#REF!,#REF!</definedName>
    <definedName name="__APW_RESTORE_DATA1428__" hidden="1">#REF!,#REF!,#REF!,#REF!,#REF!,#REF!,#REF!,#REF!,#REF!,#REF!,#REF!,#REF!,#REF!,#REF!</definedName>
    <definedName name="__APW_RESTORE_DATA1429__" hidden="1">#REF!,#REF!,#REF!,#REF!,#REF!,#REF!,#REF!,#REF!,#REF!,#REF!,#REF!,#REF!,#REF!,#REF!</definedName>
    <definedName name="__APW_RESTORE_DATA143__" hidden="1">#REF!,#REF!,#REF!,#REF!,#REF!,#REF!,#REF!,#REF!,#REF!,#REF!,#REF!,#REF!,#REF!,#REF!,#REF!</definedName>
    <definedName name="__APW_RESTORE_DATA1430__" hidden="1">#REF!,#REF!,#REF!,#REF!,#REF!,#REF!,#REF!,#REF!,#REF!,#REF!,#REF!,#REF!,#REF!,#REF!</definedName>
    <definedName name="__APW_RESTORE_DATA1431__" hidden="1">#REF!,#REF!,#REF!,#REF!,#REF!,#REF!,#REF!,#REF!,#REF!,#REF!,#REF!,#REF!,#REF!,#REF!</definedName>
    <definedName name="__APW_RESTORE_DATA1432__" hidden="1">#REF!,#REF!,#REF!,#REF!,#REF!,#REF!,#REF!,#REF!,#REF!,#REF!,#REF!,#REF!,#REF!,#REF!</definedName>
    <definedName name="__APW_RESTORE_DATA1433__" hidden="1">#REF!,#REF!,#REF!,#REF!,#REF!,#REF!,#REF!,#REF!,#REF!,#REF!,#REF!,#REF!,#REF!,#REF!</definedName>
    <definedName name="__APW_RESTORE_DATA1434__" hidden="1">#REF!,#REF!,#REF!,#REF!,#REF!,#REF!,#REF!,#REF!,#REF!,#REF!,#REF!,#REF!,#REF!,#REF!</definedName>
    <definedName name="__APW_RESTORE_DATA1435__" hidden="1">#REF!,#REF!,#REF!,#REF!,#REF!,#REF!,#REF!,#REF!,#REF!,#REF!,#REF!,#REF!,#REF!,#REF!</definedName>
    <definedName name="__APW_RESTORE_DATA1436__" hidden="1">#REF!,#REF!,#REF!,#REF!,#REF!,#REF!,#REF!,#REF!,#REF!,#REF!,#REF!,#REF!,#REF!,#REF!</definedName>
    <definedName name="__APW_RESTORE_DATA1437__" hidden="1">#REF!,#REF!,#REF!,#REF!,#REF!,#REF!,#REF!,#REF!,#REF!,#REF!,#REF!,#REF!,#REF!,#REF!</definedName>
    <definedName name="__APW_RESTORE_DATA1438__" hidden="1">#REF!,#REF!,#REF!,#REF!,#REF!,#REF!,#REF!,#REF!,#REF!,#REF!,#REF!,#REF!,#REF!,#REF!</definedName>
    <definedName name="__APW_RESTORE_DATA1439__" hidden="1">#REF!,#REF!,#REF!,#REF!,#REF!,#REF!,#REF!,#REF!,#REF!,#REF!,#REF!,#REF!,#REF!,#REF!</definedName>
    <definedName name="__APW_RESTORE_DATA144__" hidden="1">#REF!,#REF!,#REF!,#REF!,#REF!,#REF!,#REF!,#REF!,#REF!,#REF!,#REF!,#REF!,#REF!,#REF!,#REF!</definedName>
    <definedName name="__APW_RESTORE_DATA1440__" hidden="1">#REF!,#REF!,#REF!,#REF!,#REF!,#REF!,#REF!,#REF!,#REF!,#REF!,#REF!,#REF!,#REF!,#REF!</definedName>
    <definedName name="__APW_RESTORE_DATA1441__" hidden="1">#REF!,#REF!,#REF!,#REF!,#REF!,#REF!,#REF!,#REF!,#REF!,#REF!,#REF!,#REF!,#REF!,#REF!</definedName>
    <definedName name="__APW_RESTORE_DATA1442__" hidden="1">#REF!,#REF!,#REF!,#REF!,#REF!,#REF!,#REF!,#REF!,#REF!,#REF!,#REF!,#REF!,#REF!,#REF!</definedName>
    <definedName name="__APW_RESTORE_DATA1443__" hidden="1">#REF!,#REF!,#REF!,#REF!,#REF!,#REF!,#REF!,#REF!,#REF!,#REF!,#REF!,#REF!,#REF!,#REF!</definedName>
    <definedName name="__APW_RESTORE_DATA1444__" hidden="1">#REF!,#REF!,#REF!,#REF!,#REF!,#REF!,#REF!,#REF!,#REF!,#REF!,#REF!,#REF!,#REF!,#REF!</definedName>
    <definedName name="__APW_RESTORE_DATA1445__" hidden="1">#REF!,#REF!,#REF!,#REF!,#REF!,#REF!,#REF!,#REF!,#REF!,#REF!,#REF!,#REF!,#REF!,#REF!</definedName>
    <definedName name="__APW_RESTORE_DATA1446__" hidden="1">#REF!,#REF!,#REF!,#REF!,#REF!,#REF!,#REF!,#REF!,#REF!,#REF!,#REF!,#REF!,#REF!,#REF!</definedName>
    <definedName name="__APW_RESTORE_DATA1447__" hidden="1">#REF!,#REF!,#REF!,#REF!,#REF!,#REF!,#REF!,#REF!,#REF!,#REF!,#REF!,#REF!,#REF!,#REF!</definedName>
    <definedName name="__APW_RESTORE_DATA1448__" hidden="1">#REF!,#REF!,#REF!,#REF!,#REF!,#REF!,#REF!,#REF!,#REF!,#REF!,#REF!,#REF!,#REF!,#REF!</definedName>
    <definedName name="__APW_RESTORE_DATA1449__" hidden="1">#REF!,#REF!,#REF!,#REF!,#REF!,#REF!,#REF!,#REF!,#REF!,#REF!,#REF!,#REF!,#REF!,#REF!</definedName>
    <definedName name="__APW_RESTORE_DATA145__" hidden="1">#REF!,#REF!,#REF!,#REF!,#REF!,#REF!,#REF!,#REF!,#REF!,#REF!,#REF!,#REF!,#REF!,#REF!,#REF!</definedName>
    <definedName name="__APW_RESTORE_DATA1450__" hidden="1">#REF!,#REF!,#REF!,#REF!,#REF!,#REF!,#REF!,#REF!,#REF!,#REF!,#REF!,#REF!,#REF!,#REF!</definedName>
    <definedName name="__APW_RESTORE_DATA1451__" hidden="1">#REF!,#REF!,#REF!,#REF!,#REF!,#REF!,#REF!,#REF!,#REF!,#REF!,#REF!,#REF!,#REF!,#REF!</definedName>
    <definedName name="__APW_RESTORE_DATA1452__" hidden="1">#REF!,#REF!,#REF!,#REF!,#REF!,#REF!,#REF!,#REF!,#REF!,#REF!,#REF!,#REF!,#REF!,#REF!</definedName>
    <definedName name="__APW_RESTORE_DATA1453__" hidden="1">#REF!,#REF!,#REF!,#REF!,#REF!,#REF!,#REF!,#REF!,#REF!,#REF!,#REF!,#REF!,#REF!,#REF!</definedName>
    <definedName name="__APW_RESTORE_DATA1454__" hidden="1">#REF!,#REF!,#REF!,#REF!,#REF!,#REF!,#REF!,#REF!,#REF!,#REF!,#REF!,#REF!,#REF!,#REF!</definedName>
    <definedName name="__APW_RESTORE_DATA1455__" hidden="1">#REF!,#REF!,#REF!,#REF!,#REF!,#REF!,#REF!,#REF!,#REF!,#REF!,#REF!,#REF!,#REF!,#REF!</definedName>
    <definedName name="__APW_RESTORE_DATA1456__" hidden="1">#REF!,#REF!,#REF!,#REF!,#REF!,#REF!,#REF!,#REF!,#REF!,#REF!,#REF!,#REF!,#REF!,#REF!</definedName>
    <definedName name="__APW_RESTORE_DATA1457__" hidden="1">#REF!,#REF!,#REF!,#REF!,#REF!,#REF!,#REF!,#REF!,#REF!,#REF!,#REF!,#REF!,#REF!,#REF!</definedName>
    <definedName name="__APW_RESTORE_DATA1458__" hidden="1">#REF!,#REF!,#REF!,#REF!,#REF!,#REF!,#REF!,#REF!,#REF!,#REF!,#REF!,#REF!,#REF!,#REF!</definedName>
    <definedName name="__APW_RESTORE_DATA1459__" hidden="1">#REF!</definedName>
    <definedName name="__APW_RESTORE_DATA146__" hidden="1">#REF!,#REF!,#REF!,#REF!,#REF!,#REF!,#REF!,#REF!,#REF!,#REF!,#REF!,#REF!,#REF!,#REF!,#REF!</definedName>
    <definedName name="__APW_RESTORE_DATA1460__" hidden="1">#REF!,#REF!,#REF!,#REF!,#REF!,#REF!,#REF!,#REF!,#REF!,#REF!,#REF!,#REF!,#REF!,#REF!,#REF!,#REF!,#REF!</definedName>
    <definedName name="__APW_RESTORE_DATA1461__" hidden="1">#REF!,#REF!,#REF!,#REF!,#REF!,#REF!,#REF!,#REF!,#REF!,#REF!,#REF!,#REF!,#REF!,#REF!,#REF!,#REF!</definedName>
    <definedName name="__APW_RESTORE_DATA1462__" hidden="1">#REF!,#REF!,#REF!,#REF!,#REF!,#REF!,#REF!,#REF!,#REF!,#REF!,#REF!,#REF!,#REF!,#REF!,#REF!,#REF!</definedName>
    <definedName name="__APW_RESTORE_DATA1463__" hidden="1">#REF!,#REF!,#REF!,#REF!,#REF!,#REF!,#REF!,#REF!,#REF!,#REF!,#REF!,#REF!,#REF!,#REF!,#REF!,#REF!</definedName>
    <definedName name="__APW_RESTORE_DATA1464__" hidden="1">#REF!,#REF!,#REF!,#REF!,#REF!,#REF!,#REF!,#REF!,#REF!,#REF!,#REF!,#REF!,#REF!,#REF!,#REF!,#REF!</definedName>
    <definedName name="__APW_RESTORE_DATA1465__" hidden="1">#REF!,#REF!,#REF!,#REF!,#REF!,#REF!,#REF!,#REF!,#REF!,#REF!,#REF!,#REF!,#REF!,#REF!,#REF!,#REF!</definedName>
    <definedName name="__APW_RESTORE_DATA1466__" hidden="1">#REF!,#REF!,#REF!,#REF!,#REF!,#REF!,#REF!,#REF!,#REF!,#REF!,#REF!,#REF!,#REF!,#REF!,#REF!</definedName>
    <definedName name="__APW_RESTORE_DATA1467__" hidden="1">#REF!,#REF!,#REF!,#REF!,#REF!,#REF!,#REF!,#REF!,#REF!,#REF!,#REF!,#REF!,#REF!,#REF!,#REF!</definedName>
    <definedName name="__APW_RESTORE_DATA1468__" hidden="1">#REF!,#REF!,#REF!,#REF!,#REF!,#REF!,#REF!,#REF!,#REF!,#REF!,#REF!,#REF!,#REF!,#REF!,#REF!</definedName>
    <definedName name="__APW_RESTORE_DATA1469__" hidden="1">#REF!,#REF!,#REF!,#REF!,#REF!,#REF!,#REF!,#REF!,#REF!,#REF!,#REF!,#REF!,#REF!,#REF!,#REF!</definedName>
    <definedName name="__APW_RESTORE_DATA147__" hidden="1">#REF!,#REF!,#REF!,#REF!,#REF!,#REF!,#REF!,#REF!,#REF!,#REF!,#REF!,#REF!,#REF!,#REF!,#REF!</definedName>
    <definedName name="__APW_RESTORE_DATA1470__" hidden="1">#REF!,#REF!,#REF!,#REF!,#REF!,#REF!,#REF!,#REF!,#REF!,#REF!,#REF!,#REF!,#REF!,#REF!,#REF!</definedName>
    <definedName name="__APW_RESTORE_DATA1471__" hidden="1">#REF!,#REF!,#REF!,#REF!,#REF!,#REF!,#REF!,#REF!,#REF!,#REF!,#REF!,#REF!,#REF!,#REF!,#REF!</definedName>
    <definedName name="__APW_RESTORE_DATA1472__" hidden="1">#REF!,#REF!,#REF!,#REF!,#REF!,#REF!,#REF!,#REF!,#REF!,#REF!,#REF!,#REF!,#REF!,#REF!,#REF!</definedName>
    <definedName name="__APW_RESTORE_DATA1473__" hidden="1">#REF!,#REF!,#REF!,#REF!,#REF!,#REF!,#REF!,#REF!,#REF!,#REF!,#REF!,#REF!,#REF!,#REF!,#REF!</definedName>
    <definedName name="__APW_RESTORE_DATA1474__" hidden="1">#REF!,#REF!,#REF!,#REF!,#REF!,#REF!,#REF!,#REF!,#REF!,#REF!,#REF!,#REF!,#REF!,#REF!,#REF!</definedName>
    <definedName name="__APW_RESTORE_DATA1475__" hidden="1">#REF!,#REF!,#REF!,#REF!,#REF!,#REF!,#REF!,#REF!,#REF!,#REF!,#REF!,#REF!,#REF!,#REF!,#REF!</definedName>
    <definedName name="__APW_RESTORE_DATA1476__" hidden="1">#REF!,#REF!,#REF!,#REF!,#REF!,#REF!,#REF!,#REF!,#REF!,#REF!,#REF!,#REF!,#REF!,#REF!,#REF!</definedName>
    <definedName name="__APW_RESTORE_DATA1477__" hidden="1">#REF!,#REF!,#REF!,#REF!,#REF!,#REF!,#REF!,#REF!,#REF!,#REF!,#REF!,#REF!,#REF!,#REF!,#REF!</definedName>
    <definedName name="__APW_RESTORE_DATA1478__" hidden="1">#REF!,#REF!,#REF!,#REF!,#REF!,#REF!,#REF!,#REF!,#REF!,#REF!,#REF!,#REF!,#REF!,#REF!,#REF!</definedName>
    <definedName name="__APW_RESTORE_DATA1479__" hidden="1">#REF!,#REF!,#REF!,#REF!,#REF!,#REF!,#REF!,#REF!,#REF!,#REF!,#REF!,#REF!,#REF!,#REF!,#REF!</definedName>
    <definedName name="__APW_RESTORE_DATA148__" hidden="1">#REF!,#REF!,#REF!,#REF!,#REF!,#REF!,#REF!,#REF!,#REF!,#REF!,#REF!,#REF!,#REF!,#REF!,#REF!</definedName>
    <definedName name="__APW_RESTORE_DATA1480__" hidden="1">#REF!,#REF!,#REF!,#REF!,#REF!,#REF!,#REF!,#REF!,#REF!,#REF!,#REF!,#REF!,#REF!,#REF!,#REF!</definedName>
    <definedName name="__APW_RESTORE_DATA1481__" hidden="1">#REF!,#REF!,#REF!,#REF!,#REF!,#REF!,#REF!,#REF!,#REF!,#REF!,#REF!,#REF!,#REF!,#REF!,#REF!</definedName>
    <definedName name="__APW_RESTORE_DATA1482__" hidden="1">#REF!,#REF!,#REF!,#REF!,#REF!,#REF!,#REF!,#REF!,#REF!,#REF!,#REF!,#REF!,#REF!,#REF!,#REF!</definedName>
    <definedName name="__APW_RESTORE_DATA1483__" hidden="1">#REF!,#REF!,#REF!,#REF!,#REF!,#REF!,#REF!,#REF!,#REF!,#REF!,#REF!,#REF!,#REF!,#REF!,#REF!</definedName>
    <definedName name="__APW_RESTORE_DATA1484__" hidden="1">#REF!,#REF!,#REF!,#REF!,#REF!,#REF!,#REF!,#REF!,#REF!,#REF!,#REF!,#REF!,#REF!,#REF!,#REF!</definedName>
    <definedName name="__APW_RESTORE_DATA1485__" hidden="1">#REF!,#REF!,#REF!,#REF!,#REF!,#REF!,#REF!,#REF!,#REF!,#REF!,#REF!,#REF!,#REF!,#REF!,#REF!</definedName>
    <definedName name="__APW_RESTORE_DATA1486__" hidden="1">#REF!,#REF!,#REF!,#REF!,#REF!,#REF!,#REF!,#REF!,#REF!,#REF!,#REF!,#REF!,#REF!,#REF!,#REF!</definedName>
    <definedName name="__APW_RESTORE_DATA1487__" hidden="1">#REF!,#REF!,#REF!,#REF!,#REF!,#REF!,#REF!,#REF!,#REF!,#REF!,#REF!,#REF!,#REF!,#REF!,#REF!</definedName>
    <definedName name="__APW_RESTORE_DATA1488__" hidden="1">#REF!,#REF!,#REF!,#REF!,#REF!,#REF!,#REF!,#REF!,#REF!,#REF!,#REF!,#REF!,#REF!,#REF!,#REF!</definedName>
    <definedName name="__APW_RESTORE_DATA1489__" hidden="1">#REF!,#REF!,#REF!,#REF!,#REF!,#REF!,#REF!,#REF!,#REF!,#REF!,#REF!,#REF!,#REF!,#REF!,#REF!</definedName>
    <definedName name="__APW_RESTORE_DATA149__" hidden="1">#REF!,#REF!,#REF!,#REF!,#REF!,#REF!,#REF!,#REF!,#REF!,#REF!,#REF!,#REF!,#REF!,#REF!,#REF!</definedName>
    <definedName name="__APW_RESTORE_DATA1490__" hidden="1">#REF!,#REF!,#REF!,#REF!,#REF!,#REF!,#REF!,#REF!,#REF!,#REF!,#REF!,#REF!,#REF!,#REF!,#REF!</definedName>
    <definedName name="__APW_RESTORE_DATA1491__" hidden="1">#REF!,#REF!,#REF!,#REF!,#REF!,#REF!,#REF!,#REF!,#REF!,#REF!,#REF!,#REF!,#REF!,#REF!,#REF!</definedName>
    <definedName name="__APW_RESTORE_DATA1492__" hidden="1">#REF!,#REF!,#REF!,#REF!,#REF!,#REF!,#REF!,#REF!,#REF!,#REF!,#REF!,#REF!,#REF!,#REF!,#REF!</definedName>
    <definedName name="__APW_RESTORE_DATA1493__" hidden="1">#REF!,#REF!,#REF!,#REF!,#REF!,#REF!,#REF!,#REF!,#REF!,#REF!,#REF!,#REF!,#REF!,#REF!,#REF!</definedName>
    <definedName name="__APW_RESTORE_DATA1494__" hidden="1">#REF!,#REF!,#REF!,#REF!,#REF!,#REF!,#REF!,#REF!,#REF!,#REF!,#REF!,#REF!,#REF!,#REF!,#REF!</definedName>
    <definedName name="__APW_RESTORE_DATA1495__" hidden="1">#REF!,#REF!,#REF!,#REF!,#REF!,#REF!,#REF!,#REF!,#REF!,#REF!,#REF!,#REF!,#REF!,#REF!,#REF!</definedName>
    <definedName name="__APW_RESTORE_DATA1496__" hidden="1">#REF!,#REF!,#REF!,#REF!,#REF!,#REF!,#REF!,#REF!,#REF!,#REF!,#REF!,#REF!,#REF!,#REF!,#REF!</definedName>
    <definedName name="__APW_RESTORE_DATA1497__" hidden="1">#REF!,#REF!,#REF!,#REF!,#REF!,#REF!,#REF!,#REF!,#REF!,#REF!,#REF!,#REF!,#REF!,#REF!,#REF!</definedName>
    <definedName name="__APW_RESTORE_DATA1498__" hidden="1">#REF!,#REF!,#REF!,#REF!,#REF!,#REF!,#REF!,#REF!,#REF!,#REF!,#REF!,#REF!,#REF!,#REF!,#REF!</definedName>
    <definedName name="__APW_RESTORE_DATA1499__" hidden="1">#REF!,#REF!,#REF!,#REF!,#REF!,#REF!,#REF!,#REF!,#REF!,#REF!,#REF!,#REF!,#REF!,#REF!,#REF!</definedName>
    <definedName name="__APW_RESTORE_DATA15__" hidden="1">#REF!,#REF!,#REF!,#REF!,#REF!,#REF!,#REF!,#REF!,#REF!,#REF!,#REF!,#REF!,#REF!,#REF!,#REF!</definedName>
    <definedName name="__APW_RESTORE_DATA150__" hidden="1">#REF!,#REF!,#REF!,#REF!,#REF!,#REF!,#REF!,#REF!,#REF!,#REF!,#REF!,#REF!,#REF!,#REF!,#REF!</definedName>
    <definedName name="__APW_RESTORE_DATA1500__" hidden="1">#REF!,#REF!,#REF!,#REF!,#REF!,#REF!,#REF!,#REF!,#REF!,#REF!,#REF!,#REF!,#REF!,#REF!,#REF!</definedName>
    <definedName name="__APW_RESTORE_DATA1501__" hidden="1">#REF!,#REF!,#REF!,#REF!,#REF!,#REF!,#REF!,#REF!,#REF!,#REF!,#REF!,#REF!,#REF!,#REF!,#REF!</definedName>
    <definedName name="__APW_RESTORE_DATA1502__" hidden="1">#REF!,#REF!,#REF!,#REF!,#REF!,#REF!,#REF!,#REF!,#REF!,#REF!,#REF!,#REF!,#REF!,#REF!,#REF!</definedName>
    <definedName name="__APW_RESTORE_DATA1503__" hidden="1">#REF!,#REF!,#REF!,#REF!,#REF!,#REF!,#REF!,#REF!,#REF!,#REF!,#REF!,#REF!,#REF!,#REF!,#REF!</definedName>
    <definedName name="__APW_RESTORE_DATA1504__" hidden="1">#REF!,#REF!,#REF!,#REF!,#REF!,#REF!,#REF!,#REF!,#REF!,#REF!,#REF!,#REF!,#REF!,#REF!,#REF!</definedName>
    <definedName name="__APW_RESTORE_DATA1505__" hidden="1">#REF!,#REF!,#REF!,#REF!,#REF!,#REF!,#REF!,#REF!,#REF!,#REF!,#REF!,#REF!,#REF!,#REF!,#REF!</definedName>
    <definedName name="__APW_RESTORE_DATA1506__" hidden="1">#REF!,#REF!,#REF!,#REF!,#REF!,#REF!,#REF!,#REF!,#REF!,#REF!,#REF!,#REF!,#REF!,#REF!,#REF!</definedName>
    <definedName name="__APW_RESTORE_DATA1507__" hidden="1">#REF!,#REF!,#REF!,#REF!,#REF!,#REF!,#REF!,#REF!,#REF!,#REF!,#REF!,#REF!,#REF!,#REF!,#REF!</definedName>
    <definedName name="__APW_RESTORE_DATA1508__" hidden="1">#REF!,#REF!,#REF!,#REF!,#REF!,#REF!,#REF!,#REF!,#REF!,#REF!,#REF!,#REF!,#REF!,#REF!,#REF!</definedName>
    <definedName name="__APW_RESTORE_DATA1509__" hidden="1">#REF!,#REF!,#REF!,#REF!,#REF!,#REF!,#REF!,#REF!,#REF!,#REF!,#REF!,#REF!,#REF!,#REF!,#REF!</definedName>
    <definedName name="__APW_RESTORE_DATA151__" hidden="1">#REF!,#REF!,#REF!,#REF!,#REF!,#REF!,#REF!,#REF!,#REF!,#REF!,#REF!,#REF!,#REF!,#REF!,#REF!</definedName>
    <definedName name="__APW_RESTORE_DATA1510__" hidden="1">#REF!,#REF!,#REF!,#REF!,#REF!,#REF!,#REF!,#REF!,#REF!,#REF!,#REF!,#REF!,#REF!,#REF!,#REF!</definedName>
    <definedName name="__APW_RESTORE_DATA1511__" hidden="1">#REF!,#REF!,#REF!,#REF!,#REF!,#REF!,#REF!,#REF!,#REF!,#REF!,#REF!,#REF!,#REF!,#REF!,#REF!</definedName>
    <definedName name="__APW_RESTORE_DATA1512__" hidden="1">#REF!,#REF!,#REF!,#REF!,#REF!,#REF!,#REF!,#REF!,#REF!,#REF!,#REF!,#REF!,#REF!,#REF!,#REF!</definedName>
    <definedName name="__APW_RESTORE_DATA1513__" hidden="1">#REF!,#REF!,#REF!,#REF!,#REF!,#REF!,#REF!,#REF!,#REF!,#REF!,#REF!,#REF!,#REF!,#REF!,#REF!</definedName>
    <definedName name="__APW_RESTORE_DATA1514__" hidden="1">#REF!,#REF!,#REF!,#REF!,#REF!,#REF!,#REF!,#REF!,#REF!,#REF!,#REF!,#REF!,#REF!,#REF!,#REF!</definedName>
    <definedName name="__APW_RESTORE_DATA1515__" hidden="1">#REF!,#REF!,#REF!,#REF!,#REF!,#REF!,#REF!,#REF!,#REF!,#REF!,#REF!,#REF!,#REF!,#REF!,#REF!</definedName>
    <definedName name="__APW_RESTORE_DATA1516__" hidden="1">#REF!,#REF!,#REF!,#REF!,#REF!,#REF!,#REF!,#REF!,#REF!,#REF!,#REF!,#REF!,#REF!,#REF!,#REF!</definedName>
    <definedName name="__APW_RESTORE_DATA1517__" hidden="1">#REF!,#REF!,#REF!,#REF!,#REF!,#REF!,#REF!,#REF!,#REF!,#REF!,#REF!,#REF!,#REF!,#REF!,#REF!</definedName>
    <definedName name="__APW_RESTORE_DATA1518__" hidden="1">#REF!,#REF!,#REF!,#REF!,#REF!,#REF!,#REF!,#REF!,#REF!,#REF!,#REF!,#REF!,#REF!,#REF!,#REF!</definedName>
    <definedName name="__APW_RESTORE_DATA1519__" hidden="1">#REF!,#REF!,#REF!,#REF!,#REF!,#REF!,#REF!,#REF!,#REF!,#REF!,#REF!,#REF!,#REF!,#REF!,#REF!</definedName>
    <definedName name="__APW_RESTORE_DATA152__" hidden="1">#REF!,#REF!,#REF!,#REF!,#REF!,#REF!,#REF!,#REF!,#REF!,#REF!,#REF!,#REF!,#REF!,#REF!,#REF!</definedName>
    <definedName name="__APW_RESTORE_DATA1520__" hidden="1">#REF!,#REF!,#REF!,#REF!,#REF!,#REF!,#REF!,#REF!,#REF!,#REF!,#REF!,#REF!,#REF!,#REF!,#REF!</definedName>
    <definedName name="__APW_RESTORE_DATA1521__" hidden="1">#REF!,#REF!,#REF!,#REF!,#REF!,#REF!,#REF!,#REF!,#REF!,#REF!,#REF!,#REF!,#REF!,#REF!,#REF!</definedName>
    <definedName name="__APW_RESTORE_DATA1522__" hidden="1">#REF!,#REF!,#REF!,#REF!,#REF!,#REF!,#REF!,#REF!,#REF!,#REF!,#REF!,#REF!,#REF!,#REF!,#REF!</definedName>
    <definedName name="__APW_RESTORE_DATA1523__" hidden="1">#REF!,#REF!,#REF!,#REF!,#REF!,#REF!,#REF!,#REF!,#REF!,#REF!,#REF!,#REF!,#REF!,#REF!,#REF!</definedName>
    <definedName name="__APW_RESTORE_DATA1524__" hidden="1">#REF!,#REF!,#REF!,#REF!,#REF!,#REF!,#REF!,#REF!,#REF!,#REF!,#REF!,#REF!,#REF!,#REF!,#REF!</definedName>
    <definedName name="__APW_RESTORE_DATA1525__" hidden="1">#REF!,#REF!,#REF!,#REF!,#REF!,#REF!,#REF!,#REF!,#REF!,#REF!,#REF!,#REF!,#REF!,#REF!,#REF!</definedName>
    <definedName name="__APW_RESTORE_DATA1526__" hidden="1">#REF!,#REF!,#REF!,#REF!,#REF!,#REF!,#REF!,#REF!,#REF!,#REF!,#REF!,#REF!,#REF!,#REF!</definedName>
    <definedName name="__APW_RESTORE_DATA1527__" hidden="1">#REF!,#REF!,#REF!,#REF!,#REF!,#REF!,#REF!,#REF!,#REF!,#REF!,#REF!,#REF!,#REF!,#REF!</definedName>
    <definedName name="__APW_RESTORE_DATA1528__" hidden="1">#REF!,#REF!,#REF!,#REF!,#REF!,#REF!,#REF!,#REF!,#REF!,#REF!,#REF!,#REF!,#REF!,#REF!</definedName>
    <definedName name="__APW_RESTORE_DATA1529__" hidden="1">#REF!,#REF!,#REF!,#REF!,#REF!,#REF!,#REF!,#REF!,#REF!,#REF!,#REF!,#REF!,#REF!,#REF!</definedName>
    <definedName name="__APW_RESTORE_DATA153__" hidden="1">#REF!,#REF!,#REF!,#REF!,#REF!,#REF!,#REF!,#REF!,#REF!,#REF!,#REF!,#REF!,#REF!,#REF!,#REF!</definedName>
    <definedName name="__APW_RESTORE_DATA1530__" hidden="1">#REF!,#REF!,#REF!,#REF!,#REF!,#REF!,#REF!,#REF!,#REF!,#REF!,#REF!,#REF!,#REF!,#REF!</definedName>
    <definedName name="__APW_RESTORE_DATA1531__" hidden="1">#REF!,#REF!,#REF!,#REF!,#REF!,#REF!,#REF!,#REF!,#REF!,#REF!,#REF!,#REF!,#REF!,#REF!</definedName>
    <definedName name="__APW_RESTORE_DATA1532__" hidden="1">#REF!,#REF!,#REF!,#REF!,#REF!,#REF!,#REF!,#REF!,#REF!,#REF!,#REF!,#REF!,#REF!,#REF!</definedName>
    <definedName name="__APW_RESTORE_DATA1533__" hidden="1">#REF!,#REF!,#REF!,#REF!,#REF!,#REF!,#REF!,#REF!,#REF!,#REF!,#REF!,#REF!,#REF!,#REF!</definedName>
    <definedName name="__APW_RESTORE_DATA1534__" hidden="1">#REF!,#REF!,#REF!,#REF!,#REF!,#REF!,#REF!,#REF!,#REF!,#REF!,#REF!,#REF!,#REF!,#REF!</definedName>
    <definedName name="__APW_RESTORE_DATA1535__" hidden="1">#REF!,#REF!,#REF!,#REF!,#REF!,#REF!,#REF!,#REF!,#REF!,#REF!,#REF!,#REF!,#REF!,#REF!</definedName>
    <definedName name="__APW_RESTORE_DATA1536__" hidden="1">#REF!,#REF!,#REF!,#REF!,#REF!,#REF!,#REF!,#REF!,#REF!,#REF!,#REF!,#REF!,#REF!,#REF!</definedName>
    <definedName name="__APW_RESTORE_DATA1537__" hidden="1">#REF!,#REF!,#REF!,#REF!,#REF!,#REF!,#REF!,#REF!,#REF!,#REF!,#REF!,#REF!,#REF!,#REF!</definedName>
    <definedName name="__APW_RESTORE_DATA1538__" hidden="1">#REF!,#REF!,#REF!,#REF!,#REF!,#REF!,#REF!,#REF!,#REF!,#REF!,#REF!,#REF!,#REF!,#REF!</definedName>
    <definedName name="__APW_RESTORE_DATA1539__" hidden="1">#REF!,#REF!,#REF!,#REF!,#REF!,#REF!,#REF!,#REF!,#REF!,#REF!,#REF!,#REF!,#REF!,#REF!</definedName>
    <definedName name="__APW_RESTORE_DATA154__" hidden="1">#REF!,#REF!,#REF!,#REF!,#REF!,#REF!,#REF!,#REF!,#REF!,#REF!,#REF!,#REF!,#REF!,#REF!,#REF!</definedName>
    <definedName name="__APW_RESTORE_DATA1540__" hidden="1">#REF!,#REF!,#REF!,#REF!,#REF!,#REF!,#REF!,#REF!,#REF!,#REF!,#REF!,#REF!,#REF!,#REF!</definedName>
    <definedName name="__APW_RESTORE_DATA1541__" hidden="1">#REF!,#REF!,#REF!,#REF!,#REF!,#REF!,#REF!,#REF!,#REF!,#REF!,#REF!,#REF!,#REF!,#REF!</definedName>
    <definedName name="__APW_RESTORE_DATA1542__" hidden="1">#REF!,#REF!,#REF!,#REF!,#REF!,#REF!,#REF!,#REF!,#REF!,#REF!,#REF!,#REF!,#REF!,#REF!</definedName>
    <definedName name="__APW_RESTORE_DATA1543__" hidden="1">#REF!,#REF!,#REF!,#REF!,#REF!,#REF!,#REF!,#REF!,#REF!,#REF!,#REF!,#REF!,#REF!,#REF!</definedName>
    <definedName name="__APW_RESTORE_DATA1544__" hidden="1">#REF!,#REF!,#REF!,#REF!,#REF!,#REF!,#REF!,#REF!,#REF!,#REF!,#REF!,#REF!,#REF!,#REF!</definedName>
    <definedName name="__APW_RESTORE_DATA1545__" hidden="1">#REF!,#REF!,#REF!,#REF!,#REF!,#REF!,#REF!,#REF!,#REF!,#REF!,#REF!,#REF!,#REF!,#REF!</definedName>
    <definedName name="__APW_RESTORE_DATA1546__" hidden="1">#REF!,#REF!,#REF!,#REF!,#REF!,#REF!,#REF!,#REF!,#REF!,#REF!,#REF!,#REF!,#REF!,#REF!</definedName>
    <definedName name="__APW_RESTORE_DATA1547__" hidden="1">#REF!,#REF!,#REF!,#REF!,#REF!,#REF!,#REF!,#REF!,#REF!,#REF!,#REF!,#REF!,#REF!,#REF!</definedName>
    <definedName name="__APW_RESTORE_DATA1548__" hidden="1">#REF!,#REF!,#REF!,#REF!,#REF!,#REF!,#REF!,#REF!,#REF!,#REF!,#REF!,#REF!,#REF!,#REF!</definedName>
    <definedName name="__APW_RESTORE_DATA1549__" hidden="1">#REF!,#REF!,#REF!,#REF!,#REF!,#REF!,#REF!,#REF!,#REF!,#REF!,#REF!,#REF!,#REF!,#REF!</definedName>
    <definedName name="__APW_RESTORE_DATA155__" hidden="1">#REF!,#REF!,#REF!,#REF!,#REF!,#REF!,#REF!,#REF!,#REF!,#REF!,#REF!,#REF!,#REF!,#REF!,#REF!</definedName>
    <definedName name="__APW_RESTORE_DATA1550__" hidden="1">#REF!,#REF!,#REF!,#REF!,#REF!,#REF!,#REF!,#REF!,#REF!,#REF!,#REF!,#REF!,#REF!,#REF!</definedName>
    <definedName name="__APW_RESTORE_DATA1551__" hidden="1">#REF!,#REF!,#REF!,#REF!,#REF!,#REF!,#REF!,#REF!,#REF!,#REF!,#REF!,#REF!,#REF!,#REF!</definedName>
    <definedName name="__APW_RESTORE_DATA1552__" hidden="1">#REF!,#REF!,#REF!,#REF!,#REF!,#REF!,#REF!,#REF!,#REF!,#REF!,#REF!,#REF!,#REF!,#REF!</definedName>
    <definedName name="__APW_RESTORE_DATA1553__" hidden="1">#REF!,#REF!,#REF!,#REF!,#REF!,#REF!,#REF!,#REF!,#REF!,#REF!,#REF!,#REF!,#REF!,#REF!</definedName>
    <definedName name="__APW_RESTORE_DATA1554__" hidden="1">#REF!,#REF!,#REF!,#REF!,#REF!,#REF!,#REF!,#REF!,#REF!,#REF!,#REF!,#REF!,#REF!,#REF!</definedName>
    <definedName name="__APW_RESTORE_DATA1555__" hidden="1">#REF!,#REF!,#REF!,#REF!,#REF!,#REF!,#REF!,#REF!,#REF!,#REF!,#REF!,#REF!,#REF!,#REF!</definedName>
    <definedName name="__APW_RESTORE_DATA1556__" hidden="1">#REF!,#REF!,#REF!,#REF!,#REF!,#REF!,#REF!,#REF!,#REF!,#REF!,#REF!,#REF!,#REF!,#REF!</definedName>
    <definedName name="__APW_RESTORE_DATA1557__" hidden="1">#REF!,#REF!,#REF!,#REF!,#REF!,#REF!,#REF!,#REF!,#REF!,#REF!,#REF!,#REF!,#REF!,#REF!</definedName>
    <definedName name="__APW_RESTORE_DATA1558__" hidden="1">#REF!,#REF!,#REF!,#REF!,#REF!,#REF!,#REF!,#REF!,#REF!,#REF!,#REF!,#REF!,#REF!,#REF!</definedName>
    <definedName name="__APW_RESTORE_DATA1559__" hidden="1">#REF!,#REF!,#REF!,#REF!,#REF!,#REF!,#REF!,#REF!,#REF!,#REF!,#REF!,#REF!,#REF!,#REF!</definedName>
    <definedName name="__APW_RESTORE_DATA156__" hidden="1">#REF!,#REF!,#REF!,#REF!,#REF!,#REF!,#REF!,#REF!,#REF!,#REF!,#REF!,#REF!,#REF!,#REF!,#REF!</definedName>
    <definedName name="__APW_RESTORE_DATA1560__" hidden="1">#REF!,#REF!,#REF!,#REF!,#REF!,#REF!,#REF!,#REF!,#REF!,#REF!,#REF!,#REF!,#REF!,#REF!</definedName>
    <definedName name="__APW_RESTORE_DATA1561__" hidden="1">#REF!,#REF!,#REF!,#REF!,#REF!,#REF!,#REF!,#REF!,#REF!,#REF!,#REF!,#REF!,#REF!,#REF!</definedName>
    <definedName name="__APW_RESTORE_DATA1562__" hidden="1">#REF!,#REF!,#REF!,#REF!,#REF!,#REF!,#REF!,#REF!,#REF!,#REF!,#REF!,#REF!,#REF!,#REF!</definedName>
    <definedName name="__APW_RESTORE_DATA1563__" hidden="1">#REF!</definedName>
    <definedName name="__APW_RESTORE_DATA157__" hidden="1">#REF!,#REF!,#REF!,#REF!,#REF!,#REF!,#REF!,#REF!,#REF!,#REF!,#REF!,#REF!,#REF!,#REF!,#REF!</definedName>
    <definedName name="__APW_RESTORE_DATA158__" hidden="1">#REF!,#REF!,#REF!,#REF!,#REF!,#REF!,#REF!,#REF!,#REF!,#REF!,#REF!,#REF!,#REF!,#REF!,#REF!</definedName>
    <definedName name="__APW_RESTORE_DATA159__" hidden="1">#REF!,#REF!,#REF!,#REF!,#REF!,#REF!,#REF!,#REF!,#REF!,#REF!,#REF!,#REF!,#REF!,#REF!,#REF!</definedName>
    <definedName name="__APW_RESTORE_DATA16__" hidden="1">#REF!,#REF!,#REF!,#REF!,#REF!,#REF!,#REF!,#REF!,#REF!,#REF!,#REF!,#REF!,#REF!,#REF!,#REF!</definedName>
    <definedName name="__APW_RESTORE_DATA160__" hidden="1">#REF!,#REF!,#REF!,#REF!,#REF!,#REF!,#REF!,#REF!,#REF!,#REF!,#REF!,#REF!,#REF!,#REF!,#REF!</definedName>
    <definedName name="__APW_RESTORE_DATA161__" hidden="1">#REF!,#REF!,#REF!,#REF!,#REF!,#REF!,#REF!,#REF!,#REF!,#REF!,#REF!,#REF!,#REF!,#REF!,#REF!</definedName>
    <definedName name="__APW_RESTORE_DATA162__" hidden="1">#REF!,#REF!,#REF!,#REF!,#REF!,#REF!,#REF!,#REF!,#REF!,#REF!,#REF!,#REF!,#REF!,#REF!,#REF!</definedName>
    <definedName name="__APW_RESTORE_DATA163__" hidden="1">#REF!,#REF!,#REF!,#REF!,#REF!,#REF!,#REF!,#REF!,#REF!,#REF!,#REF!,#REF!,#REF!,#REF!,#REF!</definedName>
    <definedName name="__APW_RESTORE_DATA164__" hidden="1">#REF!,#REF!,#REF!,#REF!,#REF!,#REF!,#REF!,#REF!,#REF!,#REF!,#REF!,#REF!,#REF!,#REF!,#REF!</definedName>
    <definedName name="__APW_RESTORE_DATA165__" hidden="1">#REF!,#REF!,#REF!,#REF!,#REF!,#REF!,#REF!,#REF!,#REF!,#REF!,#REF!,#REF!,#REF!,#REF!,#REF!</definedName>
    <definedName name="__APW_RESTORE_DATA166__" hidden="1">#REF!,#REF!,#REF!,#REF!,#REF!,#REF!,#REF!,#REF!,#REF!,#REF!,#REF!,#REF!,#REF!,#REF!,#REF!</definedName>
    <definedName name="__APW_RESTORE_DATA167__" hidden="1">#REF!,#REF!,#REF!,#REF!,#REF!,#REF!,#REF!,#REF!,#REF!,#REF!,#REF!,#REF!,#REF!,#REF!,#REF!</definedName>
    <definedName name="__APW_RESTORE_DATA168__" hidden="1">#REF!,#REF!,#REF!,#REF!,#REF!,#REF!,#REF!,#REF!,#REF!,#REF!,#REF!,#REF!,#REF!,#REF!,#REF!</definedName>
    <definedName name="__APW_RESTORE_DATA169__" hidden="1">#REF!,#REF!,#REF!,#REF!,#REF!,#REF!,#REF!,#REF!,#REF!,#REF!,#REF!,#REF!,#REF!,#REF!,#REF!</definedName>
    <definedName name="__APW_RESTORE_DATA17__" hidden="1">#REF!,#REF!,#REF!,#REF!,#REF!,#REF!,#REF!,#REF!,#REF!,#REF!,#REF!,#REF!,#REF!,#REF!,#REF!</definedName>
    <definedName name="__APW_RESTORE_DATA170__" hidden="1">#REF!,#REF!,#REF!,#REF!,#REF!,#REF!,#REF!,#REF!,#REF!,#REF!,#REF!,#REF!,#REF!,#REF!,#REF!</definedName>
    <definedName name="__APW_RESTORE_DATA171__" hidden="1">#REF!,#REF!,#REF!,#REF!,#REF!,#REF!,#REF!,#REF!,#REF!,#REF!,#REF!,#REF!,#REF!,#REF!,#REF!</definedName>
    <definedName name="__APW_RESTORE_DATA172__" hidden="1">#REF!,#REF!,#REF!,#REF!,#REF!,#REF!,#REF!,#REF!,#REF!,#REF!,#REF!,#REF!,#REF!,#REF!,#REF!</definedName>
    <definedName name="__APW_RESTORE_DATA173__" hidden="1">#REF!,#REF!,#REF!,#REF!,#REF!,#REF!,#REF!,#REF!,#REF!,#REF!,#REF!,#REF!,#REF!,#REF!,#REF!</definedName>
    <definedName name="__APW_RESTORE_DATA174__" hidden="1">#REF!,#REF!,#REF!,#REF!,#REF!,#REF!,#REF!,#REF!,#REF!,#REF!,#REF!,#REF!,#REF!,#REF!</definedName>
    <definedName name="__APW_RESTORE_DATA175__" hidden="1">#REF!,#REF!,#REF!,#REF!,#REF!,#REF!,#REF!,#REF!,#REF!,#REF!,#REF!,#REF!,#REF!,#REF!</definedName>
    <definedName name="__APW_RESTORE_DATA176__" hidden="1">#REF!,#REF!,#REF!,#REF!,#REF!,#REF!,#REF!,#REF!,#REF!,#REF!,#REF!,#REF!,#REF!,#REF!</definedName>
    <definedName name="__APW_RESTORE_DATA177__" hidden="1">#REF!,#REF!,#REF!,#REF!,#REF!,#REF!,#REF!,#REF!,#REF!,#REF!,#REF!,#REF!,#REF!,#REF!</definedName>
    <definedName name="__APW_RESTORE_DATA178__" hidden="1">#REF!,#REF!,#REF!,#REF!,#REF!,#REF!,#REF!,#REF!,#REF!,#REF!,#REF!,#REF!,#REF!,#REF!</definedName>
    <definedName name="__APW_RESTORE_DATA179__" hidden="1">#REF!,#REF!,#REF!,#REF!,#REF!,#REF!,#REF!,#REF!,#REF!,#REF!,#REF!,#REF!,#REF!,#REF!</definedName>
    <definedName name="__APW_RESTORE_DATA18__" hidden="1">#REF!,#REF!,#REF!,#REF!,#REF!,#REF!,#REF!,#REF!,#REF!,#REF!,#REF!,#REF!,#REF!,#REF!,#REF!</definedName>
    <definedName name="__APW_RESTORE_DATA180__" hidden="1">#REF!,#REF!,#REF!,#REF!,#REF!,#REF!,#REF!,#REF!,#REF!,#REF!,#REF!,#REF!,#REF!,#REF!</definedName>
    <definedName name="__APW_RESTORE_DATA181__" hidden="1">#REF!,#REF!,#REF!,#REF!,#REF!,#REF!,#REF!,#REF!,#REF!,#REF!,#REF!,#REF!,#REF!,#REF!</definedName>
    <definedName name="__APW_RESTORE_DATA182__" hidden="1">#REF!,#REF!,#REF!,#REF!,#REF!,#REF!,#REF!,#REF!,#REF!,#REF!,#REF!,#REF!,#REF!,#REF!</definedName>
    <definedName name="__APW_RESTORE_DATA183__" hidden="1">#REF!,#REF!,#REF!,#REF!,#REF!,#REF!,#REF!,#REF!,#REF!,#REF!,#REF!,#REF!,#REF!,#REF!</definedName>
    <definedName name="__APW_RESTORE_DATA184__" hidden="1">#REF!,#REF!,#REF!,#REF!,#REF!,#REF!,#REF!,#REF!,#REF!,#REF!,#REF!,#REF!,#REF!,#REF!</definedName>
    <definedName name="__APW_RESTORE_DATA185__" hidden="1">#REF!,#REF!,#REF!,#REF!,#REF!,#REF!,#REF!,#REF!,#REF!,#REF!,#REF!,#REF!,#REF!,#REF!</definedName>
    <definedName name="__APW_RESTORE_DATA186__" hidden="1">#REF!,#REF!,#REF!,#REF!,#REF!,#REF!,#REF!,#REF!,#REF!,#REF!,#REF!,#REF!,#REF!,#REF!</definedName>
    <definedName name="__APW_RESTORE_DATA187__" hidden="1">#REF!,#REF!,#REF!,#REF!,#REF!,#REF!,#REF!,#REF!,#REF!,#REF!,#REF!,#REF!,#REF!,#REF!</definedName>
    <definedName name="__APW_RESTORE_DATA188__" hidden="1">#REF!,#REF!,#REF!,#REF!,#REF!,#REF!,#REF!,#REF!,#REF!,#REF!,#REF!,#REF!,#REF!,#REF!</definedName>
    <definedName name="__APW_RESTORE_DATA189__" hidden="1">#REF!,#REF!,#REF!,#REF!,#REF!,#REF!,#REF!,#REF!,#REF!,#REF!,#REF!,#REF!,#REF!,#REF!</definedName>
    <definedName name="__APW_RESTORE_DATA19__" hidden="1">#REF!,#REF!,#REF!,#REF!,#REF!,#REF!,#REF!,#REF!,#REF!,#REF!,#REF!,#REF!,#REF!,#REF!,#REF!</definedName>
    <definedName name="__APW_RESTORE_DATA190__" hidden="1">#REF!,#REF!,#REF!,#REF!,#REF!,#REF!,#REF!,#REF!,#REF!,#REF!,#REF!,#REF!,#REF!,#REF!</definedName>
    <definedName name="__APW_RESTORE_DATA191__" hidden="1">#REF!,#REF!,#REF!,#REF!,#REF!,#REF!,#REF!,#REF!,#REF!,#REF!,#REF!,#REF!,#REF!,#REF!</definedName>
    <definedName name="__APW_RESTORE_DATA192__" hidden="1">#REF!,#REF!,#REF!,#REF!,#REF!,#REF!,#REF!,#REF!,#REF!,#REF!,#REF!,#REF!,#REF!,#REF!</definedName>
    <definedName name="__APW_RESTORE_DATA193__" hidden="1">#REF!,#REF!,#REF!,#REF!,#REF!,#REF!,#REF!,#REF!,#REF!,#REF!,#REF!,#REF!,#REF!,#REF!</definedName>
    <definedName name="__APW_RESTORE_DATA194__" hidden="1">#REF!,#REF!,#REF!,#REF!,#REF!,#REF!,#REF!,#REF!,#REF!,#REF!,#REF!,#REF!,#REF!,#REF!</definedName>
    <definedName name="__APW_RESTORE_DATA195__" hidden="1">#REF!,#REF!,#REF!,#REF!,#REF!,#REF!,#REF!,#REF!,#REF!,#REF!,#REF!,#REF!,#REF!,#REF!</definedName>
    <definedName name="__APW_RESTORE_DATA196__" hidden="1">#REF!,#REF!,#REF!,#REF!,#REF!,#REF!,#REF!,#REF!,#REF!,#REF!,#REF!,#REF!,#REF!,#REF!</definedName>
    <definedName name="__APW_RESTORE_DATA197__" hidden="1">#REF!,#REF!,#REF!,#REF!,#REF!,#REF!,#REF!,#REF!,#REF!,#REF!,#REF!,#REF!,#REF!,#REF!</definedName>
    <definedName name="__APW_RESTORE_DATA198__" hidden="1">#REF!,#REF!,#REF!,#REF!,#REF!,#REF!,#REF!,#REF!,#REF!,#REF!,#REF!,#REF!,#REF!,#REF!</definedName>
    <definedName name="__APW_RESTORE_DATA199__" hidden="1">#REF!,#REF!,#REF!,#REF!,#REF!,#REF!,#REF!,#REF!,#REF!,#REF!,#REF!,#REF!,#REF!,#REF!</definedName>
    <definedName name="__APW_RESTORE_DATA2__" hidden="1">#REF!</definedName>
    <definedName name="__APW_RESTORE_DATA20__" hidden="1">#REF!,#REF!,#REF!,#REF!,#REF!,#REF!,#REF!,#REF!,#REF!,#REF!,#REF!,#REF!,#REF!,#REF!,#REF!</definedName>
    <definedName name="__APW_RESTORE_DATA200__" hidden="1">#REF!,#REF!,#REF!,#REF!,#REF!,#REF!,#REF!,#REF!,#REF!,#REF!,#REF!,#REF!,#REF!,#REF!</definedName>
    <definedName name="__APW_RESTORE_DATA201__" hidden="1">#REF!,#REF!,#REF!,#REF!,#REF!,#REF!,#REF!,#REF!,#REF!,#REF!,#REF!,#REF!,#REF!,#REF!</definedName>
    <definedName name="__APW_RESTORE_DATA202__" hidden="1">#REF!,#REF!,#REF!,#REF!,#REF!,#REF!,#REF!,#REF!,#REF!,#REF!,#REF!,#REF!,#REF!,#REF!</definedName>
    <definedName name="__APW_RESTORE_DATA203__" hidden="1">#REF!,#REF!,#REF!,#REF!,#REF!,#REF!,#REF!,#REF!,#REF!,#REF!,#REF!,#REF!,#REF!,#REF!</definedName>
    <definedName name="__APW_RESTORE_DATA204__" hidden="1">#REF!,#REF!,#REF!,#REF!,#REF!,#REF!,#REF!,#REF!,#REF!,#REF!,#REF!,#REF!,#REF!,#REF!</definedName>
    <definedName name="__APW_RESTORE_DATA205__" hidden="1">#REF!,#REF!,#REF!,#REF!,#REF!,#REF!,#REF!,#REF!,#REF!,#REF!,#REF!,#REF!,#REF!,#REF!</definedName>
    <definedName name="__APW_RESTORE_DATA206__" hidden="1">#REF!,#REF!,#REF!,#REF!,#REF!,#REF!,#REF!,#REF!,#REF!,#REF!,#REF!,#REF!,#REF!,#REF!</definedName>
    <definedName name="__APW_RESTORE_DATA207__" hidden="1">#REF!,#REF!,#REF!,#REF!,#REF!,#REF!,#REF!,#REF!,#REF!,#REF!,#REF!,#REF!,#REF!,#REF!</definedName>
    <definedName name="__APW_RESTORE_DATA208__" hidden="1">#REF!,#REF!,#REF!,#REF!,#REF!,#REF!,#REF!,#REF!,#REF!,#REF!,#REF!,#REF!,#REF!,#REF!</definedName>
    <definedName name="__APW_RESTORE_DATA209__" hidden="1">#REF!,#REF!,#REF!,#REF!,#REF!,#REF!,#REF!,#REF!,#REF!,#REF!,#REF!,#REF!,#REF!,#REF!</definedName>
    <definedName name="__APW_RESTORE_DATA21__" hidden="1">#REF!,#REF!,#REF!,#REF!,#REF!,#REF!,#REF!,#REF!,#REF!,#REF!,#REF!,#REF!,#REF!,#REF!,#REF!</definedName>
    <definedName name="__APW_RESTORE_DATA210__" hidden="1">#REF!,#REF!,#REF!,#REF!,#REF!,#REF!,#REF!,#REF!,#REF!,#REF!,#REF!,#REF!,#REF!,#REF!</definedName>
    <definedName name="__APW_RESTORE_DATA211__" hidden="1">#REF!</definedName>
    <definedName name="__APW_RESTORE_DATA212__" hidden="1">#REF!,#REF!,#REF!,#REF!,#REF!,#REF!,#REF!,#REF!,#REF!,#REF!,#REF!,#REF!,#REF!,#REF!,#REF!,#REF!,#REF!</definedName>
    <definedName name="__APW_RESTORE_DATA213__" hidden="1">#REF!,#REF!,#REF!,#REF!,#REF!,#REF!,#REF!,#REF!,#REF!,#REF!,#REF!,#REF!,#REF!,#REF!,#REF!,#REF!</definedName>
    <definedName name="__APW_RESTORE_DATA214__" hidden="1">#REF!,#REF!,#REF!,#REF!,#REF!,#REF!,#REF!,#REF!,#REF!,#REF!,#REF!,#REF!,#REF!,#REF!,#REF!,#REF!</definedName>
    <definedName name="__APW_RESTORE_DATA215__" hidden="1">#REF!,#REF!,#REF!,#REF!,#REF!,#REF!,#REF!,#REF!,#REF!,#REF!,#REF!,#REF!,#REF!,#REF!,#REF!,#REF!</definedName>
    <definedName name="__APW_RESTORE_DATA216__" hidden="1">#REF!,#REF!,#REF!,#REF!,#REF!,#REF!,#REF!,#REF!,#REF!,#REF!,#REF!,#REF!,#REF!,#REF!,#REF!,#REF!</definedName>
    <definedName name="__APW_RESTORE_DATA217__" hidden="1">#REF!,#REF!,#REF!,#REF!,#REF!,#REF!,#REF!,#REF!,#REF!,#REF!,#REF!,#REF!,#REF!,#REF!,#REF!,#REF!</definedName>
    <definedName name="__APW_RESTORE_DATA218__" hidden="1">#REF!,#REF!,#REF!,#REF!,#REF!,#REF!,#REF!,#REF!,#REF!,#REF!,#REF!,#REF!,#REF!,#REF!,#REF!</definedName>
    <definedName name="__APW_RESTORE_DATA219__" hidden="1">#REF!,#REF!,#REF!,#REF!,#REF!,#REF!,#REF!,#REF!,#REF!,#REF!,#REF!,#REF!,#REF!,#REF!,#REF!</definedName>
    <definedName name="__APW_RESTORE_DATA22__" hidden="1">#REF!,#REF!,#REF!,#REF!,#REF!,#REF!,#REF!,#REF!,#REF!,#REF!,#REF!,#REF!,#REF!,#REF!,#REF!</definedName>
    <definedName name="__APW_RESTORE_DATA220__" hidden="1">#REF!,#REF!,#REF!,#REF!,#REF!,#REF!,#REF!,#REF!,#REF!,#REF!,#REF!,#REF!,#REF!,#REF!,#REF!</definedName>
    <definedName name="__APW_RESTORE_DATA221__" hidden="1">#REF!,#REF!,#REF!,#REF!,#REF!,#REF!,#REF!,#REF!,#REF!,#REF!,#REF!,#REF!,#REF!,#REF!,#REF!</definedName>
    <definedName name="__APW_RESTORE_DATA222__" hidden="1">#REF!,#REF!,#REF!,#REF!,#REF!,#REF!,#REF!,#REF!,#REF!,#REF!,#REF!,#REF!,#REF!,#REF!,#REF!</definedName>
    <definedName name="__APW_RESTORE_DATA223__" hidden="1">#REF!,#REF!,#REF!,#REF!,#REF!,#REF!,#REF!,#REF!,#REF!,#REF!,#REF!,#REF!,#REF!,#REF!,#REF!</definedName>
    <definedName name="__APW_RESTORE_DATA224__" hidden="1">#REF!,#REF!,#REF!,#REF!,#REF!,#REF!,#REF!,#REF!,#REF!,#REF!,#REF!,#REF!,#REF!,#REF!,#REF!</definedName>
    <definedName name="__APW_RESTORE_DATA225__" hidden="1">#REF!,#REF!,#REF!,#REF!,#REF!,#REF!,#REF!,#REF!,#REF!,#REF!,#REF!,#REF!,#REF!,#REF!,#REF!</definedName>
    <definedName name="__APW_RESTORE_DATA226__" hidden="1">#REF!,#REF!,#REF!,#REF!,#REF!,#REF!,#REF!,#REF!,#REF!,#REF!,#REF!,#REF!,#REF!,#REF!,#REF!</definedName>
    <definedName name="__APW_RESTORE_DATA227__" hidden="1">#REF!,#REF!,#REF!,#REF!,#REF!,#REF!,#REF!,#REF!,#REF!,#REF!,#REF!,#REF!,#REF!,#REF!,#REF!</definedName>
    <definedName name="__APW_RESTORE_DATA228__" hidden="1">#REF!,#REF!,#REF!,#REF!,#REF!,#REF!,#REF!,#REF!,#REF!,#REF!,#REF!,#REF!,#REF!,#REF!,#REF!</definedName>
    <definedName name="__APW_RESTORE_DATA229__" hidden="1">#REF!,#REF!,#REF!,#REF!,#REF!,#REF!,#REF!,#REF!,#REF!,#REF!,#REF!,#REF!,#REF!,#REF!,#REF!</definedName>
    <definedName name="__APW_RESTORE_DATA23__" hidden="1">#REF!,#REF!,#REF!,#REF!,#REF!,#REF!,#REF!,#REF!,#REF!,#REF!,#REF!,#REF!,#REF!,#REF!,#REF!</definedName>
    <definedName name="__APW_RESTORE_DATA230__" hidden="1">#REF!,#REF!,#REF!,#REF!,#REF!,#REF!,#REF!,#REF!,#REF!,#REF!,#REF!,#REF!,#REF!,#REF!,#REF!</definedName>
    <definedName name="__APW_RESTORE_DATA231__" hidden="1">#REF!,#REF!,#REF!,#REF!,#REF!,#REF!,#REF!,#REF!,#REF!,#REF!,#REF!,#REF!,#REF!,#REF!,#REF!</definedName>
    <definedName name="__APW_RESTORE_DATA232__" hidden="1">#REF!,#REF!,#REF!,#REF!,#REF!,#REF!,#REF!,#REF!,#REF!,#REF!,#REF!,#REF!,#REF!,#REF!,#REF!</definedName>
    <definedName name="__APW_RESTORE_DATA233__" hidden="1">#REF!,#REF!,#REF!,#REF!,#REF!,#REF!,#REF!,#REF!,#REF!,#REF!,#REF!,#REF!,#REF!,#REF!,#REF!</definedName>
    <definedName name="__APW_RESTORE_DATA234__" hidden="1">#REF!,#REF!,#REF!,#REF!,#REF!,#REF!,#REF!,#REF!,#REF!,#REF!,#REF!,#REF!,#REF!,#REF!,#REF!</definedName>
    <definedName name="__APW_RESTORE_DATA235__" hidden="1">#REF!,#REF!,#REF!,#REF!,#REF!,#REF!,#REF!,#REF!,#REF!,#REF!,#REF!,#REF!,#REF!,#REF!,#REF!</definedName>
    <definedName name="__APW_RESTORE_DATA236__" hidden="1">#REF!,#REF!,#REF!,#REF!,#REF!,#REF!,#REF!,#REF!,#REF!,#REF!,#REF!,#REF!,#REF!,#REF!,#REF!</definedName>
    <definedName name="__APW_RESTORE_DATA237__" hidden="1">#REF!,#REF!,#REF!,#REF!,#REF!,#REF!,#REF!,#REF!,#REF!,#REF!,#REF!,#REF!,#REF!,#REF!,#REF!</definedName>
    <definedName name="__APW_RESTORE_DATA238__" hidden="1">#REF!,#REF!,#REF!,#REF!,#REF!,#REF!,#REF!,#REF!,#REF!,#REF!,#REF!,#REF!,#REF!,#REF!,#REF!</definedName>
    <definedName name="__APW_RESTORE_DATA239__" hidden="1">#REF!,#REF!,#REF!,#REF!,#REF!,#REF!,#REF!,#REF!,#REF!,#REF!,#REF!,#REF!,#REF!,#REF!,#REF!</definedName>
    <definedName name="__APW_RESTORE_DATA24__" hidden="1">#REF!,#REF!,#REF!,#REF!,#REF!,#REF!,#REF!,#REF!,#REF!,#REF!,#REF!,#REF!,#REF!,#REF!,#REF!</definedName>
    <definedName name="__APW_RESTORE_DATA240__" hidden="1">#REF!,#REF!,#REF!,#REF!,#REF!,#REF!,#REF!,#REF!,#REF!,#REF!,#REF!,#REF!,#REF!,#REF!,#REF!</definedName>
    <definedName name="__APW_RESTORE_DATA241__" hidden="1">#REF!,#REF!,#REF!,#REF!,#REF!,#REF!,#REF!,#REF!,#REF!,#REF!,#REF!,#REF!,#REF!,#REF!,#REF!</definedName>
    <definedName name="__APW_RESTORE_DATA242__" hidden="1">#REF!,#REF!,#REF!,#REF!,#REF!,#REF!,#REF!,#REF!,#REF!,#REF!,#REF!,#REF!,#REF!,#REF!,#REF!</definedName>
    <definedName name="__APW_RESTORE_DATA243__" hidden="1">#REF!,#REF!,#REF!,#REF!,#REF!,#REF!,#REF!,#REF!,#REF!,#REF!,#REF!,#REF!,#REF!,#REF!,#REF!</definedName>
    <definedName name="__APW_RESTORE_DATA244__" hidden="1">#REF!,#REF!,#REF!,#REF!,#REF!,#REF!,#REF!,#REF!,#REF!,#REF!,#REF!,#REF!,#REF!,#REF!,#REF!</definedName>
    <definedName name="__APW_RESTORE_DATA245__" hidden="1">#REF!,#REF!,#REF!,#REF!,#REF!,#REF!,#REF!,#REF!,#REF!,#REF!,#REF!,#REF!,#REF!,#REF!,#REF!</definedName>
    <definedName name="__APW_RESTORE_DATA246__" hidden="1">#REF!,#REF!,#REF!,#REF!,#REF!,#REF!,#REF!,#REF!,#REF!,#REF!,#REF!,#REF!,#REF!,#REF!,#REF!</definedName>
    <definedName name="__APW_RESTORE_DATA247__" hidden="1">#REF!,#REF!,#REF!,#REF!,#REF!,#REF!,#REF!,#REF!,#REF!,#REF!,#REF!,#REF!,#REF!,#REF!,#REF!</definedName>
    <definedName name="__APW_RESTORE_DATA248__" hidden="1">#REF!,#REF!,#REF!,#REF!,#REF!,#REF!,#REF!,#REF!,#REF!,#REF!,#REF!,#REF!,#REF!,#REF!,#REF!</definedName>
    <definedName name="__APW_RESTORE_DATA249__" hidden="1">#REF!,#REF!,#REF!,#REF!,#REF!,#REF!,#REF!,#REF!,#REF!,#REF!,#REF!,#REF!,#REF!,#REF!,#REF!</definedName>
    <definedName name="__APW_RESTORE_DATA25__" hidden="1">#REF!,#REF!,#REF!,#REF!,#REF!,#REF!,#REF!,#REF!,#REF!,#REF!,#REF!,#REF!,#REF!,#REF!,#REF!</definedName>
    <definedName name="__APW_RESTORE_DATA250__" hidden="1">#REF!,#REF!,#REF!,#REF!,#REF!,#REF!,#REF!,#REF!,#REF!,#REF!,#REF!,#REF!,#REF!,#REF!,#REF!</definedName>
    <definedName name="__APW_RESTORE_DATA251__" hidden="1">#REF!,#REF!,#REF!,#REF!,#REF!,#REF!,#REF!,#REF!,#REF!,#REF!,#REF!,#REF!,#REF!,#REF!,#REF!</definedName>
    <definedName name="__APW_RESTORE_DATA252__" hidden="1">#REF!,#REF!,#REF!,#REF!,#REF!,#REF!,#REF!,#REF!,#REF!,#REF!,#REF!,#REF!,#REF!,#REF!,#REF!</definedName>
    <definedName name="__APW_RESTORE_DATA253__" hidden="1">#REF!,#REF!,#REF!,#REF!,#REF!,#REF!,#REF!,#REF!,#REF!,#REF!,#REF!,#REF!,#REF!,#REF!,#REF!</definedName>
    <definedName name="__APW_RESTORE_DATA254__" hidden="1">#REF!,#REF!,#REF!,#REF!,#REF!,#REF!,#REF!,#REF!,#REF!,#REF!,#REF!,#REF!,#REF!,#REF!,#REF!</definedName>
    <definedName name="__APW_RESTORE_DATA255__" hidden="1">#REF!,#REF!,#REF!,#REF!,#REF!,#REF!,#REF!,#REF!,#REF!,#REF!,#REF!,#REF!,#REF!,#REF!,#REF!</definedName>
    <definedName name="__APW_RESTORE_DATA256__" hidden="1">#REF!,#REF!,#REF!,#REF!,#REF!,#REF!,#REF!,#REF!,#REF!,#REF!,#REF!,#REF!,#REF!,#REF!,#REF!</definedName>
    <definedName name="__APW_RESTORE_DATA257__" hidden="1">#REF!,#REF!,#REF!,#REF!,#REF!,#REF!,#REF!,#REF!,#REF!,#REF!,#REF!,#REF!,#REF!,#REF!,#REF!</definedName>
    <definedName name="__APW_RESTORE_DATA258__" hidden="1">#REF!,#REF!,#REF!,#REF!,#REF!,#REF!,#REF!,#REF!,#REF!,#REF!,#REF!,#REF!,#REF!,#REF!,#REF!</definedName>
    <definedName name="__APW_RESTORE_DATA259__" hidden="1">#REF!,#REF!,#REF!,#REF!,#REF!,#REF!,#REF!,#REF!,#REF!,#REF!,#REF!,#REF!,#REF!,#REF!,#REF!</definedName>
    <definedName name="__APW_RESTORE_DATA26__" hidden="1">#REF!,#REF!,#REF!,#REF!,#REF!,#REF!,#REF!,#REF!,#REF!,#REF!,#REF!,#REF!,#REF!,#REF!,#REF!</definedName>
    <definedName name="__APW_RESTORE_DATA260__" hidden="1">#REF!,#REF!,#REF!,#REF!,#REF!,#REF!,#REF!,#REF!,#REF!,#REF!,#REF!,#REF!,#REF!,#REF!,#REF!</definedName>
    <definedName name="__APW_RESTORE_DATA261__" hidden="1">#REF!,#REF!,#REF!,#REF!,#REF!,#REF!,#REF!,#REF!,#REF!,#REF!,#REF!,#REF!,#REF!,#REF!,#REF!</definedName>
    <definedName name="__APW_RESTORE_DATA262__" hidden="1">#REF!,#REF!,#REF!,#REF!,#REF!,#REF!,#REF!,#REF!,#REF!,#REF!,#REF!,#REF!,#REF!,#REF!,#REF!</definedName>
    <definedName name="__APW_RESTORE_DATA263__" hidden="1">#REF!,#REF!,#REF!,#REF!,#REF!,#REF!,#REF!,#REF!,#REF!,#REF!,#REF!,#REF!,#REF!,#REF!,#REF!</definedName>
    <definedName name="__APW_RESTORE_DATA264__" hidden="1">#REF!,#REF!,#REF!,#REF!,#REF!,#REF!,#REF!,#REF!,#REF!,#REF!,#REF!,#REF!,#REF!,#REF!,#REF!</definedName>
    <definedName name="__APW_RESTORE_DATA265__" hidden="1">#REF!,#REF!,#REF!,#REF!,#REF!,#REF!,#REF!,#REF!,#REF!,#REF!,#REF!,#REF!,#REF!,#REF!,#REF!</definedName>
    <definedName name="__APW_RESTORE_DATA266__" hidden="1">#REF!,#REF!,#REF!,#REF!,#REF!,#REF!,#REF!,#REF!,#REF!,#REF!,#REF!,#REF!,#REF!,#REF!,#REF!</definedName>
    <definedName name="__APW_RESTORE_DATA267__" hidden="1">#REF!,#REF!,#REF!,#REF!,#REF!,#REF!,#REF!,#REF!,#REF!,#REF!,#REF!,#REF!,#REF!,#REF!,#REF!</definedName>
    <definedName name="__APW_RESTORE_DATA268__" hidden="1">#REF!,#REF!,#REF!,#REF!,#REF!,#REF!,#REF!,#REF!,#REF!,#REF!,#REF!,#REF!,#REF!,#REF!,#REF!</definedName>
    <definedName name="__APW_RESTORE_DATA269__" hidden="1">#REF!,#REF!,#REF!,#REF!,#REF!,#REF!,#REF!,#REF!,#REF!,#REF!,#REF!,#REF!,#REF!,#REF!,#REF!</definedName>
    <definedName name="__APW_RESTORE_DATA27__" hidden="1">#REF!,#REF!,#REF!,#REF!,#REF!,#REF!,#REF!,#REF!,#REF!,#REF!,#REF!,#REF!,#REF!,#REF!,#REF!</definedName>
    <definedName name="__APW_RESTORE_DATA270__" hidden="1">#REF!,#REF!,#REF!,#REF!,#REF!,#REF!,#REF!,#REF!,#REF!,#REF!,#REF!,#REF!,#REF!,#REF!,#REF!</definedName>
    <definedName name="__APW_RESTORE_DATA271__" hidden="1">#REF!,#REF!,#REF!,#REF!,#REF!,#REF!,#REF!,#REF!,#REF!,#REF!,#REF!,#REF!,#REF!,#REF!,#REF!</definedName>
    <definedName name="__APW_RESTORE_DATA272__" hidden="1">#REF!,#REF!,#REF!,#REF!,#REF!,#REF!,#REF!,#REF!,#REF!,#REF!,#REF!,#REF!,#REF!,#REF!,#REF!</definedName>
    <definedName name="__APW_RESTORE_DATA273__" hidden="1">#REF!,#REF!,#REF!,#REF!,#REF!,#REF!,#REF!,#REF!,#REF!,#REF!,#REF!,#REF!,#REF!,#REF!,#REF!</definedName>
    <definedName name="__APW_RESTORE_DATA274__" hidden="1">#REF!,#REF!,#REF!,#REF!,#REF!,#REF!,#REF!,#REF!,#REF!,#REF!,#REF!,#REF!,#REF!,#REF!,#REF!</definedName>
    <definedName name="__APW_RESTORE_DATA275__" hidden="1">#REF!,#REF!,#REF!,#REF!,#REF!,#REF!,#REF!,#REF!,#REF!,#REF!,#REF!,#REF!,#REF!,#REF!,#REF!</definedName>
    <definedName name="__APW_RESTORE_DATA276__" hidden="1">#REF!,#REF!,#REF!,#REF!,#REF!,#REF!,#REF!,#REF!,#REF!,#REF!,#REF!,#REF!,#REF!,#REF!,#REF!</definedName>
    <definedName name="__APW_RESTORE_DATA277__" hidden="1">#REF!,#REF!,#REF!,#REF!,#REF!,#REF!,#REF!,#REF!,#REF!,#REF!,#REF!,#REF!,#REF!,#REF!,#REF!</definedName>
    <definedName name="__APW_RESTORE_DATA278__" hidden="1">#REF!,#REF!,#REF!,#REF!,#REF!,#REF!,#REF!,#REF!,#REF!,#REF!,#REF!,#REF!,#REF!,#REF!</definedName>
    <definedName name="__APW_RESTORE_DATA279__" hidden="1">#REF!,#REF!,#REF!,#REF!,#REF!,#REF!,#REF!,#REF!,#REF!,#REF!,#REF!,#REF!,#REF!,#REF!</definedName>
    <definedName name="__APW_RESTORE_DATA28__" hidden="1">#REF!,#REF!,#REF!,#REF!,#REF!,#REF!,#REF!,#REF!,#REF!,#REF!,#REF!,#REF!,#REF!,#REF!,#REF!</definedName>
    <definedName name="__APW_RESTORE_DATA280__" hidden="1">#REF!,#REF!,#REF!,#REF!,#REF!,#REF!,#REF!,#REF!,#REF!,#REF!,#REF!,#REF!,#REF!,#REF!</definedName>
    <definedName name="__APW_RESTORE_DATA281__" hidden="1">#REF!,#REF!,#REF!,#REF!,#REF!,#REF!,#REF!,#REF!,#REF!,#REF!,#REF!,#REF!,#REF!,#REF!</definedName>
    <definedName name="__APW_RESTORE_DATA282__" hidden="1">#REF!,#REF!,#REF!,#REF!,#REF!,#REF!,#REF!,#REF!,#REF!,#REF!,#REF!,#REF!,#REF!,#REF!</definedName>
    <definedName name="__APW_RESTORE_DATA283__" hidden="1">#REF!,#REF!,#REF!,#REF!,#REF!,#REF!,#REF!,#REF!,#REF!,#REF!,#REF!,#REF!,#REF!,#REF!</definedName>
    <definedName name="__APW_RESTORE_DATA284__" hidden="1">#REF!,#REF!,#REF!,#REF!,#REF!,#REF!,#REF!,#REF!,#REF!,#REF!,#REF!,#REF!,#REF!,#REF!</definedName>
    <definedName name="__APW_RESTORE_DATA285__" hidden="1">#REF!,#REF!,#REF!,#REF!,#REF!,#REF!,#REF!,#REF!,#REF!,#REF!,#REF!,#REF!,#REF!,#REF!</definedName>
    <definedName name="__APW_RESTORE_DATA286__" hidden="1">#REF!,#REF!,#REF!,#REF!,#REF!,#REF!,#REF!,#REF!,#REF!,#REF!,#REF!,#REF!,#REF!,#REF!</definedName>
    <definedName name="__APW_RESTORE_DATA287__" hidden="1">#REF!,#REF!,#REF!,#REF!,#REF!,#REF!,#REF!,#REF!,#REF!,#REF!,#REF!,#REF!,#REF!,#REF!</definedName>
    <definedName name="__APW_RESTORE_DATA288__" hidden="1">#REF!,#REF!,#REF!,#REF!,#REF!,#REF!,#REF!,#REF!,#REF!,#REF!,#REF!,#REF!,#REF!,#REF!</definedName>
    <definedName name="__APW_RESTORE_DATA289__" hidden="1">#REF!,#REF!,#REF!,#REF!,#REF!,#REF!,#REF!,#REF!,#REF!,#REF!,#REF!,#REF!,#REF!,#REF!</definedName>
    <definedName name="__APW_RESTORE_DATA29__" hidden="1">#REF!,#REF!,#REF!,#REF!,#REF!,#REF!,#REF!,#REF!,#REF!,#REF!,#REF!,#REF!,#REF!,#REF!,#REF!</definedName>
    <definedName name="__APW_RESTORE_DATA290__" hidden="1">#REF!,#REF!,#REF!,#REF!,#REF!,#REF!,#REF!,#REF!,#REF!,#REF!,#REF!,#REF!,#REF!,#REF!</definedName>
    <definedName name="__APW_RESTORE_DATA291__" hidden="1">#REF!,#REF!,#REF!,#REF!,#REF!,#REF!,#REF!,#REF!,#REF!,#REF!,#REF!,#REF!,#REF!,#REF!</definedName>
    <definedName name="__APW_RESTORE_DATA292__" hidden="1">#REF!,#REF!,#REF!,#REF!,#REF!,#REF!,#REF!,#REF!,#REF!,#REF!,#REF!,#REF!,#REF!,#REF!</definedName>
    <definedName name="__APW_RESTORE_DATA293__" hidden="1">#REF!,#REF!,#REF!,#REF!,#REF!,#REF!,#REF!,#REF!,#REF!,#REF!,#REF!,#REF!,#REF!,#REF!</definedName>
    <definedName name="__APW_RESTORE_DATA294__" hidden="1">#REF!,#REF!,#REF!,#REF!,#REF!,#REF!,#REF!,#REF!,#REF!,#REF!,#REF!,#REF!,#REF!,#REF!</definedName>
    <definedName name="__APW_RESTORE_DATA295__" hidden="1">#REF!,#REF!,#REF!,#REF!,#REF!,#REF!,#REF!,#REF!,#REF!,#REF!,#REF!,#REF!,#REF!,#REF!</definedName>
    <definedName name="__APW_RESTORE_DATA296__" hidden="1">#REF!,#REF!,#REF!,#REF!,#REF!,#REF!,#REF!,#REF!,#REF!,#REF!,#REF!,#REF!,#REF!,#REF!</definedName>
    <definedName name="__APW_RESTORE_DATA297__" hidden="1">#REF!,#REF!,#REF!,#REF!,#REF!,#REF!,#REF!,#REF!,#REF!,#REF!,#REF!,#REF!,#REF!,#REF!</definedName>
    <definedName name="__APW_RESTORE_DATA298__" hidden="1">#REF!,#REF!,#REF!,#REF!,#REF!,#REF!,#REF!,#REF!,#REF!,#REF!,#REF!,#REF!,#REF!,#REF!</definedName>
    <definedName name="__APW_RESTORE_DATA299__" hidden="1">#REF!,#REF!,#REF!,#REF!,#REF!,#REF!,#REF!,#REF!,#REF!,#REF!,#REF!,#REF!,#REF!,#REF!</definedName>
    <definedName name="__APW_RESTORE_DATA3__" hidden="1">#REF!</definedName>
    <definedName name="__APW_RESTORE_DATA30__" hidden="1">#REF!,#REF!,#REF!,#REF!,#REF!,#REF!,#REF!,#REF!,#REF!,#REF!,#REF!,#REF!,#REF!,#REF!,#REF!</definedName>
    <definedName name="__APW_RESTORE_DATA300__" hidden="1">#REF!,#REF!,#REF!,#REF!,#REF!,#REF!,#REF!,#REF!,#REF!,#REF!,#REF!,#REF!,#REF!,#REF!</definedName>
    <definedName name="__APW_RESTORE_DATA301__" hidden="1">#REF!,#REF!,#REF!,#REF!,#REF!,#REF!,#REF!,#REF!,#REF!,#REF!,#REF!,#REF!,#REF!,#REF!</definedName>
    <definedName name="__APW_RESTORE_DATA302__" hidden="1">#REF!,#REF!,#REF!,#REF!,#REF!,#REF!,#REF!,#REF!,#REF!,#REF!,#REF!,#REF!,#REF!,#REF!</definedName>
    <definedName name="__APW_RESTORE_DATA303__" hidden="1">#REF!,#REF!,#REF!,#REF!,#REF!,#REF!,#REF!,#REF!,#REF!,#REF!,#REF!,#REF!,#REF!,#REF!</definedName>
    <definedName name="__APW_RESTORE_DATA304__" hidden="1">#REF!,#REF!,#REF!,#REF!,#REF!,#REF!,#REF!,#REF!,#REF!,#REF!,#REF!,#REF!,#REF!,#REF!</definedName>
    <definedName name="__APW_RESTORE_DATA305__" hidden="1">#REF!,#REF!,#REF!,#REF!,#REF!,#REF!,#REF!,#REF!,#REF!,#REF!,#REF!,#REF!,#REF!,#REF!</definedName>
    <definedName name="__APW_RESTORE_DATA306__" hidden="1">#REF!,#REF!,#REF!,#REF!,#REF!,#REF!,#REF!,#REF!,#REF!,#REF!,#REF!,#REF!,#REF!,#REF!</definedName>
    <definedName name="__APW_RESTORE_DATA307__" hidden="1">#REF!,#REF!,#REF!,#REF!,#REF!,#REF!,#REF!,#REF!,#REF!,#REF!,#REF!,#REF!,#REF!,#REF!</definedName>
    <definedName name="__APW_RESTORE_DATA308__" hidden="1">#REF!,#REF!,#REF!,#REF!,#REF!,#REF!,#REF!,#REF!,#REF!,#REF!,#REF!,#REF!,#REF!,#REF!</definedName>
    <definedName name="__APW_RESTORE_DATA309__" hidden="1">#REF!,#REF!,#REF!,#REF!,#REF!,#REF!,#REF!,#REF!,#REF!,#REF!,#REF!,#REF!,#REF!,#REF!</definedName>
    <definedName name="__APW_RESTORE_DATA31__" hidden="1">#REF!,#REF!,#REF!,#REF!,#REF!,#REF!,#REF!,#REF!,#REF!,#REF!,#REF!,#REF!,#REF!,#REF!,#REF!</definedName>
    <definedName name="__APW_RESTORE_DATA310__" hidden="1">#REF!,#REF!,#REF!,#REF!,#REF!,#REF!,#REF!,#REF!,#REF!,#REF!,#REF!,#REF!,#REF!,#REF!</definedName>
    <definedName name="__APW_RESTORE_DATA311__" hidden="1">#REF!,#REF!,#REF!,#REF!,#REF!,#REF!,#REF!,#REF!,#REF!,#REF!,#REF!,#REF!,#REF!,#REF!</definedName>
    <definedName name="__APW_RESTORE_DATA312__" hidden="1">#REF!,#REF!,#REF!,#REF!,#REF!,#REF!,#REF!,#REF!,#REF!,#REF!,#REF!,#REF!,#REF!,#REF!</definedName>
    <definedName name="__APW_RESTORE_DATA313__" hidden="1">#REF!,#REF!,#REF!,#REF!,#REF!,#REF!,#REF!,#REF!,#REF!,#REF!,#REF!,#REF!,#REF!,#REF!</definedName>
    <definedName name="__APW_RESTORE_DATA314__" hidden="1">#REF!,#REF!,#REF!,#REF!,#REF!,#REF!,#REF!,#REF!,#REF!,#REF!,#REF!,#REF!,#REF!,#REF!</definedName>
    <definedName name="__APW_RESTORE_DATA315__" hidden="1">#REF!</definedName>
    <definedName name="__APW_RESTORE_DATA316__" hidden="1">#REF!,#REF!,#REF!,#REF!,#REF!,#REF!,#REF!,#REF!,#REF!,#REF!,#REF!,#REF!,#REF!,#REF!,#REF!,#REF!,#REF!</definedName>
    <definedName name="__APW_RESTORE_DATA317__" hidden="1">#REF!,#REF!,#REF!,#REF!,#REF!,#REF!,#REF!,#REF!,#REF!,#REF!,#REF!,#REF!,#REF!,#REF!,#REF!,#REF!</definedName>
    <definedName name="__APW_RESTORE_DATA318__" hidden="1">#REF!,#REF!,#REF!,#REF!,#REF!,#REF!,#REF!,#REF!,#REF!,#REF!,#REF!,#REF!,#REF!,#REF!,#REF!,#REF!</definedName>
    <definedName name="__APW_RESTORE_DATA319__" hidden="1">#REF!,#REF!,#REF!,#REF!,#REF!,#REF!,#REF!,#REF!,#REF!,#REF!,#REF!,#REF!,#REF!,#REF!,#REF!,#REF!</definedName>
    <definedName name="__APW_RESTORE_DATA32__" hidden="1">#REF!,#REF!,#REF!,#REF!,#REF!,#REF!,#REF!,#REF!,#REF!,#REF!,#REF!,#REF!,#REF!,#REF!,#REF!</definedName>
    <definedName name="__APW_RESTORE_DATA320__" hidden="1">#REF!,#REF!,#REF!,#REF!,#REF!,#REF!,#REF!,#REF!,#REF!,#REF!,#REF!,#REF!,#REF!,#REF!,#REF!,#REF!</definedName>
    <definedName name="__APW_RESTORE_DATA321__" hidden="1">#REF!,#REF!,#REF!,#REF!,#REF!,#REF!,#REF!,#REF!,#REF!,#REF!,#REF!,#REF!,#REF!,#REF!,#REF!,#REF!</definedName>
    <definedName name="__APW_RESTORE_DATA322__" hidden="1">#REF!,#REF!,#REF!,#REF!,#REF!,#REF!,#REF!,#REF!,#REF!,#REF!,#REF!,#REF!,#REF!,#REF!,#REF!</definedName>
    <definedName name="__APW_RESTORE_DATA323__" hidden="1">#REF!,#REF!,#REF!,#REF!,#REF!,#REF!,#REF!,#REF!,#REF!,#REF!,#REF!,#REF!,#REF!,#REF!,#REF!</definedName>
    <definedName name="__APW_RESTORE_DATA324__" hidden="1">#REF!,#REF!,#REF!,#REF!,#REF!,#REF!,#REF!,#REF!,#REF!,#REF!,#REF!,#REF!,#REF!,#REF!,#REF!</definedName>
    <definedName name="__APW_RESTORE_DATA325__" hidden="1">#REF!,#REF!,#REF!,#REF!,#REF!,#REF!,#REF!,#REF!,#REF!,#REF!,#REF!,#REF!,#REF!,#REF!,#REF!</definedName>
    <definedName name="__APW_RESTORE_DATA326__" hidden="1">#REF!,#REF!,#REF!,#REF!,#REF!,#REF!,#REF!,#REF!,#REF!,#REF!,#REF!,#REF!,#REF!,#REF!,#REF!</definedName>
    <definedName name="__APW_RESTORE_DATA327__" hidden="1">#REF!,#REF!,#REF!,#REF!,#REF!,#REF!,#REF!,#REF!,#REF!,#REF!,#REF!,#REF!,#REF!,#REF!,#REF!</definedName>
    <definedName name="__APW_RESTORE_DATA328__" hidden="1">#REF!,#REF!,#REF!,#REF!,#REF!,#REF!,#REF!,#REF!,#REF!,#REF!,#REF!,#REF!,#REF!,#REF!,#REF!</definedName>
    <definedName name="__APW_RESTORE_DATA329__" hidden="1">#REF!,#REF!,#REF!,#REF!,#REF!,#REF!,#REF!,#REF!,#REF!,#REF!,#REF!,#REF!,#REF!,#REF!,#REF!</definedName>
    <definedName name="__APW_RESTORE_DATA33__" hidden="1">#REF!,#REF!,#REF!,#REF!,#REF!,#REF!,#REF!,#REF!,#REF!,#REF!,#REF!,#REF!,#REF!,#REF!,#REF!</definedName>
    <definedName name="__APW_RESTORE_DATA330__" hidden="1">#REF!,#REF!,#REF!,#REF!,#REF!,#REF!,#REF!,#REF!,#REF!,#REF!,#REF!,#REF!,#REF!,#REF!,#REF!</definedName>
    <definedName name="__APW_RESTORE_DATA331__" hidden="1">#REF!,#REF!,#REF!,#REF!,#REF!,#REF!,#REF!,#REF!,#REF!,#REF!,#REF!,#REF!,#REF!,#REF!,#REF!</definedName>
    <definedName name="__APW_RESTORE_DATA332__" hidden="1">#REF!,#REF!,#REF!,#REF!,#REF!,#REF!,#REF!,#REF!,#REF!,#REF!,#REF!,#REF!,#REF!,#REF!,#REF!</definedName>
    <definedName name="__APW_RESTORE_DATA333__" hidden="1">#REF!,#REF!,#REF!,#REF!,#REF!,#REF!,#REF!,#REF!,#REF!,#REF!,#REF!,#REF!,#REF!,#REF!,#REF!</definedName>
    <definedName name="__APW_RESTORE_DATA334__" hidden="1">#REF!,#REF!,#REF!,#REF!,#REF!,#REF!,#REF!,#REF!,#REF!,#REF!,#REF!,#REF!,#REF!,#REF!,#REF!</definedName>
    <definedName name="__APW_RESTORE_DATA335__" hidden="1">#REF!,#REF!,#REF!,#REF!,#REF!,#REF!,#REF!,#REF!,#REF!,#REF!,#REF!,#REF!,#REF!,#REF!,#REF!</definedName>
    <definedName name="__APW_RESTORE_DATA336__" hidden="1">#REF!,#REF!,#REF!,#REF!,#REF!,#REF!,#REF!,#REF!,#REF!,#REF!,#REF!,#REF!,#REF!,#REF!,#REF!</definedName>
    <definedName name="__APW_RESTORE_DATA337__" hidden="1">#REF!,#REF!,#REF!,#REF!,#REF!,#REF!,#REF!,#REF!,#REF!,#REF!,#REF!,#REF!,#REF!,#REF!,#REF!</definedName>
    <definedName name="__APW_RESTORE_DATA338__" hidden="1">#REF!,#REF!,#REF!,#REF!,#REF!,#REF!,#REF!,#REF!,#REF!,#REF!,#REF!,#REF!,#REF!,#REF!,#REF!</definedName>
    <definedName name="__APW_RESTORE_DATA339__" hidden="1">#REF!,#REF!,#REF!,#REF!,#REF!,#REF!,#REF!,#REF!,#REF!,#REF!,#REF!,#REF!,#REF!,#REF!,#REF!</definedName>
    <definedName name="__APW_RESTORE_DATA34__" hidden="1">#REF!,#REF!,#REF!,#REF!,#REF!,#REF!,#REF!,#REF!,#REF!,#REF!,#REF!,#REF!,#REF!,#REF!,#REF!</definedName>
    <definedName name="__APW_RESTORE_DATA340__" hidden="1">#REF!,#REF!,#REF!,#REF!,#REF!,#REF!,#REF!,#REF!,#REF!,#REF!,#REF!,#REF!,#REF!,#REF!,#REF!</definedName>
    <definedName name="__APW_RESTORE_DATA341__" hidden="1">#REF!,#REF!,#REF!,#REF!,#REF!,#REF!,#REF!,#REF!,#REF!,#REF!,#REF!,#REF!,#REF!,#REF!,#REF!</definedName>
    <definedName name="__APW_RESTORE_DATA342__" hidden="1">#REF!,#REF!,#REF!,#REF!,#REF!,#REF!,#REF!,#REF!,#REF!,#REF!,#REF!,#REF!,#REF!,#REF!,#REF!</definedName>
    <definedName name="__APW_RESTORE_DATA343__" hidden="1">#REF!,#REF!,#REF!,#REF!,#REF!,#REF!,#REF!,#REF!,#REF!,#REF!,#REF!,#REF!,#REF!,#REF!,#REF!</definedName>
    <definedName name="__APW_RESTORE_DATA344__" hidden="1">#REF!,#REF!,#REF!,#REF!,#REF!,#REF!,#REF!,#REF!,#REF!,#REF!,#REF!,#REF!,#REF!,#REF!,#REF!</definedName>
    <definedName name="__APW_RESTORE_DATA345__" hidden="1">#REF!,#REF!,#REF!,#REF!,#REF!,#REF!,#REF!,#REF!,#REF!,#REF!,#REF!,#REF!,#REF!,#REF!,#REF!</definedName>
    <definedName name="__APW_RESTORE_DATA346__" hidden="1">#REF!,#REF!,#REF!,#REF!,#REF!,#REF!,#REF!,#REF!,#REF!,#REF!,#REF!,#REF!,#REF!,#REF!,#REF!</definedName>
    <definedName name="__APW_RESTORE_DATA347__" hidden="1">#REF!,#REF!,#REF!,#REF!,#REF!,#REF!,#REF!,#REF!,#REF!,#REF!,#REF!,#REF!,#REF!,#REF!,#REF!</definedName>
    <definedName name="__APW_RESTORE_DATA348__" hidden="1">#REF!,#REF!,#REF!,#REF!,#REF!,#REF!,#REF!,#REF!,#REF!,#REF!,#REF!,#REF!,#REF!,#REF!,#REF!</definedName>
    <definedName name="__APW_RESTORE_DATA349__" hidden="1">#REF!,#REF!,#REF!,#REF!,#REF!,#REF!,#REF!,#REF!,#REF!,#REF!,#REF!,#REF!,#REF!,#REF!,#REF!</definedName>
    <definedName name="__APW_RESTORE_DATA35__" hidden="1">#REF!,#REF!,#REF!,#REF!,#REF!,#REF!,#REF!,#REF!,#REF!,#REF!,#REF!,#REF!,#REF!,#REF!,#REF!</definedName>
    <definedName name="__APW_RESTORE_DATA350__" hidden="1">#REF!,#REF!,#REF!,#REF!,#REF!,#REF!,#REF!,#REF!,#REF!,#REF!,#REF!,#REF!,#REF!,#REF!,#REF!</definedName>
    <definedName name="__APW_RESTORE_DATA351__" hidden="1">#REF!,#REF!,#REF!,#REF!,#REF!,#REF!,#REF!,#REF!,#REF!,#REF!,#REF!,#REF!,#REF!,#REF!,#REF!</definedName>
    <definedName name="__APW_RESTORE_DATA352__" hidden="1">#REF!,#REF!,#REF!,#REF!,#REF!,#REF!,#REF!,#REF!,#REF!,#REF!,#REF!,#REF!,#REF!,#REF!,#REF!</definedName>
    <definedName name="__APW_RESTORE_DATA353__" hidden="1">#REF!,#REF!,#REF!,#REF!,#REF!,#REF!,#REF!,#REF!,#REF!,#REF!,#REF!,#REF!,#REF!,#REF!,#REF!</definedName>
    <definedName name="__APW_RESTORE_DATA354__" hidden="1">#REF!,#REF!,#REF!,#REF!,#REF!,#REF!,#REF!,#REF!,#REF!,#REF!,#REF!,#REF!,#REF!,#REF!,#REF!</definedName>
    <definedName name="__APW_RESTORE_DATA355__" hidden="1">#REF!,#REF!,#REF!,#REF!,#REF!,#REF!,#REF!,#REF!,#REF!,#REF!,#REF!,#REF!,#REF!,#REF!,#REF!</definedName>
    <definedName name="__APW_RESTORE_DATA356__" hidden="1">#REF!,#REF!,#REF!,#REF!,#REF!,#REF!,#REF!,#REF!,#REF!,#REF!,#REF!,#REF!,#REF!,#REF!,#REF!</definedName>
    <definedName name="__APW_RESTORE_DATA357__" hidden="1">#REF!,#REF!,#REF!,#REF!,#REF!,#REF!,#REF!,#REF!,#REF!,#REF!,#REF!,#REF!,#REF!,#REF!,#REF!</definedName>
    <definedName name="__APW_RESTORE_DATA358__" hidden="1">#REF!,#REF!,#REF!,#REF!,#REF!,#REF!,#REF!,#REF!,#REF!,#REF!,#REF!,#REF!,#REF!,#REF!,#REF!</definedName>
    <definedName name="__APW_RESTORE_DATA359__" hidden="1">#REF!,#REF!,#REF!,#REF!,#REF!,#REF!,#REF!,#REF!,#REF!,#REF!,#REF!,#REF!,#REF!,#REF!,#REF!</definedName>
    <definedName name="__APW_RESTORE_DATA36__" hidden="1">#REF!,#REF!,#REF!,#REF!,#REF!,#REF!,#REF!,#REF!,#REF!,#REF!,#REF!,#REF!,#REF!,#REF!,#REF!</definedName>
    <definedName name="__APW_RESTORE_DATA360__" hidden="1">#REF!,#REF!,#REF!,#REF!,#REF!,#REF!,#REF!,#REF!,#REF!,#REF!,#REF!,#REF!,#REF!,#REF!,#REF!</definedName>
    <definedName name="__APW_RESTORE_DATA361__" hidden="1">#REF!,#REF!,#REF!,#REF!,#REF!,#REF!,#REF!,#REF!,#REF!,#REF!,#REF!,#REF!,#REF!,#REF!,#REF!</definedName>
    <definedName name="__APW_RESTORE_DATA362__" hidden="1">#REF!,#REF!,#REF!,#REF!,#REF!,#REF!,#REF!,#REF!,#REF!,#REF!,#REF!,#REF!,#REF!,#REF!,#REF!</definedName>
    <definedName name="__APW_RESTORE_DATA363__" hidden="1">#REF!,#REF!,#REF!,#REF!,#REF!,#REF!,#REF!,#REF!,#REF!,#REF!,#REF!,#REF!,#REF!,#REF!,#REF!</definedName>
    <definedName name="__APW_RESTORE_DATA364__" hidden="1">#REF!,#REF!,#REF!,#REF!,#REF!,#REF!,#REF!,#REF!,#REF!,#REF!,#REF!,#REF!,#REF!,#REF!,#REF!</definedName>
    <definedName name="__APW_RESTORE_DATA365__" hidden="1">#REF!,#REF!,#REF!,#REF!,#REF!,#REF!,#REF!,#REF!,#REF!,#REF!,#REF!,#REF!,#REF!,#REF!,#REF!</definedName>
    <definedName name="__APW_RESTORE_DATA366__" hidden="1">#REF!,#REF!,#REF!,#REF!,#REF!,#REF!,#REF!,#REF!,#REF!,#REF!,#REF!,#REF!,#REF!,#REF!,#REF!</definedName>
    <definedName name="__APW_RESTORE_DATA367__" hidden="1">#REF!,#REF!,#REF!,#REF!,#REF!,#REF!,#REF!,#REF!,#REF!,#REF!,#REF!,#REF!,#REF!,#REF!,#REF!</definedName>
    <definedName name="__APW_RESTORE_DATA368__" hidden="1">#REF!,#REF!,#REF!,#REF!,#REF!,#REF!,#REF!,#REF!,#REF!,#REF!,#REF!,#REF!,#REF!,#REF!,#REF!</definedName>
    <definedName name="__APW_RESTORE_DATA369__" hidden="1">#REF!,#REF!,#REF!,#REF!,#REF!,#REF!,#REF!,#REF!,#REF!,#REF!,#REF!,#REF!,#REF!,#REF!,#REF!</definedName>
    <definedName name="__APW_RESTORE_DATA37__" hidden="1">#REF!,#REF!,#REF!,#REF!,#REF!,#REF!,#REF!,#REF!,#REF!,#REF!,#REF!,#REF!,#REF!,#REF!,#REF!</definedName>
    <definedName name="__APW_RESTORE_DATA370__" hidden="1">#REF!,#REF!,#REF!,#REF!,#REF!,#REF!,#REF!,#REF!,#REF!,#REF!,#REF!,#REF!,#REF!,#REF!,#REF!</definedName>
    <definedName name="__APW_RESTORE_DATA371__" hidden="1">#REF!,#REF!,#REF!,#REF!,#REF!,#REF!,#REF!,#REF!,#REF!,#REF!,#REF!,#REF!,#REF!,#REF!,#REF!</definedName>
    <definedName name="__APW_RESTORE_DATA372__" hidden="1">#REF!,#REF!,#REF!,#REF!,#REF!,#REF!,#REF!,#REF!,#REF!,#REF!,#REF!,#REF!,#REF!,#REF!,#REF!</definedName>
    <definedName name="__APW_RESTORE_DATA373__" hidden="1">#REF!,#REF!,#REF!,#REF!,#REF!,#REF!,#REF!,#REF!,#REF!,#REF!,#REF!,#REF!,#REF!,#REF!,#REF!</definedName>
    <definedName name="__APW_RESTORE_DATA374__" hidden="1">#REF!,#REF!,#REF!,#REF!,#REF!,#REF!,#REF!,#REF!,#REF!,#REF!,#REF!,#REF!,#REF!,#REF!,#REF!</definedName>
    <definedName name="__APW_RESTORE_DATA375__" hidden="1">#REF!,#REF!,#REF!,#REF!,#REF!,#REF!,#REF!,#REF!,#REF!,#REF!,#REF!,#REF!,#REF!,#REF!,#REF!</definedName>
    <definedName name="__APW_RESTORE_DATA376__" hidden="1">#REF!,#REF!,#REF!,#REF!,#REF!,#REF!,#REF!,#REF!,#REF!,#REF!,#REF!,#REF!,#REF!,#REF!,#REF!</definedName>
    <definedName name="__APW_RESTORE_DATA377__" hidden="1">#REF!,#REF!,#REF!,#REF!,#REF!,#REF!,#REF!,#REF!,#REF!,#REF!,#REF!,#REF!,#REF!,#REF!,#REF!</definedName>
    <definedName name="__APW_RESTORE_DATA378__" hidden="1">#REF!,#REF!,#REF!,#REF!,#REF!,#REF!,#REF!,#REF!,#REF!,#REF!,#REF!,#REF!,#REF!,#REF!,#REF!</definedName>
    <definedName name="__APW_RESTORE_DATA379__" hidden="1">#REF!,#REF!,#REF!,#REF!,#REF!,#REF!,#REF!,#REF!,#REF!,#REF!,#REF!,#REF!,#REF!,#REF!,#REF!</definedName>
    <definedName name="__APW_RESTORE_DATA38__" hidden="1">#REF!,#REF!,#REF!,#REF!,#REF!,#REF!,#REF!,#REF!,#REF!,#REF!,#REF!,#REF!,#REF!,#REF!,#REF!</definedName>
    <definedName name="__APW_RESTORE_DATA380__" hidden="1">#REF!,#REF!,#REF!,#REF!,#REF!,#REF!,#REF!,#REF!,#REF!,#REF!,#REF!,#REF!,#REF!,#REF!,#REF!</definedName>
    <definedName name="__APW_RESTORE_DATA381__" hidden="1">#REF!,#REF!,#REF!,#REF!,#REF!,#REF!,#REF!,#REF!,#REF!,#REF!,#REF!,#REF!,#REF!,#REF!,#REF!</definedName>
    <definedName name="__APW_RESTORE_DATA382__" hidden="1">#REF!,#REF!,#REF!,#REF!,#REF!,#REF!,#REF!,#REF!,#REF!,#REF!,#REF!,#REF!,#REF!,#REF!</definedName>
    <definedName name="__APW_RESTORE_DATA383__" hidden="1">#REF!,#REF!,#REF!,#REF!,#REF!,#REF!,#REF!,#REF!,#REF!,#REF!,#REF!,#REF!,#REF!,#REF!</definedName>
    <definedName name="__APW_RESTORE_DATA384__" hidden="1">#REF!,#REF!,#REF!,#REF!,#REF!,#REF!,#REF!,#REF!,#REF!,#REF!,#REF!,#REF!,#REF!,#REF!</definedName>
    <definedName name="__APW_RESTORE_DATA385__" hidden="1">#REF!,#REF!,#REF!,#REF!,#REF!,#REF!,#REF!,#REF!,#REF!,#REF!,#REF!,#REF!,#REF!,#REF!</definedName>
    <definedName name="__APW_RESTORE_DATA386__" hidden="1">#REF!,#REF!,#REF!,#REF!,#REF!,#REF!,#REF!,#REF!,#REF!,#REF!,#REF!,#REF!,#REF!,#REF!</definedName>
    <definedName name="__APW_RESTORE_DATA387__" hidden="1">#REF!,#REF!,#REF!,#REF!,#REF!,#REF!,#REF!,#REF!,#REF!,#REF!,#REF!,#REF!,#REF!,#REF!</definedName>
    <definedName name="__APW_RESTORE_DATA388__" hidden="1">#REF!,#REF!,#REF!,#REF!,#REF!,#REF!,#REF!,#REF!,#REF!,#REF!,#REF!,#REF!,#REF!,#REF!</definedName>
    <definedName name="__APW_RESTORE_DATA389__" hidden="1">#REF!,#REF!,#REF!,#REF!,#REF!,#REF!,#REF!,#REF!,#REF!,#REF!,#REF!,#REF!,#REF!,#REF!</definedName>
    <definedName name="__APW_RESTORE_DATA39__" hidden="1">#REF!,#REF!,#REF!,#REF!,#REF!,#REF!,#REF!,#REF!,#REF!,#REF!,#REF!,#REF!,#REF!,#REF!,#REF!</definedName>
    <definedName name="__APW_RESTORE_DATA390__" hidden="1">#REF!,#REF!,#REF!,#REF!,#REF!,#REF!,#REF!,#REF!,#REF!,#REF!,#REF!,#REF!,#REF!,#REF!</definedName>
    <definedName name="__APW_RESTORE_DATA391__" hidden="1">#REF!,#REF!,#REF!,#REF!,#REF!,#REF!,#REF!,#REF!,#REF!,#REF!,#REF!,#REF!,#REF!,#REF!</definedName>
    <definedName name="__APW_RESTORE_DATA392__" hidden="1">#REF!,#REF!,#REF!,#REF!,#REF!,#REF!,#REF!,#REF!,#REF!,#REF!,#REF!,#REF!,#REF!,#REF!</definedName>
    <definedName name="__APW_RESTORE_DATA393__" hidden="1">#REF!,#REF!,#REF!,#REF!,#REF!,#REF!,#REF!,#REF!,#REF!,#REF!,#REF!,#REF!,#REF!,#REF!</definedName>
    <definedName name="__APW_RESTORE_DATA394__" hidden="1">#REF!,#REF!,#REF!,#REF!,#REF!,#REF!,#REF!,#REF!,#REF!,#REF!,#REF!,#REF!,#REF!,#REF!</definedName>
    <definedName name="__APW_RESTORE_DATA395__" hidden="1">#REF!,#REF!,#REF!,#REF!,#REF!,#REF!,#REF!,#REF!,#REF!,#REF!,#REF!,#REF!,#REF!,#REF!</definedName>
    <definedName name="__APW_RESTORE_DATA396__" hidden="1">#REF!,#REF!,#REF!,#REF!,#REF!,#REF!,#REF!,#REF!,#REF!,#REF!,#REF!,#REF!,#REF!,#REF!</definedName>
    <definedName name="__APW_RESTORE_DATA397__" hidden="1">#REF!,#REF!,#REF!,#REF!,#REF!,#REF!,#REF!,#REF!,#REF!,#REF!,#REF!,#REF!,#REF!,#REF!</definedName>
    <definedName name="__APW_RESTORE_DATA398__" hidden="1">#REF!,#REF!,#REF!,#REF!,#REF!,#REF!,#REF!,#REF!,#REF!,#REF!,#REF!,#REF!,#REF!,#REF!</definedName>
    <definedName name="__APW_RESTORE_DATA399__" hidden="1">#REF!,#REF!,#REF!,#REF!,#REF!,#REF!,#REF!,#REF!,#REF!,#REF!,#REF!,#REF!,#REF!,#REF!</definedName>
    <definedName name="__APW_RESTORE_DATA4__" hidden="1">#REF!,#REF!,#REF!,#REF!,#REF!,#REF!,#REF!,#REF!,#REF!,#REF!,#REF!,#REF!,#REF!,#REF!,#REF!,#REF!</definedName>
    <definedName name="__APW_RESTORE_DATA40__" hidden="1">#REF!,#REF!,#REF!,#REF!,#REF!,#REF!,#REF!,#REF!,#REF!,#REF!,#REF!,#REF!,#REF!,#REF!,#REF!</definedName>
    <definedName name="__APW_RESTORE_DATA400__" hidden="1">#REF!,#REF!,#REF!,#REF!,#REF!,#REF!,#REF!,#REF!,#REF!,#REF!,#REF!,#REF!,#REF!,#REF!</definedName>
    <definedName name="__APW_RESTORE_DATA401__" hidden="1">#REF!,#REF!,#REF!,#REF!,#REF!,#REF!,#REF!,#REF!,#REF!,#REF!,#REF!,#REF!,#REF!,#REF!</definedName>
    <definedName name="__APW_RESTORE_DATA402__" hidden="1">#REF!,#REF!,#REF!,#REF!,#REF!,#REF!,#REF!,#REF!,#REF!,#REF!,#REF!,#REF!,#REF!,#REF!</definedName>
    <definedName name="__APW_RESTORE_DATA403__" hidden="1">#REF!,#REF!,#REF!,#REF!,#REF!,#REF!,#REF!,#REF!,#REF!,#REF!,#REF!,#REF!,#REF!,#REF!</definedName>
    <definedName name="__APW_RESTORE_DATA404__" hidden="1">#REF!,#REF!,#REF!,#REF!,#REF!,#REF!,#REF!,#REF!,#REF!,#REF!,#REF!,#REF!,#REF!,#REF!</definedName>
    <definedName name="__APW_RESTORE_DATA405__" hidden="1">#REF!,#REF!,#REF!,#REF!,#REF!,#REF!,#REF!,#REF!,#REF!,#REF!,#REF!,#REF!,#REF!,#REF!</definedName>
    <definedName name="__APW_RESTORE_DATA406__" hidden="1">#REF!,#REF!,#REF!,#REF!,#REF!,#REF!,#REF!,#REF!,#REF!,#REF!,#REF!,#REF!,#REF!,#REF!</definedName>
    <definedName name="__APW_RESTORE_DATA407__" hidden="1">#REF!,#REF!,#REF!,#REF!,#REF!,#REF!,#REF!,#REF!,#REF!,#REF!,#REF!,#REF!,#REF!,#REF!</definedName>
    <definedName name="__APW_RESTORE_DATA408__" hidden="1">#REF!,#REF!,#REF!,#REF!,#REF!,#REF!,#REF!,#REF!,#REF!,#REF!,#REF!,#REF!,#REF!,#REF!</definedName>
    <definedName name="__APW_RESTORE_DATA409__" hidden="1">#REF!,#REF!,#REF!,#REF!,#REF!,#REF!,#REF!,#REF!,#REF!,#REF!,#REF!,#REF!,#REF!,#REF!</definedName>
    <definedName name="__APW_RESTORE_DATA41__" hidden="1">#REF!,#REF!,#REF!,#REF!,#REF!,#REF!,#REF!,#REF!,#REF!,#REF!,#REF!,#REF!,#REF!,#REF!,#REF!</definedName>
    <definedName name="__APW_RESTORE_DATA410__" hidden="1">#REF!,#REF!,#REF!,#REF!,#REF!,#REF!,#REF!,#REF!,#REF!,#REF!,#REF!,#REF!,#REF!,#REF!</definedName>
    <definedName name="__APW_RESTORE_DATA411__" hidden="1">#REF!,#REF!,#REF!,#REF!,#REF!,#REF!,#REF!,#REF!,#REF!,#REF!,#REF!,#REF!,#REF!,#REF!</definedName>
    <definedName name="__APW_RESTORE_DATA412__" hidden="1">#REF!,#REF!,#REF!,#REF!,#REF!,#REF!,#REF!,#REF!,#REF!,#REF!,#REF!,#REF!,#REF!,#REF!</definedName>
    <definedName name="__APW_RESTORE_DATA413__" hidden="1">#REF!,#REF!,#REF!,#REF!,#REF!,#REF!,#REF!,#REF!,#REF!,#REF!,#REF!,#REF!,#REF!,#REF!</definedName>
    <definedName name="__APW_RESTORE_DATA414__" hidden="1">#REF!,#REF!,#REF!,#REF!,#REF!,#REF!,#REF!,#REF!,#REF!,#REF!,#REF!,#REF!,#REF!,#REF!</definedName>
    <definedName name="__APW_RESTORE_DATA415__" hidden="1">#REF!,#REF!,#REF!,#REF!,#REF!,#REF!,#REF!,#REF!,#REF!,#REF!,#REF!,#REF!,#REF!,#REF!</definedName>
    <definedName name="__APW_RESTORE_DATA416__" hidden="1">#REF!,#REF!,#REF!,#REF!,#REF!,#REF!,#REF!,#REF!,#REF!,#REF!,#REF!,#REF!,#REF!,#REF!</definedName>
    <definedName name="__APW_RESTORE_DATA417__" hidden="1">#REF!,#REF!,#REF!,#REF!,#REF!,#REF!,#REF!,#REF!,#REF!,#REF!,#REF!,#REF!,#REF!,#REF!</definedName>
    <definedName name="__APW_RESTORE_DATA418__" hidden="1">#REF!,#REF!,#REF!,#REF!,#REF!,#REF!,#REF!,#REF!,#REF!,#REF!,#REF!,#REF!,#REF!,#REF!</definedName>
    <definedName name="__APW_RESTORE_DATA419__" hidden="1">#REF!</definedName>
    <definedName name="__APW_RESTORE_DATA42__" hidden="1">#REF!,#REF!,#REF!,#REF!,#REF!,#REF!,#REF!,#REF!,#REF!,#REF!,#REF!,#REF!,#REF!,#REF!,#REF!</definedName>
    <definedName name="__APW_RESTORE_DATA420__" hidden="1">#REF!,#REF!,#REF!,#REF!,#REF!,#REF!,#REF!,#REF!,#REF!,#REF!,#REF!,#REF!,#REF!,#REF!,#REF!,#REF!,#REF!</definedName>
    <definedName name="__APW_RESTORE_DATA421__" hidden="1">#REF!,#REF!,#REF!,#REF!,#REF!,#REF!,#REF!,#REF!,#REF!,#REF!,#REF!,#REF!,#REF!,#REF!,#REF!,#REF!</definedName>
    <definedName name="__APW_RESTORE_DATA422__" hidden="1">#REF!,#REF!,#REF!,#REF!,#REF!,#REF!,#REF!,#REF!,#REF!,#REF!,#REF!,#REF!,#REF!,#REF!,#REF!,#REF!</definedName>
    <definedName name="__APW_RESTORE_DATA423__" hidden="1">#REF!,#REF!,#REF!,#REF!,#REF!,#REF!,#REF!,#REF!,#REF!,#REF!,#REF!,#REF!,#REF!,#REF!,#REF!,#REF!</definedName>
    <definedName name="__APW_RESTORE_DATA424__" hidden="1">#REF!,#REF!,#REF!,#REF!,#REF!,#REF!,#REF!,#REF!,#REF!,#REF!,#REF!,#REF!,#REF!,#REF!,#REF!,#REF!</definedName>
    <definedName name="__APW_RESTORE_DATA425__" hidden="1">#REF!,#REF!,#REF!,#REF!,#REF!,#REF!,#REF!,#REF!,#REF!,#REF!,#REF!,#REF!,#REF!,#REF!,#REF!,#REF!</definedName>
    <definedName name="__APW_RESTORE_DATA426__" hidden="1">#REF!,#REF!,#REF!,#REF!,#REF!,#REF!,#REF!,#REF!,#REF!,#REF!,#REF!,#REF!,#REF!,#REF!,#REF!</definedName>
    <definedName name="__APW_RESTORE_DATA427__" hidden="1">#REF!,#REF!,#REF!,#REF!,#REF!,#REF!,#REF!,#REF!,#REF!,#REF!,#REF!,#REF!,#REF!,#REF!,#REF!</definedName>
    <definedName name="__APW_RESTORE_DATA428__" hidden="1">#REF!,#REF!,#REF!,#REF!,#REF!,#REF!,#REF!,#REF!,#REF!,#REF!,#REF!,#REF!,#REF!,#REF!,#REF!</definedName>
    <definedName name="__APW_RESTORE_DATA429__" hidden="1">#REF!,#REF!,#REF!,#REF!,#REF!,#REF!,#REF!,#REF!,#REF!,#REF!,#REF!,#REF!,#REF!,#REF!,#REF!</definedName>
    <definedName name="__APW_RESTORE_DATA43__" hidden="1">#REF!,#REF!,#REF!,#REF!,#REF!,#REF!,#REF!,#REF!,#REF!,#REF!,#REF!,#REF!,#REF!,#REF!,#REF!</definedName>
    <definedName name="__APW_RESTORE_DATA430__" hidden="1">#REF!,#REF!,#REF!,#REF!,#REF!,#REF!,#REF!,#REF!,#REF!,#REF!,#REF!,#REF!,#REF!,#REF!,#REF!</definedName>
    <definedName name="__APW_RESTORE_DATA431__" hidden="1">#REF!,#REF!,#REF!,#REF!,#REF!,#REF!,#REF!,#REF!,#REF!,#REF!,#REF!,#REF!,#REF!,#REF!,#REF!</definedName>
    <definedName name="__APW_RESTORE_DATA432__" hidden="1">#REF!,#REF!,#REF!,#REF!,#REF!,#REF!,#REF!,#REF!,#REF!,#REF!,#REF!,#REF!,#REF!,#REF!,#REF!</definedName>
    <definedName name="__APW_RESTORE_DATA433__" hidden="1">#REF!,#REF!,#REF!,#REF!,#REF!,#REF!,#REF!,#REF!,#REF!,#REF!,#REF!,#REF!,#REF!,#REF!,#REF!</definedName>
    <definedName name="__APW_RESTORE_DATA434__" hidden="1">#REF!,#REF!,#REF!,#REF!,#REF!,#REF!,#REF!,#REF!,#REF!,#REF!,#REF!,#REF!,#REF!,#REF!,#REF!</definedName>
    <definedName name="__APW_RESTORE_DATA435__" hidden="1">#REF!,#REF!,#REF!,#REF!,#REF!,#REF!,#REF!,#REF!,#REF!,#REF!,#REF!,#REF!,#REF!,#REF!,#REF!</definedName>
    <definedName name="__APW_RESTORE_DATA436__" hidden="1">#REF!,#REF!,#REF!,#REF!,#REF!,#REF!,#REF!,#REF!,#REF!,#REF!,#REF!,#REF!,#REF!,#REF!,#REF!</definedName>
    <definedName name="__APW_RESTORE_DATA437__" hidden="1">#REF!,#REF!,#REF!,#REF!,#REF!,#REF!,#REF!,#REF!,#REF!,#REF!,#REF!,#REF!,#REF!,#REF!,#REF!</definedName>
    <definedName name="__APW_RESTORE_DATA438__" hidden="1">#REF!,#REF!,#REF!,#REF!,#REF!,#REF!,#REF!,#REF!,#REF!,#REF!,#REF!,#REF!,#REF!,#REF!,#REF!</definedName>
    <definedName name="__APW_RESTORE_DATA439__" hidden="1">#REF!,#REF!,#REF!,#REF!,#REF!,#REF!,#REF!,#REF!,#REF!,#REF!,#REF!,#REF!,#REF!,#REF!,#REF!</definedName>
    <definedName name="__APW_RESTORE_DATA44__" hidden="1">#REF!,#REF!,#REF!,#REF!,#REF!,#REF!,#REF!,#REF!,#REF!,#REF!,#REF!,#REF!,#REF!,#REF!,#REF!</definedName>
    <definedName name="__APW_RESTORE_DATA440__" hidden="1">#REF!,#REF!,#REF!,#REF!,#REF!,#REF!,#REF!,#REF!,#REF!,#REF!,#REF!,#REF!,#REF!,#REF!,#REF!</definedName>
    <definedName name="__APW_RESTORE_DATA441__" hidden="1">#REF!,#REF!,#REF!,#REF!,#REF!,#REF!,#REF!,#REF!,#REF!,#REF!,#REF!,#REF!,#REF!,#REF!,#REF!</definedName>
    <definedName name="__APW_RESTORE_DATA442__" hidden="1">#REF!,#REF!,#REF!,#REF!,#REF!,#REF!,#REF!,#REF!,#REF!,#REF!,#REF!,#REF!,#REF!,#REF!,#REF!</definedName>
    <definedName name="__APW_RESTORE_DATA443__" hidden="1">#REF!,#REF!,#REF!,#REF!,#REF!,#REF!,#REF!,#REF!,#REF!,#REF!,#REF!,#REF!,#REF!,#REF!,#REF!</definedName>
    <definedName name="__APW_RESTORE_DATA444__" hidden="1">#REF!,#REF!,#REF!,#REF!,#REF!,#REF!,#REF!,#REF!,#REF!,#REF!,#REF!,#REF!,#REF!,#REF!,#REF!</definedName>
    <definedName name="__APW_RESTORE_DATA445__" hidden="1">#REF!,#REF!,#REF!,#REF!,#REF!,#REF!,#REF!,#REF!,#REF!,#REF!,#REF!,#REF!,#REF!,#REF!,#REF!</definedName>
    <definedName name="__APW_RESTORE_DATA446__" hidden="1">#REF!,#REF!,#REF!,#REF!,#REF!,#REF!,#REF!,#REF!,#REF!,#REF!,#REF!,#REF!,#REF!,#REF!,#REF!</definedName>
    <definedName name="__APW_RESTORE_DATA447__" hidden="1">#REF!,#REF!,#REF!,#REF!,#REF!,#REF!,#REF!,#REF!,#REF!,#REF!,#REF!,#REF!,#REF!,#REF!,#REF!</definedName>
    <definedName name="__APW_RESTORE_DATA448__" hidden="1">#REF!,#REF!,#REF!,#REF!,#REF!,#REF!,#REF!,#REF!,#REF!,#REF!,#REF!,#REF!,#REF!,#REF!,#REF!</definedName>
    <definedName name="__APW_RESTORE_DATA449__" hidden="1">#REF!,#REF!,#REF!,#REF!,#REF!,#REF!,#REF!,#REF!,#REF!,#REF!,#REF!,#REF!,#REF!,#REF!,#REF!</definedName>
    <definedName name="__APW_RESTORE_DATA45__" hidden="1">#REF!,#REF!,#REF!,#REF!,#REF!,#REF!,#REF!,#REF!,#REF!,#REF!,#REF!,#REF!,#REF!,#REF!,#REF!</definedName>
    <definedName name="__APW_RESTORE_DATA450__" hidden="1">#REF!,#REF!,#REF!,#REF!,#REF!,#REF!,#REF!,#REF!,#REF!,#REF!,#REF!,#REF!,#REF!,#REF!,#REF!</definedName>
    <definedName name="__APW_RESTORE_DATA451__" hidden="1">#REF!,#REF!,#REF!,#REF!,#REF!,#REF!,#REF!,#REF!,#REF!,#REF!,#REF!,#REF!,#REF!,#REF!,#REF!</definedName>
    <definedName name="__APW_RESTORE_DATA452__" hidden="1">#REF!,#REF!,#REF!,#REF!,#REF!,#REF!,#REF!,#REF!,#REF!,#REF!,#REF!,#REF!,#REF!,#REF!,#REF!</definedName>
    <definedName name="__APW_RESTORE_DATA453__" hidden="1">#REF!,#REF!,#REF!,#REF!,#REF!,#REF!,#REF!,#REF!,#REF!,#REF!,#REF!,#REF!,#REF!,#REF!,#REF!</definedName>
    <definedName name="__APW_RESTORE_DATA454__" hidden="1">#REF!,#REF!,#REF!,#REF!,#REF!,#REF!,#REF!,#REF!,#REF!,#REF!,#REF!,#REF!,#REF!,#REF!,#REF!</definedName>
    <definedName name="__APW_RESTORE_DATA455__" hidden="1">#REF!,#REF!,#REF!,#REF!,#REF!,#REF!,#REF!,#REF!,#REF!,#REF!,#REF!,#REF!,#REF!,#REF!,#REF!</definedName>
    <definedName name="__APW_RESTORE_DATA456__" hidden="1">#REF!,#REF!,#REF!,#REF!,#REF!,#REF!,#REF!,#REF!,#REF!,#REF!,#REF!,#REF!,#REF!,#REF!,#REF!</definedName>
    <definedName name="__APW_RESTORE_DATA457__" hidden="1">#REF!,#REF!,#REF!,#REF!,#REF!,#REF!,#REF!,#REF!,#REF!,#REF!,#REF!,#REF!,#REF!,#REF!,#REF!</definedName>
    <definedName name="__APW_RESTORE_DATA458__" hidden="1">#REF!,#REF!,#REF!,#REF!,#REF!,#REF!,#REF!,#REF!,#REF!,#REF!,#REF!,#REF!,#REF!,#REF!,#REF!</definedName>
    <definedName name="__APW_RESTORE_DATA459__" hidden="1">#REF!,#REF!,#REF!,#REF!,#REF!,#REF!,#REF!,#REF!,#REF!,#REF!,#REF!,#REF!,#REF!,#REF!,#REF!</definedName>
    <definedName name="__APW_RESTORE_DATA46__" hidden="1">#REF!,#REF!,#REF!,#REF!,#REF!,#REF!,#REF!,#REF!,#REF!,#REF!,#REF!,#REF!,#REF!,#REF!,#REF!</definedName>
    <definedName name="__APW_RESTORE_DATA460__" hidden="1">#REF!,#REF!,#REF!,#REF!,#REF!,#REF!,#REF!,#REF!,#REF!,#REF!,#REF!,#REF!,#REF!,#REF!,#REF!</definedName>
    <definedName name="__APW_RESTORE_DATA461__" hidden="1">#REF!,#REF!,#REF!,#REF!,#REF!,#REF!,#REF!,#REF!,#REF!,#REF!,#REF!,#REF!,#REF!,#REF!,#REF!</definedName>
    <definedName name="__APW_RESTORE_DATA462__" hidden="1">#REF!,#REF!,#REF!,#REF!,#REF!,#REF!,#REF!,#REF!,#REF!,#REF!,#REF!,#REF!,#REF!,#REF!,#REF!</definedName>
    <definedName name="__APW_RESTORE_DATA463__" hidden="1">#REF!,#REF!,#REF!,#REF!,#REF!,#REF!,#REF!,#REF!,#REF!,#REF!,#REF!,#REF!,#REF!,#REF!,#REF!</definedName>
    <definedName name="__APW_RESTORE_DATA464__" hidden="1">#REF!,#REF!,#REF!,#REF!,#REF!,#REF!,#REF!,#REF!,#REF!,#REF!,#REF!,#REF!,#REF!,#REF!,#REF!</definedName>
    <definedName name="__APW_RESTORE_DATA465__" hidden="1">#REF!,#REF!,#REF!,#REF!,#REF!,#REF!,#REF!,#REF!,#REF!,#REF!,#REF!,#REF!,#REF!,#REF!,#REF!</definedName>
    <definedName name="__APW_RESTORE_DATA466__" hidden="1">#REF!,#REF!,#REF!,#REF!,#REF!,#REF!,#REF!,#REF!,#REF!,#REF!,#REF!,#REF!,#REF!,#REF!,#REF!</definedName>
    <definedName name="__APW_RESTORE_DATA467__" hidden="1">#REF!,#REF!,#REF!,#REF!,#REF!,#REF!,#REF!,#REF!,#REF!,#REF!,#REF!,#REF!,#REF!,#REF!,#REF!</definedName>
    <definedName name="__APW_RESTORE_DATA468__" hidden="1">#REF!,#REF!,#REF!,#REF!,#REF!,#REF!,#REF!,#REF!,#REF!,#REF!,#REF!,#REF!,#REF!,#REF!,#REF!</definedName>
    <definedName name="__APW_RESTORE_DATA469__" hidden="1">#REF!,#REF!,#REF!,#REF!,#REF!,#REF!,#REF!,#REF!,#REF!,#REF!,#REF!,#REF!,#REF!,#REF!,#REF!</definedName>
    <definedName name="__APW_RESTORE_DATA47__" hidden="1">#REF!,#REF!,#REF!,#REF!,#REF!,#REF!,#REF!,#REF!,#REF!,#REF!,#REF!,#REF!,#REF!,#REF!,#REF!</definedName>
    <definedName name="__APW_RESTORE_DATA470__" hidden="1">#REF!,#REF!,#REF!,#REF!,#REF!,#REF!,#REF!,#REF!,#REF!,#REF!,#REF!,#REF!,#REF!,#REF!,#REF!</definedName>
    <definedName name="__APW_RESTORE_DATA471__" hidden="1">#REF!,#REF!,#REF!,#REF!,#REF!,#REF!,#REF!,#REF!,#REF!,#REF!,#REF!,#REF!,#REF!,#REF!,#REF!</definedName>
    <definedName name="__APW_RESTORE_DATA472__" hidden="1">#REF!,#REF!,#REF!,#REF!,#REF!,#REF!,#REF!,#REF!,#REF!,#REF!,#REF!,#REF!,#REF!,#REF!,#REF!</definedName>
    <definedName name="__APW_RESTORE_DATA473__" hidden="1">#REF!,#REF!,#REF!,#REF!,#REF!,#REF!,#REF!,#REF!,#REF!,#REF!,#REF!,#REF!,#REF!,#REF!,#REF!</definedName>
    <definedName name="__APW_RESTORE_DATA474__" hidden="1">#REF!,#REF!,#REF!,#REF!,#REF!,#REF!,#REF!,#REF!,#REF!,#REF!,#REF!,#REF!,#REF!,#REF!,#REF!</definedName>
    <definedName name="__APW_RESTORE_DATA475__" hidden="1">#REF!,#REF!,#REF!,#REF!,#REF!,#REF!,#REF!,#REF!,#REF!,#REF!,#REF!,#REF!,#REF!,#REF!,#REF!</definedName>
    <definedName name="__APW_RESTORE_DATA476__" hidden="1">#REF!,#REF!,#REF!,#REF!,#REF!,#REF!,#REF!,#REF!,#REF!,#REF!,#REF!,#REF!,#REF!,#REF!,#REF!</definedName>
    <definedName name="__APW_RESTORE_DATA477__" hidden="1">#REF!,#REF!,#REF!,#REF!,#REF!,#REF!,#REF!,#REF!,#REF!,#REF!,#REF!,#REF!,#REF!,#REF!,#REF!</definedName>
    <definedName name="__APW_RESTORE_DATA478__" hidden="1">#REF!,#REF!,#REF!,#REF!,#REF!,#REF!,#REF!,#REF!,#REF!,#REF!,#REF!,#REF!,#REF!,#REF!,#REF!</definedName>
    <definedName name="__APW_RESTORE_DATA479__" hidden="1">#REF!,#REF!,#REF!,#REF!,#REF!,#REF!,#REF!,#REF!,#REF!,#REF!,#REF!,#REF!,#REF!,#REF!,#REF!</definedName>
    <definedName name="__APW_RESTORE_DATA48__" hidden="1">#REF!,#REF!,#REF!,#REF!,#REF!,#REF!,#REF!,#REF!,#REF!,#REF!,#REF!,#REF!,#REF!,#REF!,#REF!</definedName>
    <definedName name="__APW_RESTORE_DATA480__" hidden="1">#REF!,#REF!,#REF!,#REF!,#REF!,#REF!,#REF!,#REF!,#REF!,#REF!,#REF!,#REF!,#REF!,#REF!,#REF!</definedName>
    <definedName name="__APW_RESTORE_DATA481__" hidden="1">#REF!,#REF!,#REF!,#REF!,#REF!,#REF!,#REF!,#REF!,#REF!,#REF!,#REF!,#REF!,#REF!,#REF!,#REF!</definedName>
    <definedName name="__APW_RESTORE_DATA482__" hidden="1">#REF!,#REF!,#REF!,#REF!,#REF!,#REF!,#REF!,#REF!,#REF!,#REF!,#REF!,#REF!,#REF!,#REF!,#REF!</definedName>
    <definedName name="__APW_RESTORE_DATA483__" hidden="1">#REF!,#REF!,#REF!,#REF!,#REF!,#REF!,#REF!,#REF!,#REF!,#REF!,#REF!,#REF!,#REF!,#REF!,#REF!</definedName>
    <definedName name="__APW_RESTORE_DATA484__" hidden="1">#REF!,#REF!,#REF!,#REF!,#REF!,#REF!,#REF!,#REF!,#REF!,#REF!,#REF!,#REF!,#REF!,#REF!,#REF!</definedName>
    <definedName name="__APW_RESTORE_DATA485__" hidden="1">#REF!,#REF!,#REF!,#REF!,#REF!,#REF!,#REF!,#REF!,#REF!,#REF!,#REF!,#REF!,#REF!,#REF!,#REF!</definedName>
    <definedName name="__APW_RESTORE_DATA486__" hidden="1">#REF!,#REF!,#REF!,#REF!,#REF!,#REF!,#REF!,#REF!,#REF!,#REF!,#REF!,#REF!,#REF!,#REF!</definedName>
    <definedName name="__APW_RESTORE_DATA487__" hidden="1">#REF!,#REF!,#REF!,#REF!,#REF!,#REF!,#REF!,#REF!,#REF!,#REF!,#REF!,#REF!,#REF!,#REF!</definedName>
    <definedName name="__APW_RESTORE_DATA488__" hidden="1">#REF!,#REF!,#REF!,#REF!,#REF!,#REF!,#REF!,#REF!,#REF!,#REF!,#REF!,#REF!,#REF!,#REF!</definedName>
    <definedName name="__APW_RESTORE_DATA489__" hidden="1">#REF!,#REF!,#REF!,#REF!,#REF!,#REF!,#REF!,#REF!,#REF!,#REF!,#REF!,#REF!,#REF!,#REF!</definedName>
    <definedName name="__APW_RESTORE_DATA49__" hidden="1">#REF!,#REF!,#REF!,#REF!,#REF!,#REF!,#REF!,#REF!,#REF!,#REF!,#REF!,#REF!,#REF!,#REF!,#REF!</definedName>
    <definedName name="__APW_RESTORE_DATA490__" hidden="1">#REF!,#REF!,#REF!,#REF!,#REF!,#REF!,#REF!,#REF!,#REF!,#REF!,#REF!,#REF!,#REF!,#REF!</definedName>
    <definedName name="__APW_RESTORE_DATA491__" hidden="1">#REF!,#REF!,#REF!,#REF!,#REF!,#REF!,#REF!,#REF!,#REF!,#REF!,#REF!,#REF!,#REF!,#REF!</definedName>
    <definedName name="__APW_RESTORE_DATA492__" hidden="1">#REF!,#REF!,#REF!,#REF!,#REF!,#REF!,#REF!,#REF!,#REF!,#REF!,#REF!,#REF!,#REF!,#REF!</definedName>
    <definedName name="__APW_RESTORE_DATA493__" hidden="1">#REF!,#REF!,#REF!,#REF!,#REF!,#REF!,#REF!,#REF!,#REF!,#REF!,#REF!,#REF!,#REF!,#REF!</definedName>
    <definedName name="__APW_RESTORE_DATA494__" hidden="1">#REF!,#REF!,#REF!,#REF!,#REF!,#REF!,#REF!,#REF!,#REF!,#REF!,#REF!,#REF!,#REF!,#REF!</definedName>
    <definedName name="__APW_RESTORE_DATA495__" hidden="1">#REF!,#REF!,#REF!,#REF!,#REF!,#REF!,#REF!,#REF!,#REF!,#REF!,#REF!,#REF!,#REF!,#REF!</definedName>
    <definedName name="__APW_RESTORE_DATA496__" hidden="1">#REF!,#REF!,#REF!,#REF!,#REF!,#REF!,#REF!,#REF!,#REF!,#REF!,#REF!,#REF!,#REF!,#REF!</definedName>
    <definedName name="__APW_RESTORE_DATA497__" hidden="1">#REF!,#REF!,#REF!,#REF!,#REF!,#REF!,#REF!,#REF!,#REF!,#REF!,#REF!,#REF!,#REF!,#REF!</definedName>
    <definedName name="__APW_RESTORE_DATA498__" hidden="1">#REF!,#REF!,#REF!,#REF!,#REF!,#REF!,#REF!,#REF!,#REF!,#REF!,#REF!,#REF!,#REF!,#REF!</definedName>
    <definedName name="__APW_RESTORE_DATA499__" hidden="1">#REF!,#REF!,#REF!,#REF!,#REF!,#REF!,#REF!,#REF!,#REF!,#REF!,#REF!,#REF!,#REF!,#REF!</definedName>
    <definedName name="__APW_RESTORE_DATA5__" hidden="1">#REF!,#REF!,#REF!,#REF!,#REF!,#REF!,#REF!,#REF!,#REF!,#REF!,#REF!,#REF!,#REF!,#REF!,#REF!,#REF!</definedName>
    <definedName name="__APW_RESTORE_DATA50__" hidden="1">#REF!,#REF!,#REF!,#REF!,#REF!,#REF!,#REF!,#REF!,#REF!,#REF!,#REF!,#REF!,#REF!,#REF!,#REF!</definedName>
    <definedName name="__APW_RESTORE_DATA500__" hidden="1">#REF!,#REF!,#REF!,#REF!,#REF!,#REF!,#REF!,#REF!,#REF!,#REF!,#REF!,#REF!,#REF!,#REF!</definedName>
    <definedName name="__APW_RESTORE_DATA501__" hidden="1">#REF!,#REF!,#REF!,#REF!,#REF!,#REF!,#REF!,#REF!,#REF!,#REF!,#REF!,#REF!,#REF!,#REF!</definedName>
    <definedName name="__APW_RESTORE_DATA502__" hidden="1">#REF!,#REF!,#REF!,#REF!,#REF!,#REF!,#REF!,#REF!,#REF!,#REF!,#REF!,#REF!,#REF!,#REF!</definedName>
    <definedName name="__APW_RESTORE_DATA503__" hidden="1">#REF!,#REF!,#REF!,#REF!,#REF!,#REF!,#REF!,#REF!,#REF!,#REF!,#REF!,#REF!,#REF!,#REF!</definedName>
    <definedName name="__APW_RESTORE_DATA504__" hidden="1">#REF!,#REF!,#REF!,#REF!,#REF!,#REF!,#REF!,#REF!,#REF!,#REF!,#REF!,#REF!,#REF!,#REF!</definedName>
    <definedName name="__APW_RESTORE_DATA505__" hidden="1">#REF!,#REF!,#REF!,#REF!,#REF!,#REF!,#REF!,#REF!,#REF!,#REF!,#REF!,#REF!,#REF!,#REF!</definedName>
    <definedName name="__APW_RESTORE_DATA506__" hidden="1">#REF!,#REF!,#REF!,#REF!,#REF!,#REF!,#REF!,#REF!,#REF!,#REF!,#REF!,#REF!,#REF!,#REF!</definedName>
    <definedName name="__APW_RESTORE_DATA507__" hidden="1">#REF!,#REF!,#REF!,#REF!,#REF!,#REF!,#REF!,#REF!,#REF!,#REF!,#REF!,#REF!,#REF!,#REF!</definedName>
    <definedName name="__APW_RESTORE_DATA508__" hidden="1">#REF!,#REF!,#REF!,#REF!,#REF!,#REF!,#REF!,#REF!,#REF!,#REF!,#REF!,#REF!,#REF!,#REF!</definedName>
    <definedName name="__APW_RESTORE_DATA509__" hidden="1">#REF!,#REF!,#REF!,#REF!,#REF!,#REF!,#REF!,#REF!,#REF!,#REF!,#REF!,#REF!,#REF!,#REF!</definedName>
    <definedName name="__APW_RESTORE_DATA51__" hidden="1">#REF!,#REF!,#REF!,#REF!,#REF!,#REF!,#REF!,#REF!,#REF!,#REF!,#REF!,#REF!,#REF!,#REF!,#REF!</definedName>
    <definedName name="__APW_RESTORE_DATA510__" hidden="1">#REF!,#REF!,#REF!,#REF!,#REF!,#REF!,#REF!,#REF!,#REF!,#REF!,#REF!,#REF!,#REF!,#REF!</definedName>
    <definedName name="__APW_RESTORE_DATA511__" hidden="1">#REF!,#REF!,#REF!,#REF!,#REF!,#REF!,#REF!,#REF!,#REF!,#REF!,#REF!,#REF!,#REF!,#REF!</definedName>
    <definedName name="__APW_RESTORE_DATA512__" hidden="1">#REF!,#REF!,#REF!,#REF!,#REF!,#REF!,#REF!,#REF!,#REF!,#REF!,#REF!,#REF!,#REF!,#REF!</definedName>
    <definedName name="__APW_RESTORE_DATA513__" hidden="1">#REF!,#REF!,#REF!,#REF!,#REF!,#REF!,#REF!,#REF!,#REF!,#REF!,#REF!,#REF!,#REF!,#REF!</definedName>
    <definedName name="__APW_RESTORE_DATA514__" hidden="1">#REF!,#REF!,#REF!,#REF!,#REF!,#REF!,#REF!,#REF!,#REF!,#REF!,#REF!,#REF!,#REF!,#REF!</definedName>
    <definedName name="__APW_RESTORE_DATA515__" hidden="1">#REF!,#REF!,#REF!,#REF!,#REF!,#REF!,#REF!,#REF!,#REF!,#REF!,#REF!,#REF!,#REF!,#REF!</definedName>
    <definedName name="__APW_RESTORE_DATA516__" hidden="1">#REF!,#REF!,#REF!,#REF!,#REF!,#REF!,#REF!,#REF!,#REF!,#REF!,#REF!,#REF!,#REF!,#REF!</definedName>
    <definedName name="__APW_RESTORE_DATA517__" hidden="1">#REF!,#REF!,#REF!,#REF!,#REF!,#REF!,#REF!,#REF!,#REF!,#REF!,#REF!,#REF!,#REF!,#REF!</definedName>
    <definedName name="__APW_RESTORE_DATA518__" hidden="1">#REF!,#REF!,#REF!,#REF!,#REF!,#REF!,#REF!,#REF!,#REF!,#REF!,#REF!,#REF!,#REF!,#REF!</definedName>
    <definedName name="__APW_RESTORE_DATA519__" hidden="1">#REF!,#REF!,#REF!,#REF!,#REF!,#REF!,#REF!,#REF!,#REF!,#REF!,#REF!,#REF!,#REF!,#REF!</definedName>
    <definedName name="__APW_RESTORE_DATA52__" hidden="1">#REF!,#REF!,#REF!,#REF!,#REF!,#REF!,#REF!,#REF!,#REF!,#REF!,#REF!,#REF!,#REF!,#REF!,#REF!</definedName>
    <definedName name="__APW_RESTORE_DATA520__" hidden="1">#REF!,#REF!,#REF!,#REF!,#REF!,#REF!,#REF!,#REF!,#REF!,#REF!,#REF!,#REF!,#REF!,#REF!</definedName>
    <definedName name="__APW_RESTORE_DATA521__" hidden="1">#REF!,#REF!,#REF!,#REF!,#REF!,#REF!,#REF!,#REF!,#REF!,#REF!,#REF!,#REF!,#REF!,#REF!</definedName>
    <definedName name="__APW_RESTORE_DATA522__" hidden="1">#REF!,#REF!,#REF!,#REF!,#REF!,#REF!,#REF!,#REF!,#REF!,#REF!,#REF!,#REF!,#REF!,#REF!</definedName>
    <definedName name="__APW_RESTORE_DATA523__" hidden="1">#REF!</definedName>
    <definedName name="__APW_RESTORE_DATA524__" hidden="1">#REF!,#REF!,#REF!,#REF!,#REF!,#REF!,#REF!,#REF!,#REF!,#REF!,#REF!,#REF!,#REF!,#REF!,#REF!,#REF!,#REF!</definedName>
    <definedName name="__APW_RESTORE_DATA525__" hidden="1">#REF!,#REF!,#REF!,#REF!,#REF!,#REF!,#REF!,#REF!,#REF!,#REF!,#REF!,#REF!,#REF!,#REF!,#REF!,#REF!</definedName>
    <definedName name="__APW_RESTORE_DATA526__" hidden="1">#REF!,#REF!,#REF!,#REF!,#REF!,#REF!,#REF!,#REF!,#REF!,#REF!,#REF!,#REF!,#REF!,#REF!,#REF!,#REF!</definedName>
    <definedName name="__APW_RESTORE_DATA527__" hidden="1">#REF!,#REF!,#REF!,#REF!,#REF!,#REF!,#REF!,#REF!,#REF!,#REF!,#REF!,#REF!,#REF!,#REF!,#REF!,#REF!</definedName>
    <definedName name="__APW_RESTORE_DATA528__" hidden="1">#REF!,#REF!,#REF!,#REF!,#REF!,#REF!,#REF!,#REF!,#REF!,#REF!,#REF!,#REF!,#REF!,#REF!,#REF!,#REF!</definedName>
    <definedName name="__APW_RESTORE_DATA529__" hidden="1">#REF!,#REF!,#REF!,#REF!,#REF!,#REF!,#REF!,#REF!,#REF!,#REF!,#REF!,#REF!,#REF!,#REF!,#REF!,#REF!</definedName>
    <definedName name="__APW_RESTORE_DATA53__" hidden="1">#REF!,#REF!,#REF!,#REF!,#REF!,#REF!,#REF!,#REF!,#REF!,#REF!,#REF!,#REF!,#REF!,#REF!,#REF!</definedName>
    <definedName name="__APW_RESTORE_DATA530__" hidden="1">#REF!,#REF!,#REF!,#REF!,#REF!,#REF!,#REF!,#REF!,#REF!,#REF!,#REF!,#REF!,#REF!,#REF!,#REF!</definedName>
    <definedName name="__APW_RESTORE_DATA531__" hidden="1">#REF!,#REF!,#REF!,#REF!,#REF!,#REF!,#REF!,#REF!,#REF!,#REF!,#REF!,#REF!,#REF!,#REF!,#REF!</definedName>
    <definedName name="__APW_RESTORE_DATA532__" hidden="1">#REF!,#REF!,#REF!,#REF!,#REF!,#REF!,#REF!,#REF!,#REF!,#REF!,#REF!,#REF!,#REF!,#REF!,#REF!</definedName>
    <definedName name="__APW_RESTORE_DATA533__" hidden="1">#REF!,#REF!,#REF!,#REF!,#REF!,#REF!,#REF!,#REF!,#REF!,#REF!,#REF!,#REF!,#REF!,#REF!,#REF!</definedName>
    <definedName name="__APW_RESTORE_DATA534__" hidden="1">#REF!,#REF!,#REF!,#REF!,#REF!,#REF!,#REF!,#REF!,#REF!,#REF!,#REF!,#REF!,#REF!,#REF!,#REF!</definedName>
    <definedName name="__APW_RESTORE_DATA535__" hidden="1">#REF!,#REF!,#REF!,#REF!,#REF!,#REF!,#REF!,#REF!,#REF!,#REF!,#REF!,#REF!,#REF!,#REF!,#REF!</definedName>
    <definedName name="__APW_RESTORE_DATA536__" hidden="1">#REF!,#REF!,#REF!,#REF!,#REF!,#REF!,#REF!,#REF!,#REF!,#REF!,#REF!,#REF!,#REF!,#REF!,#REF!</definedName>
    <definedName name="__APW_RESTORE_DATA537__" hidden="1">#REF!,#REF!,#REF!,#REF!,#REF!,#REF!,#REF!,#REF!,#REF!,#REF!,#REF!,#REF!,#REF!,#REF!,#REF!</definedName>
    <definedName name="__APW_RESTORE_DATA538__" hidden="1">#REF!,#REF!,#REF!,#REF!,#REF!,#REF!,#REF!,#REF!,#REF!,#REF!,#REF!,#REF!,#REF!,#REF!,#REF!</definedName>
    <definedName name="__APW_RESTORE_DATA539__" hidden="1">#REF!,#REF!,#REF!,#REF!,#REF!,#REF!,#REF!,#REF!,#REF!,#REF!,#REF!,#REF!,#REF!,#REF!,#REF!</definedName>
    <definedName name="__APW_RESTORE_DATA54__" hidden="1">#REF!,#REF!,#REF!,#REF!,#REF!,#REF!,#REF!,#REF!,#REF!,#REF!,#REF!,#REF!,#REF!,#REF!,#REF!</definedName>
    <definedName name="__APW_RESTORE_DATA540__" hidden="1">#REF!,#REF!,#REF!,#REF!,#REF!,#REF!,#REF!,#REF!,#REF!,#REF!,#REF!,#REF!,#REF!,#REF!,#REF!</definedName>
    <definedName name="__APW_RESTORE_DATA541__" hidden="1">#REF!,#REF!,#REF!,#REF!,#REF!,#REF!,#REF!,#REF!,#REF!,#REF!,#REF!,#REF!,#REF!,#REF!,#REF!</definedName>
    <definedName name="__APW_RESTORE_DATA542__" hidden="1">#REF!,#REF!,#REF!,#REF!,#REF!,#REF!,#REF!,#REF!,#REF!,#REF!,#REF!,#REF!,#REF!,#REF!,#REF!</definedName>
    <definedName name="__APW_RESTORE_DATA543__" hidden="1">#REF!,#REF!,#REF!,#REF!,#REF!,#REF!,#REF!,#REF!,#REF!,#REF!,#REF!,#REF!,#REF!,#REF!,#REF!</definedName>
    <definedName name="__APW_RESTORE_DATA544__" hidden="1">#REF!,#REF!,#REF!,#REF!,#REF!,#REF!,#REF!,#REF!,#REF!,#REF!,#REF!,#REF!,#REF!,#REF!,#REF!</definedName>
    <definedName name="__APW_RESTORE_DATA545__" hidden="1">#REF!,#REF!,#REF!,#REF!,#REF!,#REF!,#REF!,#REF!,#REF!,#REF!,#REF!,#REF!,#REF!,#REF!,#REF!</definedName>
    <definedName name="__APW_RESTORE_DATA546__" hidden="1">#REF!,#REF!,#REF!,#REF!,#REF!,#REF!,#REF!,#REF!,#REF!,#REF!,#REF!,#REF!,#REF!,#REF!,#REF!</definedName>
    <definedName name="__APW_RESTORE_DATA547__" hidden="1">#REF!,#REF!,#REF!,#REF!,#REF!,#REF!,#REF!,#REF!,#REF!,#REF!,#REF!,#REF!,#REF!,#REF!,#REF!</definedName>
    <definedName name="__APW_RESTORE_DATA548__" hidden="1">#REF!,#REF!,#REF!,#REF!,#REF!,#REF!,#REF!,#REF!,#REF!,#REF!,#REF!,#REF!,#REF!,#REF!,#REF!</definedName>
    <definedName name="__APW_RESTORE_DATA549__" hidden="1">#REF!,#REF!,#REF!,#REF!,#REF!,#REF!,#REF!,#REF!,#REF!,#REF!,#REF!,#REF!,#REF!,#REF!,#REF!</definedName>
    <definedName name="__APW_RESTORE_DATA55__" hidden="1">#REF!,#REF!,#REF!,#REF!,#REF!,#REF!,#REF!,#REF!,#REF!,#REF!,#REF!,#REF!,#REF!,#REF!,#REF!</definedName>
    <definedName name="__APW_RESTORE_DATA550__" hidden="1">#REF!,#REF!,#REF!,#REF!,#REF!,#REF!,#REF!,#REF!,#REF!,#REF!,#REF!,#REF!,#REF!,#REF!,#REF!</definedName>
    <definedName name="__APW_RESTORE_DATA551__" hidden="1">#REF!,#REF!,#REF!,#REF!,#REF!,#REF!,#REF!,#REF!,#REF!,#REF!,#REF!,#REF!,#REF!,#REF!,#REF!</definedName>
    <definedName name="__APW_RESTORE_DATA552__" hidden="1">#REF!,#REF!,#REF!,#REF!,#REF!,#REF!,#REF!,#REF!,#REF!,#REF!,#REF!,#REF!,#REF!,#REF!,#REF!</definedName>
    <definedName name="__APW_RESTORE_DATA553__" hidden="1">#REF!,#REF!,#REF!,#REF!,#REF!,#REF!,#REF!,#REF!,#REF!,#REF!,#REF!,#REF!,#REF!,#REF!,#REF!</definedName>
    <definedName name="__APW_RESTORE_DATA554__" hidden="1">#REF!,#REF!,#REF!,#REF!,#REF!,#REF!,#REF!,#REF!,#REF!,#REF!,#REF!,#REF!,#REF!,#REF!,#REF!</definedName>
    <definedName name="__APW_RESTORE_DATA555__" hidden="1">#REF!,#REF!,#REF!,#REF!,#REF!,#REF!,#REF!,#REF!,#REF!,#REF!,#REF!,#REF!,#REF!,#REF!,#REF!</definedName>
    <definedName name="__APW_RESTORE_DATA556__" hidden="1">#REF!,#REF!,#REF!,#REF!,#REF!,#REF!,#REF!,#REF!,#REF!,#REF!,#REF!,#REF!,#REF!,#REF!,#REF!</definedName>
    <definedName name="__APW_RESTORE_DATA557__" hidden="1">#REF!,#REF!,#REF!,#REF!,#REF!,#REF!,#REF!,#REF!,#REF!,#REF!,#REF!,#REF!,#REF!,#REF!,#REF!</definedName>
    <definedName name="__APW_RESTORE_DATA558__" hidden="1">#REF!,#REF!,#REF!,#REF!,#REF!,#REF!,#REF!,#REF!,#REF!,#REF!,#REF!,#REF!,#REF!,#REF!,#REF!</definedName>
    <definedName name="__APW_RESTORE_DATA559__" hidden="1">#REF!,#REF!,#REF!,#REF!,#REF!,#REF!,#REF!,#REF!,#REF!,#REF!,#REF!,#REF!,#REF!,#REF!,#REF!</definedName>
    <definedName name="__APW_RESTORE_DATA56__" hidden="1">#REF!,#REF!,#REF!,#REF!,#REF!,#REF!,#REF!,#REF!,#REF!,#REF!,#REF!,#REF!,#REF!,#REF!,#REF!</definedName>
    <definedName name="__APW_RESTORE_DATA560__" hidden="1">#REF!,#REF!,#REF!,#REF!,#REF!,#REF!,#REF!,#REF!,#REF!,#REF!,#REF!,#REF!,#REF!,#REF!,#REF!</definedName>
    <definedName name="__APW_RESTORE_DATA561__" hidden="1">#REF!,#REF!,#REF!,#REF!,#REF!,#REF!,#REF!,#REF!,#REF!,#REF!,#REF!,#REF!,#REF!,#REF!,#REF!</definedName>
    <definedName name="__APW_RESTORE_DATA562__" hidden="1">#REF!,#REF!,#REF!,#REF!,#REF!,#REF!,#REF!,#REF!,#REF!,#REF!,#REF!,#REF!,#REF!,#REF!,#REF!</definedName>
    <definedName name="__APW_RESTORE_DATA563__" hidden="1">#REF!,#REF!,#REF!,#REF!,#REF!,#REF!,#REF!,#REF!,#REF!,#REF!,#REF!,#REF!,#REF!,#REF!,#REF!</definedName>
    <definedName name="__APW_RESTORE_DATA564__" hidden="1">#REF!,#REF!,#REF!,#REF!,#REF!,#REF!,#REF!,#REF!,#REF!,#REF!,#REF!,#REF!,#REF!,#REF!,#REF!</definedName>
    <definedName name="__APW_RESTORE_DATA565__" hidden="1">#REF!,#REF!,#REF!,#REF!,#REF!,#REF!,#REF!,#REF!,#REF!,#REF!,#REF!,#REF!,#REF!,#REF!,#REF!</definedName>
    <definedName name="__APW_RESTORE_DATA566__" hidden="1">#REF!,#REF!,#REF!,#REF!,#REF!,#REF!,#REF!,#REF!,#REF!,#REF!,#REF!,#REF!,#REF!,#REF!,#REF!</definedName>
    <definedName name="__APW_RESTORE_DATA567__" hidden="1">#REF!,#REF!,#REF!,#REF!,#REF!,#REF!,#REF!,#REF!,#REF!,#REF!,#REF!,#REF!,#REF!,#REF!,#REF!</definedName>
    <definedName name="__APW_RESTORE_DATA568__" hidden="1">#REF!,#REF!,#REF!,#REF!,#REF!,#REF!,#REF!,#REF!,#REF!,#REF!,#REF!,#REF!,#REF!,#REF!,#REF!</definedName>
    <definedName name="__APW_RESTORE_DATA569__" hidden="1">#REF!,#REF!,#REF!,#REF!,#REF!,#REF!,#REF!,#REF!,#REF!,#REF!,#REF!,#REF!,#REF!,#REF!,#REF!</definedName>
    <definedName name="__APW_RESTORE_DATA57__" hidden="1">#REF!,#REF!,#REF!,#REF!,#REF!,#REF!,#REF!,#REF!,#REF!,#REF!,#REF!,#REF!,#REF!,#REF!,#REF!</definedName>
    <definedName name="__APW_RESTORE_DATA570__" hidden="1">#REF!,#REF!,#REF!,#REF!,#REF!,#REF!,#REF!,#REF!,#REF!,#REF!,#REF!,#REF!,#REF!,#REF!,#REF!</definedName>
    <definedName name="__APW_RESTORE_DATA571__" hidden="1">#REF!,#REF!,#REF!,#REF!,#REF!,#REF!,#REF!,#REF!,#REF!,#REF!,#REF!,#REF!,#REF!,#REF!,#REF!</definedName>
    <definedName name="__APW_RESTORE_DATA572__" hidden="1">#REF!,#REF!,#REF!,#REF!,#REF!,#REF!,#REF!,#REF!,#REF!,#REF!,#REF!,#REF!,#REF!,#REF!,#REF!</definedName>
    <definedName name="__APW_RESTORE_DATA573__" hidden="1">#REF!,#REF!,#REF!,#REF!,#REF!,#REF!,#REF!,#REF!,#REF!,#REF!,#REF!,#REF!,#REF!,#REF!,#REF!</definedName>
    <definedName name="__APW_RESTORE_DATA574__" hidden="1">#REF!,#REF!,#REF!,#REF!,#REF!,#REF!,#REF!,#REF!,#REF!,#REF!,#REF!,#REF!,#REF!,#REF!,#REF!</definedName>
    <definedName name="__APW_RESTORE_DATA575__" hidden="1">#REF!,#REF!,#REF!,#REF!,#REF!,#REF!,#REF!,#REF!,#REF!,#REF!,#REF!,#REF!,#REF!,#REF!,#REF!</definedName>
    <definedName name="__APW_RESTORE_DATA576__" hidden="1">#REF!,#REF!,#REF!,#REF!,#REF!,#REF!,#REF!,#REF!,#REF!,#REF!,#REF!,#REF!,#REF!,#REF!,#REF!</definedName>
    <definedName name="__APW_RESTORE_DATA577__" hidden="1">#REF!,#REF!,#REF!,#REF!,#REF!,#REF!,#REF!,#REF!,#REF!,#REF!,#REF!,#REF!,#REF!,#REF!,#REF!</definedName>
    <definedName name="__APW_RESTORE_DATA578__" hidden="1">#REF!,#REF!,#REF!,#REF!,#REF!,#REF!,#REF!,#REF!,#REF!,#REF!,#REF!,#REF!,#REF!,#REF!,#REF!</definedName>
    <definedName name="__APW_RESTORE_DATA579__" hidden="1">#REF!,#REF!,#REF!,#REF!,#REF!,#REF!,#REF!,#REF!,#REF!,#REF!,#REF!,#REF!,#REF!,#REF!,#REF!</definedName>
    <definedName name="__APW_RESTORE_DATA58__" hidden="1">#REF!,#REF!,#REF!,#REF!,#REF!,#REF!,#REF!,#REF!,#REF!,#REF!,#REF!,#REF!,#REF!,#REF!,#REF!</definedName>
    <definedName name="__APW_RESTORE_DATA580__" hidden="1">#REF!,#REF!,#REF!,#REF!,#REF!,#REF!,#REF!,#REF!,#REF!,#REF!,#REF!,#REF!,#REF!,#REF!,#REF!</definedName>
    <definedName name="__APW_RESTORE_DATA581__" hidden="1">#REF!,#REF!,#REF!,#REF!,#REF!,#REF!,#REF!,#REF!,#REF!,#REF!,#REF!,#REF!,#REF!,#REF!,#REF!</definedName>
    <definedName name="__APW_RESTORE_DATA582__" hidden="1">#REF!,#REF!,#REF!,#REF!,#REF!,#REF!,#REF!,#REF!,#REF!,#REF!,#REF!,#REF!,#REF!,#REF!,#REF!</definedName>
    <definedName name="__APW_RESTORE_DATA583__" hidden="1">#REF!,#REF!,#REF!,#REF!,#REF!,#REF!,#REF!,#REF!,#REF!,#REF!,#REF!,#REF!,#REF!,#REF!,#REF!</definedName>
    <definedName name="__APW_RESTORE_DATA584__" hidden="1">#REF!,#REF!,#REF!,#REF!,#REF!,#REF!,#REF!,#REF!,#REF!,#REF!,#REF!,#REF!,#REF!,#REF!,#REF!</definedName>
    <definedName name="__APW_RESTORE_DATA585__" hidden="1">#REF!,#REF!,#REF!,#REF!,#REF!,#REF!,#REF!,#REF!,#REF!,#REF!,#REF!,#REF!,#REF!,#REF!,#REF!</definedName>
    <definedName name="__APW_RESTORE_DATA586__" hidden="1">#REF!,#REF!,#REF!,#REF!,#REF!,#REF!,#REF!,#REF!,#REF!,#REF!,#REF!,#REF!,#REF!,#REF!,#REF!</definedName>
    <definedName name="__APW_RESTORE_DATA587__" hidden="1">#REF!,#REF!,#REF!,#REF!,#REF!,#REF!,#REF!,#REF!,#REF!,#REF!,#REF!,#REF!,#REF!,#REF!,#REF!</definedName>
    <definedName name="__APW_RESTORE_DATA588__" hidden="1">#REF!,#REF!,#REF!,#REF!,#REF!,#REF!,#REF!,#REF!,#REF!,#REF!,#REF!,#REF!,#REF!,#REF!,#REF!</definedName>
    <definedName name="__APW_RESTORE_DATA589__" hidden="1">#REF!,#REF!,#REF!,#REF!,#REF!,#REF!,#REF!,#REF!,#REF!,#REF!,#REF!,#REF!,#REF!,#REF!,#REF!</definedName>
    <definedName name="__APW_RESTORE_DATA59__" hidden="1">#REF!,#REF!,#REF!,#REF!,#REF!,#REF!,#REF!,#REF!,#REF!,#REF!,#REF!,#REF!,#REF!,#REF!,#REF!</definedName>
    <definedName name="__APW_RESTORE_DATA590__" hidden="1">#REF!,#REF!,#REF!,#REF!,#REF!,#REF!,#REF!,#REF!,#REF!,#REF!,#REF!,#REF!,#REF!,#REF!</definedName>
    <definedName name="__APW_RESTORE_DATA591__" hidden="1">#REF!,#REF!,#REF!,#REF!,#REF!,#REF!,#REF!,#REF!,#REF!,#REF!,#REF!,#REF!,#REF!,#REF!</definedName>
    <definedName name="__APW_RESTORE_DATA592__" hidden="1">#REF!,#REF!,#REF!,#REF!,#REF!,#REF!,#REF!,#REF!,#REF!,#REF!,#REF!,#REF!,#REF!,#REF!</definedName>
    <definedName name="__APW_RESTORE_DATA593__" hidden="1">#REF!,#REF!,#REF!,#REF!,#REF!,#REF!,#REF!,#REF!,#REF!,#REF!,#REF!,#REF!,#REF!,#REF!</definedName>
    <definedName name="__APW_RESTORE_DATA594__" hidden="1">#REF!,#REF!,#REF!,#REF!,#REF!,#REF!,#REF!,#REF!,#REF!,#REF!,#REF!,#REF!,#REF!,#REF!</definedName>
    <definedName name="__APW_RESTORE_DATA595__" hidden="1">#REF!,#REF!,#REF!,#REF!,#REF!,#REF!,#REF!,#REF!,#REF!,#REF!,#REF!,#REF!,#REF!,#REF!</definedName>
    <definedName name="__APW_RESTORE_DATA596__" hidden="1">#REF!,#REF!,#REF!,#REF!,#REF!,#REF!,#REF!,#REF!,#REF!,#REF!,#REF!,#REF!,#REF!,#REF!</definedName>
    <definedName name="__APW_RESTORE_DATA597__" hidden="1">#REF!,#REF!,#REF!,#REF!,#REF!,#REF!,#REF!,#REF!,#REF!,#REF!,#REF!,#REF!,#REF!,#REF!</definedName>
    <definedName name="__APW_RESTORE_DATA598__" hidden="1">#REF!,#REF!,#REF!,#REF!,#REF!,#REF!,#REF!,#REF!,#REF!,#REF!,#REF!,#REF!,#REF!,#REF!</definedName>
    <definedName name="__APW_RESTORE_DATA599__" hidden="1">#REF!,#REF!,#REF!,#REF!,#REF!,#REF!,#REF!,#REF!,#REF!,#REF!,#REF!,#REF!,#REF!,#REF!</definedName>
    <definedName name="__APW_RESTORE_DATA6__" hidden="1">#REF!,#REF!,#REF!,#REF!,#REF!,#REF!,#REF!,#REF!,#REF!,#REF!,#REF!,#REF!,#REF!,#REF!,#REF!,#REF!</definedName>
    <definedName name="__APW_RESTORE_DATA60__" hidden="1">#REF!,#REF!,#REF!,#REF!,#REF!,#REF!,#REF!,#REF!,#REF!,#REF!,#REF!,#REF!,#REF!,#REF!,#REF!</definedName>
    <definedName name="__APW_RESTORE_DATA600__" hidden="1">#REF!,#REF!,#REF!,#REF!,#REF!,#REF!,#REF!,#REF!,#REF!,#REF!,#REF!,#REF!,#REF!,#REF!</definedName>
    <definedName name="__APW_RESTORE_DATA601__" hidden="1">#REF!,#REF!,#REF!,#REF!,#REF!,#REF!,#REF!,#REF!,#REF!,#REF!,#REF!,#REF!,#REF!,#REF!</definedName>
    <definedName name="__APW_RESTORE_DATA602__" hidden="1">#REF!,#REF!,#REF!,#REF!,#REF!,#REF!,#REF!,#REF!,#REF!,#REF!,#REF!,#REF!,#REF!,#REF!</definedName>
    <definedName name="__APW_RESTORE_DATA603__" hidden="1">#REF!,#REF!,#REF!,#REF!,#REF!,#REF!,#REF!,#REF!,#REF!,#REF!,#REF!,#REF!,#REF!,#REF!</definedName>
    <definedName name="__APW_RESTORE_DATA604__" hidden="1">#REF!,#REF!,#REF!,#REF!,#REF!,#REF!,#REF!,#REF!,#REF!,#REF!,#REF!,#REF!,#REF!,#REF!</definedName>
    <definedName name="__APW_RESTORE_DATA605__" hidden="1">#REF!,#REF!,#REF!,#REF!,#REF!,#REF!,#REF!,#REF!,#REF!,#REF!,#REF!,#REF!,#REF!,#REF!</definedName>
    <definedName name="__APW_RESTORE_DATA606__" hidden="1">#REF!,#REF!,#REF!,#REF!,#REF!,#REF!,#REF!,#REF!,#REF!,#REF!,#REF!,#REF!,#REF!,#REF!</definedName>
    <definedName name="__APW_RESTORE_DATA607__" hidden="1">#REF!,#REF!,#REF!,#REF!,#REF!,#REF!,#REF!,#REF!,#REF!,#REF!,#REF!,#REF!,#REF!,#REF!</definedName>
    <definedName name="__APW_RESTORE_DATA608__" hidden="1">#REF!,#REF!,#REF!,#REF!,#REF!,#REF!,#REF!,#REF!,#REF!,#REF!,#REF!,#REF!,#REF!,#REF!</definedName>
    <definedName name="__APW_RESTORE_DATA609__" hidden="1">#REF!,#REF!,#REF!,#REF!,#REF!,#REF!,#REF!,#REF!,#REF!,#REF!,#REF!,#REF!,#REF!,#REF!</definedName>
    <definedName name="__APW_RESTORE_DATA61__" hidden="1">#REF!,#REF!,#REF!,#REF!,#REF!,#REF!,#REF!,#REF!,#REF!,#REF!,#REF!,#REF!,#REF!,#REF!,#REF!</definedName>
    <definedName name="__APW_RESTORE_DATA610__" hidden="1">#REF!,#REF!,#REF!,#REF!,#REF!,#REF!,#REF!,#REF!,#REF!,#REF!,#REF!,#REF!,#REF!,#REF!</definedName>
    <definedName name="__APW_RESTORE_DATA611__" hidden="1">#REF!,#REF!,#REF!,#REF!,#REF!,#REF!,#REF!,#REF!,#REF!,#REF!,#REF!,#REF!,#REF!,#REF!</definedName>
    <definedName name="__APW_RESTORE_DATA612__" hidden="1">#REF!,#REF!,#REF!,#REF!,#REF!,#REF!,#REF!,#REF!,#REF!,#REF!,#REF!,#REF!,#REF!,#REF!</definedName>
    <definedName name="__APW_RESTORE_DATA613__" hidden="1">#REF!,#REF!,#REF!,#REF!,#REF!,#REF!,#REF!,#REF!,#REF!,#REF!,#REF!,#REF!,#REF!,#REF!</definedName>
    <definedName name="__APW_RESTORE_DATA614__" hidden="1">#REF!,#REF!,#REF!,#REF!,#REF!,#REF!,#REF!,#REF!,#REF!,#REF!,#REF!,#REF!,#REF!,#REF!</definedName>
    <definedName name="__APW_RESTORE_DATA615__" hidden="1">#REF!,#REF!,#REF!,#REF!,#REF!,#REF!,#REF!,#REF!,#REF!,#REF!,#REF!,#REF!,#REF!,#REF!</definedName>
    <definedName name="__APW_RESTORE_DATA616__" hidden="1">#REF!,#REF!,#REF!,#REF!,#REF!,#REF!,#REF!,#REF!,#REF!,#REF!,#REF!,#REF!,#REF!,#REF!</definedName>
    <definedName name="__APW_RESTORE_DATA617__" hidden="1">#REF!,#REF!,#REF!,#REF!,#REF!,#REF!,#REF!,#REF!,#REF!,#REF!,#REF!,#REF!,#REF!,#REF!</definedName>
    <definedName name="__APW_RESTORE_DATA618__" hidden="1">#REF!,#REF!,#REF!,#REF!,#REF!,#REF!,#REF!,#REF!,#REF!,#REF!,#REF!,#REF!,#REF!,#REF!</definedName>
    <definedName name="__APW_RESTORE_DATA619__" hidden="1">#REF!,#REF!,#REF!,#REF!,#REF!,#REF!,#REF!,#REF!,#REF!,#REF!,#REF!,#REF!,#REF!,#REF!</definedName>
    <definedName name="__APW_RESTORE_DATA62__" hidden="1">#REF!,#REF!,#REF!,#REF!,#REF!,#REF!,#REF!,#REF!,#REF!,#REF!,#REF!,#REF!,#REF!,#REF!,#REF!</definedName>
    <definedName name="__APW_RESTORE_DATA620__" hidden="1">#REF!,#REF!,#REF!,#REF!,#REF!,#REF!,#REF!,#REF!,#REF!,#REF!,#REF!,#REF!,#REF!,#REF!</definedName>
    <definedName name="__APW_RESTORE_DATA621__" hidden="1">#REF!,#REF!,#REF!,#REF!,#REF!,#REF!,#REF!,#REF!,#REF!,#REF!,#REF!,#REF!,#REF!,#REF!</definedName>
    <definedName name="__APW_RESTORE_DATA622__" hidden="1">#REF!,#REF!,#REF!,#REF!,#REF!,#REF!,#REF!,#REF!,#REF!,#REF!,#REF!,#REF!,#REF!,#REF!</definedName>
    <definedName name="__APW_RESTORE_DATA623__" hidden="1">#REF!,#REF!,#REF!,#REF!,#REF!,#REF!,#REF!,#REF!,#REF!,#REF!,#REF!,#REF!,#REF!,#REF!</definedName>
    <definedName name="__APW_RESTORE_DATA624__" hidden="1">#REF!,#REF!,#REF!,#REF!,#REF!,#REF!,#REF!,#REF!,#REF!,#REF!,#REF!,#REF!,#REF!,#REF!</definedName>
    <definedName name="__APW_RESTORE_DATA625__" hidden="1">#REF!,#REF!,#REF!,#REF!,#REF!,#REF!,#REF!,#REF!,#REF!,#REF!,#REF!,#REF!,#REF!,#REF!</definedName>
    <definedName name="__APW_RESTORE_DATA626__" hidden="1">#REF!,#REF!,#REF!,#REF!,#REF!,#REF!,#REF!,#REF!,#REF!,#REF!,#REF!,#REF!,#REF!,#REF!</definedName>
    <definedName name="__APW_RESTORE_DATA627__" hidden="1">#REF!</definedName>
    <definedName name="__APW_RESTORE_DATA628__" hidden="1">#REF!,#REF!,#REF!,#REF!,#REF!,#REF!,#REF!,#REF!,#REF!,#REF!,#REF!,#REF!,#REF!,#REF!,#REF!,#REF!,#REF!</definedName>
    <definedName name="__APW_RESTORE_DATA629__" hidden="1">#REF!,#REF!,#REF!,#REF!,#REF!,#REF!,#REF!,#REF!,#REF!,#REF!,#REF!,#REF!,#REF!,#REF!,#REF!,#REF!</definedName>
    <definedName name="__APW_RESTORE_DATA63__" hidden="1">#REF!,#REF!,#REF!,#REF!,#REF!,#REF!,#REF!,#REF!,#REF!,#REF!,#REF!,#REF!,#REF!,#REF!,#REF!</definedName>
    <definedName name="__APW_RESTORE_DATA630__" hidden="1">#REF!,#REF!,#REF!,#REF!,#REF!,#REF!,#REF!,#REF!,#REF!,#REF!,#REF!,#REF!,#REF!,#REF!,#REF!,#REF!</definedName>
    <definedName name="__APW_RESTORE_DATA631__" hidden="1">#REF!,#REF!,#REF!,#REF!,#REF!,#REF!,#REF!,#REF!,#REF!,#REF!,#REF!,#REF!,#REF!,#REF!,#REF!,#REF!</definedName>
    <definedName name="__APW_RESTORE_DATA632__" hidden="1">#REF!,#REF!,#REF!,#REF!,#REF!,#REF!,#REF!,#REF!,#REF!,#REF!,#REF!,#REF!,#REF!,#REF!,#REF!,#REF!</definedName>
    <definedName name="__APW_RESTORE_DATA633__" hidden="1">#REF!,#REF!,#REF!,#REF!,#REF!,#REF!,#REF!,#REF!,#REF!,#REF!,#REF!,#REF!,#REF!,#REF!,#REF!,#REF!</definedName>
    <definedName name="__APW_RESTORE_DATA634__" hidden="1">#REF!,#REF!,#REF!,#REF!,#REF!,#REF!,#REF!,#REF!,#REF!,#REF!,#REF!,#REF!,#REF!,#REF!,#REF!</definedName>
    <definedName name="__APW_RESTORE_DATA635__" hidden="1">#REF!,#REF!,#REF!,#REF!,#REF!,#REF!,#REF!,#REF!,#REF!,#REF!,#REF!,#REF!,#REF!,#REF!,#REF!</definedName>
    <definedName name="__APW_RESTORE_DATA636__" hidden="1">#REF!,#REF!,#REF!,#REF!,#REF!,#REF!,#REF!,#REF!,#REF!,#REF!,#REF!,#REF!,#REF!,#REF!,#REF!</definedName>
    <definedName name="__APW_RESTORE_DATA637__" hidden="1">#REF!,#REF!,#REF!,#REF!,#REF!,#REF!,#REF!,#REF!,#REF!,#REF!,#REF!,#REF!,#REF!,#REF!,#REF!</definedName>
    <definedName name="__APW_RESTORE_DATA638__" hidden="1">#REF!,#REF!,#REF!,#REF!,#REF!,#REF!,#REF!,#REF!,#REF!,#REF!,#REF!,#REF!,#REF!,#REF!,#REF!</definedName>
    <definedName name="__APW_RESTORE_DATA639__" hidden="1">#REF!,#REF!,#REF!,#REF!,#REF!,#REF!,#REF!,#REF!,#REF!,#REF!,#REF!,#REF!,#REF!,#REF!,#REF!</definedName>
    <definedName name="__APW_RESTORE_DATA64__" hidden="1">#REF!,#REF!,#REF!,#REF!,#REF!,#REF!,#REF!,#REF!,#REF!,#REF!,#REF!,#REF!,#REF!,#REF!,#REF!</definedName>
    <definedName name="__APW_RESTORE_DATA640__" hidden="1">#REF!,#REF!,#REF!,#REF!,#REF!,#REF!,#REF!,#REF!,#REF!,#REF!,#REF!,#REF!,#REF!,#REF!,#REF!</definedName>
    <definedName name="__APW_RESTORE_DATA641__" hidden="1">#REF!,#REF!,#REF!,#REF!,#REF!,#REF!,#REF!,#REF!,#REF!,#REF!,#REF!,#REF!,#REF!,#REF!,#REF!</definedName>
    <definedName name="__APW_RESTORE_DATA642__" hidden="1">#REF!,#REF!,#REF!,#REF!,#REF!,#REF!,#REF!,#REF!,#REF!,#REF!,#REF!,#REF!,#REF!,#REF!,#REF!</definedName>
    <definedName name="__APW_RESTORE_DATA643__" hidden="1">#REF!,#REF!,#REF!,#REF!,#REF!,#REF!,#REF!,#REF!,#REF!,#REF!,#REF!,#REF!,#REF!,#REF!,#REF!</definedName>
    <definedName name="__APW_RESTORE_DATA644__" hidden="1">#REF!,#REF!,#REF!,#REF!,#REF!,#REF!,#REF!,#REF!,#REF!,#REF!,#REF!,#REF!,#REF!,#REF!,#REF!</definedName>
    <definedName name="__APW_RESTORE_DATA645__" hidden="1">#REF!,#REF!,#REF!,#REF!,#REF!,#REF!,#REF!,#REF!,#REF!,#REF!,#REF!,#REF!,#REF!,#REF!,#REF!</definedName>
    <definedName name="__APW_RESTORE_DATA646__" hidden="1">#REF!,#REF!,#REF!,#REF!,#REF!,#REF!,#REF!,#REF!,#REF!,#REF!,#REF!,#REF!,#REF!,#REF!,#REF!</definedName>
    <definedName name="__APW_RESTORE_DATA647__" hidden="1">#REF!,#REF!,#REF!,#REF!,#REF!,#REF!,#REF!,#REF!,#REF!,#REF!,#REF!,#REF!,#REF!,#REF!,#REF!</definedName>
    <definedName name="__APW_RESTORE_DATA648__" hidden="1">#REF!,#REF!,#REF!,#REF!,#REF!,#REF!,#REF!,#REF!,#REF!,#REF!,#REF!,#REF!,#REF!,#REF!,#REF!</definedName>
    <definedName name="__APW_RESTORE_DATA649__" hidden="1">#REF!,#REF!,#REF!,#REF!,#REF!,#REF!,#REF!,#REF!,#REF!,#REF!,#REF!,#REF!,#REF!,#REF!,#REF!</definedName>
    <definedName name="__APW_RESTORE_DATA65__" hidden="1">#REF!,#REF!,#REF!,#REF!,#REF!,#REF!,#REF!,#REF!,#REF!,#REF!,#REF!,#REF!,#REF!,#REF!,#REF!</definedName>
    <definedName name="__APW_RESTORE_DATA650__" hidden="1">#REF!,#REF!,#REF!,#REF!,#REF!,#REF!,#REF!,#REF!,#REF!,#REF!,#REF!,#REF!,#REF!,#REF!,#REF!</definedName>
    <definedName name="__APW_RESTORE_DATA651__" hidden="1">#REF!,#REF!,#REF!,#REF!,#REF!,#REF!,#REF!,#REF!,#REF!,#REF!,#REF!,#REF!,#REF!,#REF!,#REF!</definedName>
    <definedName name="__APW_RESTORE_DATA652__" hidden="1">#REF!,#REF!,#REF!,#REF!,#REF!,#REF!,#REF!,#REF!,#REF!,#REF!,#REF!,#REF!,#REF!,#REF!,#REF!</definedName>
    <definedName name="__APW_RESTORE_DATA653__" hidden="1">#REF!,#REF!,#REF!,#REF!,#REF!,#REF!,#REF!,#REF!,#REF!,#REF!,#REF!,#REF!,#REF!,#REF!,#REF!</definedName>
    <definedName name="__APW_RESTORE_DATA654__" hidden="1">#REF!,#REF!,#REF!,#REF!,#REF!,#REF!,#REF!,#REF!,#REF!,#REF!,#REF!,#REF!,#REF!,#REF!,#REF!</definedName>
    <definedName name="__APW_RESTORE_DATA655__" hidden="1">#REF!,#REF!,#REF!,#REF!,#REF!,#REF!,#REF!,#REF!,#REF!,#REF!,#REF!,#REF!,#REF!,#REF!,#REF!</definedName>
    <definedName name="__APW_RESTORE_DATA656__" hidden="1">#REF!,#REF!,#REF!,#REF!,#REF!,#REF!,#REF!,#REF!,#REF!,#REF!,#REF!,#REF!,#REF!,#REF!,#REF!</definedName>
    <definedName name="__APW_RESTORE_DATA657__" hidden="1">#REF!,#REF!,#REF!,#REF!,#REF!,#REF!,#REF!,#REF!,#REF!,#REF!,#REF!,#REF!,#REF!,#REF!,#REF!</definedName>
    <definedName name="__APW_RESTORE_DATA658__" hidden="1">#REF!,#REF!,#REF!,#REF!,#REF!,#REF!,#REF!,#REF!,#REF!,#REF!,#REF!,#REF!,#REF!,#REF!,#REF!</definedName>
    <definedName name="__APW_RESTORE_DATA659__" hidden="1">#REF!,#REF!,#REF!,#REF!,#REF!,#REF!,#REF!,#REF!,#REF!,#REF!,#REF!,#REF!,#REF!,#REF!,#REF!</definedName>
    <definedName name="__APW_RESTORE_DATA66__" hidden="1">#REF!,#REF!,#REF!,#REF!,#REF!,#REF!,#REF!,#REF!,#REF!,#REF!,#REF!,#REF!,#REF!,#REF!,#REF!</definedName>
    <definedName name="__APW_RESTORE_DATA660__" hidden="1">#REF!,#REF!,#REF!,#REF!,#REF!,#REF!,#REF!,#REF!,#REF!,#REF!,#REF!,#REF!,#REF!,#REF!,#REF!</definedName>
    <definedName name="__APW_RESTORE_DATA661__" hidden="1">#REF!,#REF!,#REF!,#REF!,#REF!,#REF!,#REF!,#REF!,#REF!,#REF!,#REF!,#REF!,#REF!,#REF!,#REF!</definedName>
    <definedName name="__APW_RESTORE_DATA662__" hidden="1">#REF!,#REF!,#REF!,#REF!,#REF!,#REF!,#REF!,#REF!,#REF!,#REF!,#REF!,#REF!,#REF!,#REF!,#REF!</definedName>
    <definedName name="__APW_RESTORE_DATA663__" hidden="1">#REF!,#REF!,#REF!,#REF!,#REF!,#REF!,#REF!,#REF!,#REF!,#REF!,#REF!,#REF!,#REF!,#REF!,#REF!</definedName>
    <definedName name="__APW_RESTORE_DATA664__" hidden="1">#REF!,#REF!,#REF!,#REF!,#REF!,#REF!,#REF!,#REF!,#REF!,#REF!,#REF!,#REF!,#REF!,#REF!,#REF!</definedName>
    <definedName name="__APW_RESTORE_DATA665__" hidden="1">#REF!,#REF!,#REF!,#REF!,#REF!,#REF!,#REF!,#REF!,#REF!,#REF!,#REF!,#REF!,#REF!,#REF!,#REF!</definedName>
    <definedName name="__APW_RESTORE_DATA666__" hidden="1">#REF!,#REF!,#REF!,#REF!,#REF!,#REF!,#REF!,#REF!,#REF!,#REF!,#REF!,#REF!,#REF!,#REF!,#REF!</definedName>
    <definedName name="__APW_RESTORE_DATA667__" hidden="1">#REF!,#REF!,#REF!,#REF!,#REF!,#REF!,#REF!,#REF!,#REF!,#REF!,#REF!,#REF!,#REF!,#REF!,#REF!</definedName>
    <definedName name="__APW_RESTORE_DATA668__" hidden="1">#REF!,#REF!,#REF!,#REF!,#REF!,#REF!,#REF!,#REF!,#REF!,#REF!,#REF!,#REF!,#REF!,#REF!,#REF!</definedName>
    <definedName name="__APW_RESTORE_DATA669__" hidden="1">#REF!,#REF!,#REF!,#REF!,#REF!,#REF!,#REF!,#REF!,#REF!,#REF!,#REF!,#REF!,#REF!,#REF!,#REF!</definedName>
    <definedName name="__APW_RESTORE_DATA67__" hidden="1">#REF!,#REF!,#REF!,#REF!,#REF!,#REF!,#REF!,#REF!,#REF!,#REF!,#REF!,#REF!,#REF!,#REF!,#REF!</definedName>
    <definedName name="__APW_RESTORE_DATA670__" hidden="1">#REF!,#REF!,#REF!,#REF!,#REF!,#REF!,#REF!,#REF!,#REF!,#REF!,#REF!,#REF!,#REF!,#REF!,#REF!</definedName>
    <definedName name="__APW_RESTORE_DATA671__" hidden="1">#REF!,#REF!,#REF!,#REF!,#REF!,#REF!,#REF!,#REF!,#REF!,#REF!,#REF!,#REF!,#REF!,#REF!,#REF!</definedName>
    <definedName name="__APW_RESTORE_DATA672__" hidden="1">#REF!,#REF!,#REF!,#REF!,#REF!,#REF!,#REF!,#REF!,#REF!,#REF!,#REF!,#REF!,#REF!,#REF!,#REF!</definedName>
    <definedName name="__APW_RESTORE_DATA673__" hidden="1">#REF!,#REF!,#REF!,#REF!,#REF!,#REF!,#REF!,#REF!,#REF!,#REF!,#REF!,#REF!,#REF!,#REF!,#REF!</definedName>
    <definedName name="__APW_RESTORE_DATA674__" hidden="1">#REF!,#REF!,#REF!,#REF!,#REF!,#REF!,#REF!,#REF!,#REF!,#REF!,#REF!,#REF!,#REF!,#REF!,#REF!</definedName>
    <definedName name="__APW_RESTORE_DATA675__" hidden="1">#REF!,#REF!,#REF!,#REF!,#REF!,#REF!,#REF!,#REF!,#REF!,#REF!,#REF!,#REF!,#REF!,#REF!,#REF!</definedName>
    <definedName name="__APW_RESTORE_DATA676__" hidden="1">#REF!,#REF!,#REF!,#REF!,#REF!,#REF!,#REF!,#REF!,#REF!,#REF!,#REF!,#REF!,#REF!,#REF!,#REF!</definedName>
    <definedName name="__APW_RESTORE_DATA677__" hidden="1">#REF!,#REF!,#REF!,#REF!,#REF!,#REF!,#REF!,#REF!,#REF!,#REF!,#REF!,#REF!,#REF!,#REF!,#REF!</definedName>
    <definedName name="__APW_RESTORE_DATA678__" hidden="1">#REF!,#REF!,#REF!,#REF!,#REF!,#REF!,#REF!,#REF!,#REF!,#REF!,#REF!,#REF!,#REF!,#REF!,#REF!</definedName>
    <definedName name="__APW_RESTORE_DATA679__" hidden="1">#REF!,#REF!,#REF!,#REF!,#REF!,#REF!,#REF!,#REF!,#REF!,#REF!,#REF!,#REF!,#REF!,#REF!,#REF!</definedName>
    <definedName name="__APW_RESTORE_DATA68__" hidden="1">#REF!,#REF!,#REF!,#REF!,#REF!,#REF!,#REF!,#REF!,#REF!,#REF!,#REF!,#REF!,#REF!,#REF!,#REF!</definedName>
    <definedName name="__APW_RESTORE_DATA680__" hidden="1">#REF!,#REF!,#REF!,#REF!,#REF!,#REF!,#REF!,#REF!,#REF!,#REF!,#REF!,#REF!,#REF!,#REF!,#REF!</definedName>
    <definedName name="__APW_RESTORE_DATA681__" hidden="1">#REF!,#REF!,#REF!,#REF!,#REF!,#REF!,#REF!,#REF!,#REF!,#REF!,#REF!,#REF!,#REF!,#REF!,#REF!</definedName>
    <definedName name="__APW_RESTORE_DATA682__" hidden="1">#REF!,#REF!,#REF!,#REF!,#REF!,#REF!,#REF!,#REF!,#REF!,#REF!,#REF!,#REF!,#REF!,#REF!,#REF!</definedName>
    <definedName name="__APW_RESTORE_DATA683__" hidden="1">#REF!,#REF!,#REF!,#REF!,#REF!,#REF!,#REF!,#REF!,#REF!,#REF!,#REF!,#REF!,#REF!,#REF!,#REF!</definedName>
    <definedName name="__APW_RESTORE_DATA684__" hidden="1">#REF!,#REF!,#REF!,#REF!,#REF!,#REF!,#REF!,#REF!,#REF!,#REF!,#REF!,#REF!,#REF!,#REF!,#REF!</definedName>
    <definedName name="__APW_RESTORE_DATA685__" hidden="1">#REF!,#REF!,#REF!,#REF!,#REF!,#REF!,#REF!,#REF!,#REF!,#REF!,#REF!,#REF!,#REF!,#REF!,#REF!</definedName>
    <definedName name="__APW_RESTORE_DATA686__" hidden="1">#REF!,#REF!,#REF!,#REF!,#REF!,#REF!,#REF!,#REF!,#REF!,#REF!,#REF!,#REF!,#REF!,#REF!,#REF!</definedName>
    <definedName name="__APW_RESTORE_DATA687__" hidden="1">#REF!,#REF!,#REF!,#REF!,#REF!,#REF!,#REF!,#REF!,#REF!,#REF!,#REF!,#REF!,#REF!,#REF!,#REF!</definedName>
    <definedName name="__APW_RESTORE_DATA688__" hidden="1">#REF!,#REF!,#REF!,#REF!,#REF!,#REF!,#REF!,#REF!,#REF!,#REF!,#REF!,#REF!,#REF!,#REF!,#REF!</definedName>
    <definedName name="__APW_RESTORE_DATA689__" hidden="1">#REF!,#REF!,#REF!,#REF!,#REF!,#REF!,#REF!,#REF!,#REF!,#REF!,#REF!,#REF!,#REF!,#REF!,#REF!</definedName>
    <definedName name="__APW_RESTORE_DATA69__" hidden="1">#REF!,#REF!,#REF!,#REF!,#REF!,#REF!,#REF!,#REF!,#REF!,#REF!,#REF!,#REF!,#REF!,#REF!,#REF!</definedName>
    <definedName name="__APW_RESTORE_DATA690__" hidden="1">#REF!,#REF!,#REF!,#REF!,#REF!,#REF!,#REF!,#REF!,#REF!,#REF!,#REF!,#REF!,#REF!,#REF!,#REF!</definedName>
    <definedName name="__APW_RESTORE_DATA691__" hidden="1">#REF!,#REF!,#REF!,#REF!,#REF!,#REF!,#REF!,#REF!,#REF!,#REF!,#REF!,#REF!,#REF!,#REF!,#REF!</definedName>
    <definedName name="__APW_RESTORE_DATA692__" hidden="1">#REF!,#REF!,#REF!,#REF!,#REF!,#REF!,#REF!,#REF!,#REF!,#REF!,#REF!,#REF!,#REF!,#REF!,#REF!</definedName>
    <definedName name="__APW_RESTORE_DATA693__" hidden="1">#REF!,#REF!,#REF!,#REF!,#REF!,#REF!,#REF!,#REF!,#REF!,#REF!,#REF!,#REF!,#REF!,#REF!,#REF!</definedName>
    <definedName name="__APW_RESTORE_DATA694__" hidden="1">#REF!,#REF!,#REF!,#REF!,#REF!,#REF!,#REF!,#REF!,#REF!,#REF!,#REF!,#REF!,#REF!,#REF!</definedName>
    <definedName name="__APW_RESTORE_DATA695__" hidden="1">#REF!,#REF!,#REF!,#REF!,#REF!,#REF!,#REF!,#REF!,#REF!,#REF!,#REF!,#REF!,#REF!,#REF!</definedName>
    <definedName name="__APW_RESTORE_DATA696__" hidden="1">#REF!,#REF!,#REF!,#REF!,#REF!,#REF!,#REF!,#REF!,#REF!,#REF!,#REF!,#REF!,#REF!,#REF!</definedName>
    <definedName name="__APW_RESTORE_DATA697__" hidden="1">#REF!,#REF!,#REF!,#REF!,#REF!,#REF!,#REF!,#REF!,#REF!,#REF!,#REF!,#REF!,#REF!,#REF!</definedName>
    <definedName name="__APW_RESTORE_DATA698__" hidden="1">#REF!,#REF!,#REF!,#REF!,#REF!,#REF!,#REF!,#REF!,#REF!,#REF!,#REF!,#REF!,#REF!,#REF!</definedName>
    <definedName name="__APW_RESTORE_DATA699__" hidden="1">#REF!,#REF!,#REF!,#REF!,#REF!,#REF!,#REF!,#REF!,#REF!,#REF!,#REF!,#REF!,#REF!,#REF!</definedName>
    <definedName name="__APW_RESTORE_DATA7__" hidden="1">#REF!,#REF!,#REF!,#REF!,#REF!,#REF!,#REF!,#REF!,#REF!,#REF!,#REF!,#REF!,#REF!,#REF!,#REF!,#REF!</definedName>
    <definedName name="__APW_RESTORE_DATA70__" hidden="1">#REF!,#REF!,#REF!,#REF!,#REF!,#REF!,#REF!,#REF!,#REF!,#REF!,#REF!,#REF!,#REF!,#REF!</definedName>
    <definedName name="__APW_RESTORE_DATA700__" hidden="1">#REF!,#REF!,#REF!,#REF!,#REF!,#REF!,#REF!,#REF!,#REF!,#REF!,#REF!,#REF!,#REF!,#REF!</definedName>
    <definedName name="__APW_RESTORE_DATA701__" hidden="1">#REF!,#REF!,#REF!,#REF!,#REF!,#REF!,#REF!,#REF!,#REF!,#REF!,#REF!,#REF!,#REF!,#REF!</definedName>
    <definedName name="__APW_RESTORE_DATA702__" hidden="1">#REF!,#REF!,#REF!,#REF!,#REF!,#REF!,#REF!,#REF!,#REF!,#REF!,#REF!,#REF!,#REF!,#REF!</definedName>
    <definedName name="__APW_RESTORE_DATA703__" hidden="1">#REF!,#REF!,#REF!,#REF!,#REF!,#REF!,#REF!,#REF!,#REF!,#REF!,#REF!,#REF!,#REF!,#REF!</definedName>
    <definedName name="__APW_RESTORE_DATA704__" hidden="1">#REF!,#REF!,#REF!,#REF!,#REF!,#REF!,#REF!,#REF!,#REF!,#REF!,#REF!,#REF!,#REF!,#REF!</definedName>
    <definedName name="__APW_RESTORE_DATA705__" hidden="1">#REF!,#REF!,#REF!,#REF!,#REF!,#REF!,#REF!,#REF!,#REF!,#REF!,#REF!,#REF!,#REF!,#REF!</definedName>
    <definedName name="__APW_RESTORE_DATA706__" hidden="1">#REF!,#REF!,#REF!,#REF!,#REF!,#REF!,#REF!,#REF!,#REF!,#REF!,#REF!,#REF!,#REF!,#REF!</definedName>
    <definedName name="__APW_RESTORE_DATA707__" hidden="1">#REF!,#REF!,#REF!,#REF!,#REF!,#REF!,#REF!,#REF!,#REF!,#REF!,#REF!,#REF!,#REF!,#REF!</definedName>
    <definedName name="__APW_RESTORE_DATA708__" hidden="1">#REF!,#REF!,#REF!,#REF!,#REF!,#REF!,#REF!,#REF!,#REF!,#REF!,#REF!,#REF!,#REF!,#REF!</definedName>
    <definedName name="__APW_RESTORE_DATA709__" hidden="1">#REF!,#REF!,#REF!,#REF!,#REF!,#REF!,#REF!,#REF!,#REF!,#REF!,#REF!,#REF!,#REF!,#REF!</definedName>
    <definedName name="__APW_RESTORE_DATA71__" hidden="1">#REF!,#REF!,#REF!,#REF!,#REF!,#REF!,#REF!,#REF!,#REF!,#REF!,#REF!,#REF!,#REF!,#REF!</definedName>
    <definedName name="__APW_RESTORE_DATA710__" hidden="1">#REF!,#REF!,#REF!,#REF!,#REF!,#REF!,#REF!,#REF!,#REF!,#REF!,#REF!,#REF!,#REF!,#REF!</definedName>
    <definedName name="__APW_RESTORE_DATA711__" hidden="1">#REF!,#REF!,#REF!,#REF!,#REF!,#REF!,#REF!,#REF!,#REF!,#REF!,#REF!,#REF!,#REF!,#REF!</definedName>
    <definedName name="__APW_RESTORE_DATA712__" hidden="1">#REF!,#REF!,#REF!,#REF!,#REF!,#REF!,#REF!,#REF!,#REF!,#REF!,#REF!,#REF!,#REF!,#REF!</definedName>
    <definedName name="__APW_RESTORE_DATA713__" hidden="1">#REF!,#REF!,#REF!,#REF!,#REF!,#REF!,#REF!,#REF!,#REF!,#REF!,#REF!,#REF!,#REF!,#REF!</definedName>
    <definedName name="__APW_RESTORE_DATA714__" hidden="1">#REF!,#REF!,#REF!,#REF!,#REF!,#REF!,#REF!,#REF!,#REF!,#REF!,#REF!,#REF!,#REF!,#REF!</definedName>
    <definedName name="__APW_RESTORE_DATA715__" hidden="1">#REF!,#REF!,#REF!,#REF!,#REF!,#REF!,#REF!,#REF!,#REF!,#REF!,#REF!,#REF!,#REF!,#REF!</definedName>
    <definedName name="__APW_RESTORE_DATA716__" hidden="1">#REF!,#REF!,#REF!,#REF!,#REF!,#REF!,#REF!,#REF!,#REF!,#REF!,#REF!,#REF!,#REF!,#REF!</definedName>
    <definedName name="__APW_RESTORE_DATA717__" hidden="1">#REF!,#REF!,#REF!,#REF!,#REF!,#REF!,#REF!,#REF!,#REF!,#REF!,#REF!,#REF!,#REF!,#REF!</definedName>
    <definedName name="__APW_RESTORE_DATA718__" hidden="1">#REF!,#REF!,#REF!,#REF!,#REF!,#REF!,#REF!,#REF!,#REF!,#REF!,#REF!,#REF!,#REF!,#REF!</definedName>
    <definedName name="__APW_RESTORE_DATA719__" hidden="1">#REF!,#REF!,#REF!,#REF!,#REF!,#REF!,#REF!,#REF!,#REF!,#REF!,#REF!,#REF!,#REF!,#REF!</definedName>
    <definedName name="__APW_RESTORE_DATA72__" hidden="1">#REF!,#REF!,#REF!,#REF!,#REF!,#REF!,#REF!,#REF!,#REF!,#REF!,#REF!,#REF!,#REF!,#REF!</definedName>
    <definedName name="__APW_RESTORE_DATA720__" hidden="1">#REF!,#REF!,#REF!,#REF!,#REF!,#REF!,#REF!,#REF!,#REF!,#REF!,#REF!,#REF!,#REF!,#REF!</definedName>
    <definedName name="__APW_RESTORE_DATA721__" hidden="1">#REF!,#REF!,#REF!,#REF!,#REF!,#REF!,#REF!,#REF!,#REF!,#REF!,#REF!,#REF!,#REF!,#REF!</definedName>
    <definedName name="__APW_RESTORE_DATA722__" hidden="1">#REF!,#REF!,#REF!,#REF!,#REF!,#REF!,#REF!,#REF!,#REF!,#REF!,#REF!,#REF!,#REF!,#REF!</definedName>
    <definedName name="__APW_RESTORE_DATA723__" hidden="1">#REF!,#REF!,#REF!,#REF!,#REF!,#REF!,#REF!,#REF!,#REF!,#REF!,#REF!,#REF!,#REF!,#REF!</definedName>
    <definedName name="__APW_RESTORE_DATA724__" hidden="1">#REF!,#REF!,#REF!,#REF!,#REF!,#REF!,#REF!,#REF!,#REF!,#REF!,#REF!,#REF!,#REF!,#REF!</definedName>
    <definedName name="__APW_RESTORE_DATA725__" hidden="1">#REF!,#REF!,#REF!,#REF!,#REF!,#REF!,#REF!,#REF!,#REF!,#REF!,#REF!,#REF!,#REF!,#REF!</definedName>
    <definedName name="__APW_RESTORE_DATA726__" hidden="1">#REF!,#REF!,#REF!,#REF!,#REF!,#REF!,#REF!,#REF!,#REF!,#REF!,#REF!,#REF!,#REF!,#REF!</definedName>
    <definedName name="__APW_RESTORE_DATA727__" hidden="1">#REF!,#REF!,#REF!,#REF!,#REF!,#REF!,#REF!,#REF!,#REF!,#REF!,#REF!,#REF!,#REF!,#REF!</definedName>
    <definedName name="__APW_RESTORE_DATA728__" hidden="1">#REF!,#REF!,#REF!,#REF!,#REF!,#REF!,#REF!,#REF!,#REF!,#REF!,#REF!,#REF!,#REF!,#REF!</definedName>
    <definedName name="__APW_RESTORE_DATA729__" hidden="1">#REF!,#REF!,#REF!,#REF!,#REF!,#REF!,#REF!,#REF!,#REF!,#REF!,#REF!,#REF!,#REF!,#REF!</definedName>
    <definedName name="__APW_RESTORE_DATA73__" hidden="1">#REF!,#REF!,#REF!,#REF!,#REF!,#REF!,#REF!,#REF!,#REF!,#REF!,#REF!,#REF!,#REF!,#REF!</definedName>
    <definedName name="__APW_RESTORE_DATA730__" hidden="1">#REF!,#REF!,#REF!,#REF!,#REF!,#REF!,#REF!,#REF!,#REF!,#REF!,#REF!,#REF!,#REF!,#REF!</definedName>
    <definedName name="__APW_RESTORE_DATA731__" hidden="1">#REF!</definedName>
    <definedName name="__APW_RESTORE_DATA732__" hidden="1">#REF!,#REF!,#REF!,#REF!,#REF!,#REF!,#REF!,#REF!,#REF!,#REF!,#REF!,#REF!,#REF!,#REF!,#REF!,#REF!,#REF!</definedName>
    <definedName name="__APW_RESTORE_DATA733__" hidden="1">#REF!,#REF!,#REF!,#REF!,#REF!,#REF!,#REF!,#REF!,#REF!,#REF!,#REF!,#REF!,#REF!,#REF!,#REF!,#REF!</definedName>
    <definedName name="__APW_RESTORE_DATA734__" hidden="1">#REF!,#REF!,#REF!,#REF!,#REF!,#REF!,#REF!,#REF!,#REF!,#REF!,#REF!,#REF!,#REF!,#REF!,#REF!,#REF!</definedName>
    <definedName name="__APW_RESTORE_DATA735__" hidden="1">#REF!,#REF!,#REF!,#REF!,#REF!,#REF!,#REF!,#REF!,#REF!,#REF!,#REF!,#REF!,#REF!,#REF!,#REF!,#REF!</definedName>
    <definedName name="__APW_RESTORE_DATA736__" hidden="1">#REF!,#REF!,#REF!,#REF!,#REF!,#REF!,#REF!,#REF!,#REF!,#REF!,#REF!,#REF!,#REF!,#REF!,#REF!,#REF!</definedName>
    <definedName name="__APW_RESTORE_DATA737__" hidden="1">#REF!,#REF!,#REF!,#REF!,#REF!,#REF!,#REF!,#REF!,#REF!,#REF!,#REF!,#REF!,#REF!,#REF!,#REF!,#REF!</definedName>
    <definedName name="__APW_RESTORE_DATA738__" hidden="1">#REF!,#REF!,#REF!,#REF!,#REF!,#REF!,#REF!,#REF!,#REF!,#REF!,#REF!,#REF!,#REF!,#REF!,#REF!</definedName>
    <definedName name="__APW_RESTORE_DATA739__" hidden="1">#REF!,#REF!,#REF!,#REF!,#REF!,#REF!,#REF!,#REF!,#REF!,#REF!,#REF!,#REF!,#REF!,#REF!,#REF!</definedName>
    <definedName name="__APW_RESTORE_DATA74__" hidden="1">#REF!,#REF!,#REF!,#REF!,#REF!,#REF!,#REF!,#REF!,#REF!,#REF!,#REF!,#REF!,#REF!,#REF!</definedName>
    <definedName name="__APW_RESTORE_DATA740__" hidden="1">#REF!,#REF!,#REF!,#REF!,#REF!,#REF!,#REF!,#REF!,#REF!,#REF!,#REF!,#REF!,#REF!,#REF!,#REF!</definedName>
    <definedName name="__APW_RESTORE_DATA741__" hidden="1">#REF!,#REF!,#REF!,#REF!,#REF!,#REF!,#REF!,#REF!,#REF!,#REF!,#REF!,#REF!,#REF!,#REF!,#REF!</definedName>
    <definedName name="__APW_RESTORE_DATA742__" hidden="1">#REF!,#REF!,#REF!,#REF!,#REF!,#REF!,#REF!,#REF!,#REF!,#REF!,#REF!,#REF!,#REF!,#REF!,#REF!</definedName>
    <definedName name="__APW_RESTORE_DATA743__" hidden="1">#REF!,#REF!,#REF!,#REF!,#REF!,#REF!,#REF!,#REF!,#REF!,#REF!,#REF!,#REF!,#REF!,#REF!,#REF!</definedName>
    <definedName name="__APW_RESTORE_DATA744__" hidden="1">#REF!,#REF!,#REF!,#REF!,#REF!,#REF!,#REF!,#REF!,#REF!,#REF!,#REF!,#REF!,#REF!,#REF!,#REF!</definedName>
    <definedName name="__APW_RESTORE_DATA745__" hidden="1">#REF!,#REF!,#REF!,#REF!,#REF!,#REF!,#REF!,#REF!,#REF!,#REF!,#REF!,#REF!,#REF!,#REF!,#REF!</definedName>
    <definedName name="__APW_RESTORE_DATA746__" hidden="1">#REF!,#REF!,#REF!,#REF!,#REF!,#REF!,#REF!,#REF!,#REF!,#REF!,#REF!,#REF!,#REF!,#REF!,#REF!</definedName>
    <definedName name="__APW_RESTORE_DATA747__" hidden="1">#REF!,#REF!,#REF!,#REF!,#REF!,#REF!,#REF!,#REF!,#REF!,#REF!,#REF!,#REF!,#REF!,#REF!,#REF!</definedName>
    <definedName name="__APW_RESTORE_DATA748__" hidden="1">#REF!,#REF!,#REF!,#REF!,#REF!,#REF!,#REF!,#REF!,#REF!,#REF!,#REF!,#REF!,#REF!,#REF!,#REF!</definedName>
    <definedName name="__APW_RESTORE_DATA749__" hidden="1">#REF!,#REF!,#REF!,#REF!,#REF!,#REF!,#REF!,#REF!,#REF!,#REF!,#REF!,#REF!,#REF!,#REF!,#REF!</definedName>
    <definedName name="__APW_RESTORE_DATA75__" hidden="1">#REF!,#REF!,#REF!,#REF!,#REF!,#REF!,#REF!,#REF!,#REF!,#REF!,#REF!,#REF!,#REF!,#REF!</definedName>
    <definedName name="__APW_RESTORE_DATA750__" hidden="1">#REF!,#REF!,#REF!,#REF!,#REF!,#REF!,#REF!,#REF!,#REF!,#REF!,#REF!,#REF!,#REF!,#REF!,#REF!</definedName>
    <definedName name="__APW_RESTORE_DATA751__" hidden="1">#REF!,#REF!,#REF!,#REF!,#REF!,#REF!,#REF!,#REF!,#REF!,#REF!,#REF!,#REF!,#REF!,#REF!,#REF!</definedName>
    <definedName name="__APW_RESTORE_DATA752__" hidden="1">#REF!,#REF!,#REF!,#REF!,#REF!,#REF!,#REF!,#REF!,#REF!,#REF!,#REF!,#REF!,#REF!,#REF!,#REF!</definedName>
    <definedName name="__APW_RESTORE_DATA753__" hidden="1">#REF!,#REF!,#REF!,#REF!,#REF!,#REF!,#REF!,#REF!,#REF!,#REF!,#REF!,#REF!,#REF!,#REF!,#REF!</definedName>
    <definedName name="__APW_RESTORE_DATA754__" hidden="1">#REF!,#REF!,#REF!,#REF!,#REF!,#REF!,#REF!,#REF!,#REF!,#REF!,#REF!,#REF!,#REF!,#REF!,#REF!</definedName>
    <definedName name="__APW_RESTORE_DATA755__" hidden="1">#REF!,#REF!,#REF!,#REF!,#REF!,#REF!,#REF!,#REF!,#REF!,#REF!,#REF!,#REF!,#REF!,#REF!,#REF!</definedName>
    <definedName name="__APW_RESTORE_DATA756__" hidden="1">#REF!,#REF!,#REF!,#REF!,#REF!,#REF!,#REF!,#REF!,#REF!,#REF!,#REF!,#REF!,#REF!,#REF!,#REF!</definedName>
    <definedName name="__APW_RESTORE_DATA757__" hidden="1">#REF!,#REF!,#REF!,#REF!,#REF!,#REF!,#REF!,#REF!,#REF!,#REF!,#REF!,#REF!,#REF!,#REF!,#REF!</definedName>
    <definedName name="__APW_RESTORE_DATA758__" hidden="1">#REF!,#REF!,#REF!,#REF!,#REF!,#REF!,#REF!,#REF!,#REF!,#REF!,#REF!,#REF!,#REF!,#REF!,#REF!</definedName>
    <definedName name="__APW_RESTORE_DATA759__" hidden="1">#REF!,#REF!,#REF!,#REF!,#REF!,#REF!,#REF!,#REF!,#REF!,#REF!,#REF!,#REF!,#REF!,#REF!,#REF!</definedName>
    <definedName name="__APW_RESTORE_DATA76__" hidden="1">#REF!,#REF!,#REF!,#REF!,#REF!,#REF!,#REF!,#REF!,#REF!,#REF!,#REF!,#REF!,#REF!,#REF!</definedName>
    <definedName name="__APW_RESTORE_DATA760__" hidden="1">#REF!,#REF!,#REF!,#REF!,#REF!,#REF!,#REF!,#REF!,#REF!,#REF!,#REF!,#REF!,#REF!,#REF!,#REF!</definedName>
    <definedName name="__APW_RESTORE_DATA761__" hidden="1">#REF!,#REF!,#REF!,#REF!,#REF!,#REF!,#REF!,#REF!,#REF!,#REF!,#REF!,#REF!,#REF!,#REF!,#REF!</definedName>
    <definedName name="__APW_RESTORE_DATA762__" hidden="1">#REF!,#REF!,#REF!,#REF!,#REF!,#REF!,#REF!,#REF!,#REF!,#REF!,#REF!,#REF!,#REF!,#REF!,#REF!</definedName>
    <definedName name="__APW_RESTORE_DATA763__" hidden="1">#REF!,#REF!,#REF!,#REF!,#REF!,#REF!,#REF!,#REF!,#REF!,#REF!,#REF!,#REF!,#REF!,#REF!,#REF!</definedName>
    <definedName name="__APW_RESTORE_DATA764__" hidden="1">#REF!,#REF!,#REF!,#REF!,#REF!,#REF!,#REF!,#REF!,#REF!,#REF!,#REF!,#REF!,#REF!,#REF!,#REF!</definedName>
    <definedName name="__APW_RESTORE_DATA765__" hidden="1">#REF!,#REF!,#REF!,#REF!,#REF!,#REF!,#REF!,#REF!,#REF!,#REF!,#REF!,#REF!,#REF!,#REF!,#REF!</definedName>
    <definedName name="__APW_RESTORE_DATA766__" hidden="1">#REF!,#REF!,#REF!,#REF!,#REF!,#REF!,#REF!,#REF!,#REF!,#REF!,#REF!,#REF!,#REF!,#REF!,#REF!</definedName>
    <definedName name="__APW_RESTORE_DATA767__" hidden="1">#REF!,#REF!,#REF!,#REF!,#REF!,#REF!,#REF!,#REF!,#REF!,#REF!,#REF!,#REF!,#REF!,#REF!,#REF!</definedName>
    <definedName name="__APW_RESTORE_DATA768__" hidden="1">#REF!,#REF!,#REF!,#REF!,#REF!,#REF!,#REF!,#REF!,#REF!,#REF!,#REF!,#REF!,#REF!,#REF!,#REF!</definedName>
    <definedName name="__APW_RESTORE_DATA769__" hidden="1">#REF!,#REF!,#REF!,#REF!,#REF!,#REF!,#REF!,#REF!,#REF!,#REF!,#REF!,#REF!,#REF!,#REF!,#REF!</definedName>
    <definedName name="__APW_RESTORE_DATA77__" hidden="1">#REF!,#REF!,#REF!,#REF!,#REF!,#REF!,#REF!,#REF!,#REF!,#REF!,#REF!,#REF!,#REF!,#REF!</definedName>
    <definedName name="__APW_RESTORE_DATA770__" hidden="1">#REF!,#REF!,#REF!,#REF!,#REF!,#REF!,#REF!,#REF!,#REF!,#REF!,#REF!,#REF!,#REF!,#REF!,#REF!</definedName>
    <definedName name="__APW_RESTORE_DATA771__" hidden="1">#REF!,#REF!,#REF!,#REF!,#REF!,#REF!,#REF!,#REF!,#REF!,#REF!,#REF!,#REF!,#REF!,#REF!,#REF!</definedName>
    <definedName name="__APW_RESTORE_DATA772__" hidden="1">#REF!,#REF!,#REF!,#REF!,#REF!,#REF!,#REF!,#REF!,#REF!,#REF!,#REF!,#REF!,#REF!,#REF!,#REF!</definedName>
    <definedName name="__APW_RESTORE_DATA773__" hidden="1">#REF!,#REF!,#REF!,#REF!,#REF!,#REF!,#REF!,#REF!,#REF!,#REF!,#REF!,#REF!,#REF!,#REF!,#REF!</definedName>
    <definedName name="__APW_RESTORE_DATA774__" hidden="1">#REF!,#REF!,#REF!,#REF!,#REF!,#REF!,#REF!,#REF!,#REF!,#REF!,#REF!,#REF!,#REF!,#REF!,#REF!</definedName>
    <definedName name="__APW_RESTORE_DATA775__" hidden="1">#REF!,#REF!,#REF!,#REF!,#REF!,#REF!,#REF!,#REF!,#REF!,#REF!,#REF!,#REF!,#REF!,#REF!,#REF!</definedName>
    <definedName name="__APW_RESTORE_DATA776__" hidden="1">#REF!,#REF!,#REF!,#REF!,#REF!,#REF!,#REF!,#REF!,#REF!,#REF!,#REF!,#REF!,#REF!,#REF!,#REF!</definedName>
    <definedName name="__APW_RESTORE_DATA777__" hidden="1">#REF!,#REF!,#REF!,#REF!,#REF!,#REF!,#REF!,#REF!,#REF!,#REF!,#REF!,#REF!,#REF!,#REF!,#REF!</definedName>
    <definedName name="__APW_RESTORE_DATA778__" hidden="1">#REF!,#REF!,#REF!,#REF!,#REF!,#REF!,#REF!,#REF!,#REF!,#REF!,#REF!,#REF!,#REF!,#REF!,#REF!</definedName>
    <definedName name="__APW_RESTORE_DATA779__" hidden="1">#REF!,#REF!,#REF!,#REF!,#REF!,#REF!,#REF!,#REF!,#REF!,#REF!,#REF!,#REF!,#REF!,#REF!,#REF!</definedName>
    <definedName name="__APW_RESTORE_DATA78__" hidden="1">#REF!,#REF!,#REF!,#REF!,#REF!,#REF!,#REF!,#REF!,#REF!,#REF!,#REF!,#REF!,#REF!,#REF!</definedName>
    <definedName name="__APW_RESTORE_DATA780__" hidden="1">#REF!,#REF!,#REF!,#REF!,#REF!,#REF!,#REF!,#REF!,#REF!,#REF!,#REF!,#REF!,#REF!,#REF!,#REF!</definedName>
    <definedName name="__APW_RESTORE_DATA781__" hidden="1">#REF!,#REF!,#REF!,#REF!,#REF!,#REF!,#REF!,#REF!,#REF!,#REF!,#REF!,#REF!,#REF!,#REF!,#REF!</definedName>
    <definedName name="__APW_RESTORE_DATA782__" hidden="1">#REF!,#REF!,#REF!,#REF!,#REF!,#REF!,#REF!,#REF!,#REF!,#REF!,#REF!,#REF!,#REF!,#REF!,#REF!</definedName>
    <definedName name="__APW_RESTORE_DATA783__" hidden="1">#REF!,#REF!,#REF!,#REF!,#REF!,#REF!,#REF!,#REF!,#REF!,#REF!,#REF!,#REF!,#REF!,#REF!,#REF!</definedName>
    <definedName name="__APW_RESTORE_DATA784__" hidden="1">#REF!,#REF!,#REF!,#REF!,#REF!,#REF!,#REF!,#REF!,#REF!,#REF!,#REF!,#REF!,#REF!,#REF!,#REF!</definedName>
    <definedName name="__APW_RESTORE_DATA785__" hidden="1">#REF!,#REF!,#REF!,#REF!,#REF!,#REF!,#REF!,#REF!,#REF!,#REF!,#REF!,#REF!,#REF!,#REF!,#REF!</definedName>
    <definedName name="__APW_RESTORE_DATA786__" hidden="1">#REF!,#REF!,#REF!,#REF!,#REF!,#REF!,#REF!,#REF!,#REF!,#REF!,#REF!,#REF!,#REF!,#REF!,#REF!</definedName>
    <definedName name="__APW_RESTORE_DATA787__" hidden="1">#REF!,#REF!,#REF!,#REF!,#REF!,#REF!,#REF!,#REF!,#REF!,#REF!,#REF!,#REF!,#REF!,#REF!,#REF!</definedName>
    <definedName name="__APW_RESTORE_DATA788__" hidden="1">#REF!,#REF!,#REF!,#REF!,#REF!,#REF!,#REF!,#REF!,#REF!,#REF!,#REF!,#REF!,#REF!,#REF!,#REF!</definedName>
    <definedName name="__APW_RESTORE_DATA789__" hidden="1">#REF!,#REF!,#REF!,#REF!,#REF!,#REF!,#REF!,#REF!,#REF!,#REF!,#REF!,#REF!,#REF!,#REF!,#REF!</definedName>
    <definedName name="__APW_RESTORE_DATA79__" hidden="1">#REF!,#REF!,#REF!,#REF!,#REF!,#REF!,#REF!,#REF!,#REF!,#REF!,#REF!,#REF!,#REF!,#REF!</definedName>
    <definedName name="__APW_RESTORE_DATA790__" hidden="1">#REF!,#REF!,#REF!,#REF!,#REF!,#REF!,#REF!,#REF!,#REF!,#REF!,#REF!,#REF!,#REF!,#REF!,#REF!</definedName>
    <definedName name="__APW_RESTORE_DATA791__" hidden="1">#REF!,#REF!,#REF!,#REF!,#REF!,#REF!,#REF!,#REF!,#REF!,#REF!,#REF!,#REF!,#REF!,#REF!,#REF!</definedName>
    <definedName name="__APW_RESTORE_DATA792__" hidden="1">#REF!,#REF!,#REF!,#REF!,#REF!,#REF!,#REF!,#REF!,#REF!,#REF!,#REF!,#REF!,#REF!,#REF!,#REF!</definedName>
    <definedName name="__APW_RESTORE_DATA793__" hidden="1">#REF!,#REF!,#REF!,#REF!,#REF!,#REF!,#REF!,#REF!,#REF!,#REF!,#REF!,#REF!,#REF!,#REF!,#REF!</definedName>
    <definedName name="__APW_RESTORE_DATA794__" hidden="1">#REF!,#REF!,#REF!,#REF!,#REF!,#REF!,#REF!,#REF!,#REF!,#REF!,#REF!,#REF!,#REF!,#REF!,#REF!</definedName>
    <definedName name="__APW_RESTORE_DATA795__" hidden="1">#REF!,#REF!,#REF!,#REF!,#REF!,#REF!,#REF!,#REF!,#REF!,#REF!,#REF!,#REF!,#REF!,#REF!,#REF!</definedName>
    <definedName name="__APW_RESTORE_DATA796__" hidden="1">#REF!,#REF!,#REF!,#REF!,#REF!,#REF!,#REF!,#REF!,#REF!,#REF!,#REF!,#REF!,#REF!,#REF!,#REF!</definedName>
    <definedName name="__APW_RESTORE_DATA797__" hidden="1">#REF!,#REF!,#REF!,#REF!,#REF!,#REF!,#REF!,#REF!,#REF!,#REF!,#REF!,#REF!,#REF!,#REF!,#REF!</definedName>
    <definedName name="__APW_RESTORE_DATA798__" hidden="1">#REF!,#REF!,#REF!,#REF!,#REF!,#REF!,#REF!,#REF!,#REF!,#REF!,#REF!,#REF!,#REF!,#REF!</definedName>
    <definedName name="__APW_RESTORE_DATA799__" hidden="1">#REF!,#REF!,#REF!,#REF!,#REF!,#REF!,#REF!,#REF!,#REF!,#REF!,#REF!,#REF!,#REF!,#REF!</definedName>
    <definedName name="__APW_RESTORE_DATA8__" hidden="1">#REF!,#REF!,#REF!,#REF!,#REF!,#REF!,#REF!,#REF!,#REF!,#REF!,#REF!,#REF!,#REF!,#REF!,#REF!,#REF!</definedName>
    <definedName name="__APW_RESTORE_DATA80__" hidden="1">#REF!,#REF!,#REF!,#REF!,#REF!,#REF!,#REF!,#REF!,#REF!,#REF!,#REF!,#REF!,#REF!,#REF!</definedName>
    <definedName name="__APW_RESTORE_DATA800__" hidden="1">#REF!,#REF!,#REF!,#REF!,#REF!,#REF!,#REF!,#REF!,#REF!,#REF!,#REF!,#REF!,#REF!,#REF!</definedName>
    <definedName name="__APW_RESTORE_DATA801__" hidden="1">#REF!,#REF!,#REF!,#REF!,#REF!,#REF!,#REF!,#REF!,#REF!,#REF!,#REF!,#REF!,#REF!,#REF!</definedName>
    <definedName name="__APW_RESTORE_DATA802__" hidden="1">#REF!,#REF!,#REF!,#REF!,#REF!,#REF!,#REF!,#REF!,#REF!,#REF!,#REF!,#REF!,#REF!,#REF!</definedName>
    <definedName name="__APW_RESTORE_DATA803__" hidden="1">#REF!,#REF!,#REF!,#REF!,#REF!,#REF!,#REF!,#REF!,#REF!,#REF!,#REF!,#REF!,#REF!,#REF!</definedName>
    <definedName name="__APW_RESTORE_DATA804__" hidden="1">#REF!,#REF!,#REF!,#REF!,#REF!,#REF!,#REF!,#REF!,#REF!,#REF!,#REF!,#REF!,#REF!,#REF!</definedName>
    <definedName name="__APW_RESTORE_DATA805__" hidden="1">#REF!,#REF!,#REF!,#REF!,#REF!,#REF!,#REF!,#REF!,#REF!,#REF!,#REF!,#REF!,#REF!,#REF!</definedName>
    <definedName name="__APW_RESTORE_DATA806__" hidden="1">#REF!,#REF!,#REF!,#REF!,#REF!,#REF!,#REF!,#REF!,#REF!,#REF!,#REF!,#REF!,#REF!,#REF!</definedName>
    <definedName name="__APW_RESTORE_DATA807__" hidden="1">#REF!,#REF!,#REF!,#REF!,#REF!,#REF!,#REF!,#REF!,#REF!,#REF!,#REF!,#REF!,#REF!,#REF!</definedName>
    <definedName name="__APW_RESTORE_DATA808__" hidden="1">#REF!,#REF!,#REF!,#REF!,#REF!,#REF!,#REF!,#REF!,#REF!,#REF!,#REF!,#REF!,#REF!,#REF!</definedName>
    <definedName name="__APW_RESTORE_DATA809__" hidden="1">#REF!,#REF!,#REF!,#REF!,#REF!,#REF!,#REF!,#REF!,#REF!,#REF!,#REF!,#REF!,#REF!,#REF!</definedName>
    <definedName name="__APW_RESTORE_DATA81__" hidden="1">#REF!,#REF!,#REF!,#REF!,#REF!,#REF!,#REF!,#REF!,#REF!,#REF!,#REF!,#REF!,#REF!,#REF!</definedName>
    <definedName name="__APW_RESTORE_DATA810__" hidden="1">#REF!,#REF!,#REF!,#REF!,#REF!,#REF!,#REF!,#REF!,#REF!,#REF!,#REF!,#REF!,#REF!,#REF!</definedName>
    <definedName name="__APW_RESTORE_DATA811__" hidden="1">#REF!,#REF!,#REF!,#REF!,#REF!,#REF!,#REF!,#REF!,#REF!,#REF!,#REF!,#REF!,#REF!,#REF!</definedName>
    <definedName name="__APW_RESTORE_DATA812__" hidden="1">#REF!,#REF!,#REF!,#REF!,#REF!,#REF!,#REF!,#REF!,#REF!,#REF!,#REF!,#REF!,#REF!,#REF!</definedName>
    <definedName name="__APW_RESTORE_DATA813__" hidden="1">#REF!,#REF!,#REF!,#REF!,#REF!,#REF!,#REF!,#REF!,#REF!,#REF!,#REF!,#REF!,#REF!,#REF!</definedName>
    <definedName name="__APW_RESTORE_DATA814__" hidden="1">#REF!,#REF!,#REF!,#REF!,#REF!,#REF!,#REF!,#REF!,#REF!,#REF!,#REF!,#REF!,#REF!,#REF!</definedName>
    <definedName name="__APW_RESTORE_DATA815__" hidden="1">#REF!,#REF!,#REF!,#REF!,#REF!,#REF!,#REF!,#REF!,#REF!,#REF!,#REF!,#REF!,#REF!,#REF!</definedName>
    <definedName name="__APW_RESTORE_DATA816__" hidden="1">#REF!,#REF!,#REF!,#REF!,#REF!,#REF!,#REF!,#REF!,#REF!,#REF!,#REF!,#REF!,#REF!,#REF!</definedName>
    <definedName name="__APW_RESTORE_DATA817__" hidden="1">#REF!,#REF!,#REF!,#REF!,#REF!,#REF!,#REF!,#REF!,#REF!,#REF!,#REF!,#REF!,#REF!,#REF!</definedName>
    <definedName name="__APW_RESTORE_DATA818__" hidden="1">#REF!,#REF!,#REF!,#REF!,#REF!,#REF!,#REF!,#REF!,#REF!,#REF!,#REF!,#REF!,#REF!,#REF!</definedName>
    <definedName name="__APW_RESTORE_DATA819__" hidden="1">#REF!,#REF!,#REF!,#REF!,#REF!,#REF!,#REF!,#REF!,#REF!,#REF!,#REF!,#REF!,#REF!,#REF!</definedName>
    <definedName name="__APW_RESTORE_DATA82__" hidden="1">#REF!,#REF!,#REF!,#REF!,#REF!,#REF!,#REF!,#REF!,#REF!,#REF!,#REF!,#REF!,#REF!,#REF!</definedName>
    <definedName name="__APW_RESTORE_DATA820__" hidden="1">#REF!,#REF!,#REF!,#REF!,#REF!,#REF!,#REF!,#REF!,#REF!,#REF!,#REF!,#REF!,#REF!,#REF!</definedName>
    <definedName name="__APW_RESTORE_DATA821__" hidden="1">#REF!,#REF!,#REF!,#REF!,#REF!,#REF!,#REF!,#REF!,#REF!,#REF!,#REF!,#REF!,#REF!,#REF!</definedName>
    <definedName name="__APW_RESTORE_DATA822__" hidden="1">#REF!,#REF!,#REF!,#REF!,#REF!,#REF!,#REF!,#REF!,#REF!,#REF!,#REF!,#REF!,#REF!,#REF!</definedName>
    <definedName name="__APW_RESTORE_DATA823__" hidden="1">#REF!,#REF!,#REF!,#REF!,#REF!,#REF!,#REF!,#REF!,#REF!,#REF!,#REF!,#REF!,#REF!,#REF!</definedName>
    <definedName name="__APW_RESTORE_DATA824__" hidden="1">#REF!,#REF!,#REF!,#REF!,#REF!,#REF!,#REF!,#REF!,#REF!,#REF!,#REF!,#REF!,#REF!,#REF!</definedName>
    <definedName name="__APW_RESTORE_DATA825__" hidden="1">#REF!,#REF!,#REF!,#REF!,#REF!,#REF!,#REF!,#REF!,#REF!,#REF!,#REF!,#REF!,#REF!,#REF!</definedName>
    <definedName name="__APW_RESTORE_DATA826__" hidden="1">#REF!,#REF!,#REF!,#REF!,#REF!,#REF!,#REF!,#REF!,#REF!,#REF!,#REF!,#REF!,#REF!,#REF!</definedName>
    <definedName name="__APW_RESTORE_DATA827__" hidden="1">#REF!,#REF!,#REF!,#REF!,#REF!,#REF!,#REF!,#REF!,#REF!,#REF!,#REF!,#REF!,#REF!,#REF!</definedName>
    <definedName name="__APW_RESTORE_DATA828__" hidden="1">#REF!,#REF!,#REF!,#REF!,#REF!,#REF!,#REF!,#REF!,#REF!,#REF!,#REF!,#REF!,#REF!,#REF!</definedName>
    <definedName name="__APW_RESTORE_DATA829__" hidden="1">#REF!,#REF!,#REF!,#REF!,#REF!,#REF!,#REF!,#REF!,#REF!,#REF!,#REF!,#REF!,#REF!,#REF!</definedName>
    <definedName name="__APW_RESTORE_DATA83__" hidden="1">#REF!,#REF!,#REF!,#REF!,#REF!,#REF!,#REF!,#REF!,#REF!,#REF!,#REF!,#REF!,#REF!,#REF!</definedName>
    <definedName name="__APW_RESTORE_DATA830__" hidden="1">#REF!,#REF!,#REF!,#REF!,#REF!,#REF!,#REF!,#REF!,#REF!,#REF!,#REF!,#REF!,#REF!,#REF!</definedName>
    <definedName name="__APW_RESTORE_DATA831__" hidden="1">#REF!,#REF!,#REF!,#REF!,#REF!,#REF!,#REF!,#REF!,#REF!,#REF!,#REF!,#REF!,#REF!,#REF!</definedName>
    <definedName name="__APW_RESTORE_DATA832__" hidden="1">#REF!,#REF!,#REF!,#REF!,#REF!,#REF!,#REF!,#REF!,#REF!,#REF!,#REF!,#REF!,#REF!,#REF!</definedName>
    <definedName name="__APW_RESTORE_DATA833__" hidden="1">#REF!,#REF!,#REF!,#REF!,#REF!,#REF!,#REF!,#REF!,#REF!,#REF!,#REF!,#REF!,#REF!,#REF!</definedName>
    <definedName name="__APW_RESTORE_DATA834__" hidden="1">#REF!,#REF!,#REF!,#REF!,#REF!,#REF!,#REF!,#REF!,#REF!,#REF!,#REF!,#REF!,#REF!,#REF!</definedName>
    <definedName name="__APW_RESTORE_DATA835__" hidden="1">#REF!</definedName>
    <definedName name="__APW_RESTORE_DATA836__" hidden="1">#REF!,#REF!,#REF!,#REF!,#REF!,#REF!,#REF!,#REF!,#REF!,#REF!,#REF!,#REF!,#REF!,#REF!,#REF!,#REF!,#REF!</definedName>
    <definedName name="__APW_RESTORE_DATA837__" hidden="1">#REF!,#REF!,#REF!,#REF!,#REF!,#REF!,#REF!,#REF!,#REF!,#REF!,#REF!,#REF!,#REF!,#REF!,#REF!,#REF!</definedName>
    <definedName name="__APW_RESTORE_DATA838__" hidden="1">#REF!,#REF!,#REF!,#REF!,#REF!,#REF!,#REF!,#REF!,#REF!,#REF!,#REF!,#REF!,#REF!,#REF!,#REF!,#REF!</definedName>
    <definedName name="__APW_RESTORE_DATA839__" hidden="1">#REF!,#REF!,#REF!,#REF!,#REF!,#REF!,#REF!,#REF!,#REF!,#REF!,#REF!,#REF!,#REF!,#REF!,#REF!,#REF!</definedName>
    <definedName name="__APW_RESTORE_DATA84__" hidden="1">#REF!,#REF!,#REF!,#REF!,#REF!,#REF!,#REF!,#REF!,#REF!,#REF!,#REF!,#REF!,#REF!,#REF!</definedName>
    <definedName name="__APW_RESTORE_DATA840__" hidden="1">#REF!,#REF!,#REF!,#REF!,#REF!,#REF!,#REF!,#REF!,#REF!,#REF!,#REF!,#REF!,#REF!,#REF!,#REF!,#REF!</definedName>
    <definedName name="__APW_RESTORE_DATA841__" hidden="1">#REF!,#REF!,#REF!,#REF!,#REF!,#REF!,#REF!,#REF!,#REF!,#REF!,#REF!,#REF!,#REF!,#REF!,#REF!,#REF!</definedName>
    <definedName name="__APW_RESTORE_DATA842__" hidden="1">#REF!,#REF!,#REF!,#REF!,#REF!,#REF!,#REF!,#REF!,#REF!,#REF!,#REF!,#REF!,#REF!,#REF!,#REF!</definedName>
    <definedName name="__APW_RESTORE_DATA843__" hidden="1">#REF!,#REF!,#REF!,#REF!,#REF!,#REF!,#REF!,#REF!,#REF!,#REF!,#REF!,#REF!,#REF!,#REF!,#REF!</definedName>
    <definedName name="__APW_RESTORE_DATA844__" hidden="1">#REF!,#REF!,#REF!,#REF!,#REF!,#REF!,#REF!,#REF!,#REF!,#REF!,#REF!,#REF!,#REF!,#REF!,#REF!</definedName>
    <definedName name="__APW_RESTORE_DATA845__" hidden="1">#REF!,#REF!,#REF!,#REF!,#REF!,#REF!,#REF!,#REF!,#REF!,#REF!,#REF!,#REF!,#REF!,#REF!,#REF!</definedName>
    <definedName name="__APW_RESTORE_DATA846__" hidden="1">#REF!,#REF!,#REF!,#REF!,#REF!,#REF!,#REF!,#REF!,#REF!,#REF!,#REF!,#REF!,#REF!,#REF!,#REF!</definedName>
    <definedName name="__APW_RESTORE_DATA847__" hidden="1">#REF!,#REF!,#REF!,#REF!,#REF!,#REF!,#REF!,#REF!,#REF!,#REF!,#REF!,#REF!,#REF!,#REF!,#REF!</definedName>
    <definedName name="__APW_RESTORE_DATA848__" hidden="1">#REF!,#REF!,#REF!,#REF!,#REF!,#REF!,#REF!,#REF!,#REF!,#REF!,#REF!,#REF!,#REF!,#REF!,#REF!</definedName>
    <definedName name="__APW_RESTORE_DATA849__" hidden="1">#REF!,#REF!,#REF!,#REF!,#REF!,#REF!,#REF!,#REF!,#REF!,#REF!,#REF!,#REF!,#REF!,#REF!,#REF!</definedName>
    <definedName name="__APW_RESTORE_DATA85__" hidden="1">#REF!,#REF!,#REF!,#REF!,#REF!,#REF!,#REF!,#REF!,#REF!,#REF!,#REF!,#REF!,#REF!,#REF!</definedName>
    <definedName name="__APW_RESTORE_DATA850__" hidden="1">#REF!,#REF!,#REF!,#REF!,#REF!,#REF!,#REF!,#REF!,#REF!,#REF!,#REF!,#REF!,#REF!,#REF!,#REF!</definedName>
    <definedName name="__APW_RESTORE_DATA851__" hidden="1">#REF!,#REF!,#REF!,#REF!,#REF!,#REF!,#REF!,#REF!,#REF!,#REF!,#REF!,#REF!,#REF!,#REF!,#REF!</definedName>
    <definedName name="__APW_RESTORE_DATA852__" hidden="1">#REF!,#REF!,#REF!,#REF!,#REF!,#REF!,#REF!,#REF!,#REF!,#REF!,#REF!,#REF!,#REF!,#REF!,#REF!</definedName>
    <definedName name="__APW_RESTORE_DATA853__" hidden="1">#REF!,#REF!,#REF!,#REF!,#REF!,#REF!,#REF!,#REF!,#REF!,#REF!,#REF!,#REF!,#REF!,#REF!,#REF!</definedName>
    <definedName name="__APW_RESTORE_DATA854__" hidden="1">#REF!,#REF!,#REF!,#REF!,#REF!,#REF!,#REF!,#REF!,#REF!,#REF!,#REF!,#REF!,#REF!,#REF!,#REF!</definedName>
    <definedName name="__APW_RESTORE_DATA855__" hidden="1">#REF!,#REF!,#REF!,#REF!,#REF!,#REF!,#REF!,#REF!,#REF!,#REF!,#REF!,#REF!,#REF!,#REF!,#REF!</definedName>
    <definedName name="__APW_RESTORE_DATA856__" hidden="1">#REF!,#REF!,#REF!,#REF!,#REF!,#REF!,#REF!,#REF!,#REF!,#REF!,#REF!,#REF!,#REF!,#REF!,#REF!</definedName>
    <definedName name="__APW_RESTORE_DATA857__" hidden="1">#REF!,#REF!,#REF!,#REF!,#REF!,#REF!,#REF!,#REF!,#REF!,#REF!,#REF!,#REF!,#REF!,#REF!,#REF!</definedName>
    <definedName name="__APW_RESTORE_DATA858__" hidden="1">#REF!,#REF!,#REF!,#REF!,#REF!,#REF!,#REF!,#REF!,#REF!,#REF!,#REF!,#REF!,#REF!,#REF!,#REF!</definedName>
    <definedName name="__APW_RESTORE_DATA859__" hidden="1">#REF!,#REF!,#REF!,#REF!,#REF!,#REF!,#REF!,#REF!,#REF!,#REF!,#REF!,#REF!,#REF!,#REF!,#REF!</definedName>
    <definedName name="__APW_RESTORE_DATA86__" hidden="1">#REF!,#REF!,#REF!,#REF!,#REF!,#REF!,#REF!,#REF!,#REF!,#REF!,#REF!,#REF!,#REF!,#REF!</definedName>
    <definedName name="__APW_RESTORE_DATA860__" hidden="1">#REF!,#REF!,#REF!,#REF!,#REF!,#REF!,#REF!,#REF!,#REF!,#REF!,#REF!,#REF!,#REF!,#REF!,#REF!</definedName>
    <definedName name="__APW_RESTORE_DATA861__" hidden="1">#REF!,#REF!,#REF!,#REF!,#REF!,#REF!,#REF!,#REF!,#REF!,#REF!,#REF!,#REF!,#REF!,#REF!,#REF!</definedName>
    <definedName name="__APW_RESTORE_DATA862__" hidden="1">#REF!,#REF!,#REF!,#REF!,#REF!,#REF!,#REF!,#REF!,#REF!,#REF!,#REF!,#REF!,#REF!,#REF!,#REF!</definedName>
    <definedName name="__APW_RESTORE_DATA863__" hidden="1">#REF!,#REF!,#REF!,#REF!,#REF!,#REF!,#REF!,#REF!,#REF!,#REF!,#REF!,#REF!,#REF!,#REF!,#REF!</definedName>
    <definedName name="__APW_RESTORE_DATA864__" hidden="1">#REF!,#REF!,#REF!,#REF!,#REF!,#REF!,#REF!,#REF!,#REF!,#REF!,#REF!,#REF!,#REF!,#REF!,#REF!</definedName>
    <definedName name="__APW_RESTORE_DATA865__" hidden="1">#REF!,#REF!,#REF!,#REF!,#REF!,#REF!,#REF!,#REF!,#REF!,#REF!,#REF!,#REF!,#REF!,#REF!,#REF!</definedName>
    <definedName name="__APW_RESTORE_DATA866__" hidden="1">#REF!,#REF!,#REF!,#REF!,#REF!,#REF!,#REF!,#REF!,#REF!,#REF!,#REF!,#REF!,#REF!,#REF!,#REF!</definedName>
    <definedName name="__APW_RESTORE_DATA867__" hidden="1">#REF!,#REF!,#REF!,#REF!,#REF!,#REF!,#REF!,#REF!,#REF!,#REF!,#REF!,#REF!,#REF!,#REF!,#REF!</definedName>
    <definedName name="__APW_RESTORE_DATA868__" hidden="1">#REF!,#REF!,#REF!,#REF!,#REF!,#REF!,#REF!,#REF!,#REF!,#REF!,#REF!,#REF!,#REF!,#REF!,#REF!</definedName>
    <definedName name="__APW_RESTORE_DATA869__" hidden="1">#REF!,#REF!,#REF!,#REF!,#REF!,#REF!,#REF!,#REF!,#REF!,#REF!,#REF!,#REF!,#REF!,#REF!,#REF!</definedName>
    <definedName name="__APW_RESTORE_DATA87__" hidden="1">#REF!,#REF!,#REF!,#REF!,#REF!,#REF!,#REF!,#REF!,#REF!,#REF!,#REF!,#REF!,#REF!,#REF!</definedName>
    <definedName name="__APW_RESTORE_DATA870__" hidden="1">#REF!,#REF!,#REF!,#REF!,#REF!,#REF!,#REF!,#REF!,#REF!,#REF!,#REF!,#REF!,#REF!,#REF!,#REF!</definedName>
    <definedName name="__APW_RESTORE_DATA871__" hidden="1">#REF!,#REF!,#REF!,#REF!,#REF!,#REF!,#REF!,#REF!,#REF!,#REF!,#REF!,#REF!,#REF!,#REF!,#REF!</definedName>
    <definedName name="__APW_RESTORE_DATA872__" hidden="1">#REF!,#REF!,#REF!,#REF!,#REF!,#REF!,#REF!,#REF!,#REF!,#REF!,#REF!,#REF!,#REF!,#REF!,#REF!</definedName>
    <definedName name="__APW_RESTORE_DATA873__" hidden="1">#REF!,#REF!,#REF!,#REF!,#REF!,#REF!,#REF!,#REF!,#REF!,#REF!,#REF!,#REF!,#REF!,#REF!,#REF!</definedName>
    <definedName name="__APW_RESTORE_DATA874__" hidden="1">#REF!,#REF!,#REF!,#REF!,#REF!,#REF!,#REF!,#REF!,#REF!,#REF!,#REF!,#REF!,#REF!,#REF!,#REF!</definedName>
    <definedName name="__APW_RESTORE_DATA875__" hidden="1">#REF!,#REF!,#REF!,#REF!,#REF!,#REF!,#REF!,#REF!,#REF!,#REF!,#REF!,#REF!,#REF!,#REF!,#REF!</definedName>
    <definedName name="__APW_RESTORE_DATA876__" hidden="1">#REF!,#REF!,#REF!,#REF!,#REF!,#REF!,#REF!,#REF!,#REF!,#REF!,#REF!,#REF!,#REF!,#REF!,#REF!</definedName>
    <definedName name="__APW_RESTORE_DATA877__" hidden="1">#REF!,#REF!,#REF!,#REF!,#REF!,#REF!,#REF!,#REF!,#REF!,#REF!,#REF!,#REF!,#REF!,#REF!,#REF!</definedName>
    <definedName name="__APW_RESTORE_DATA878__" hidden="1">#REF!,#REF!,#REF!,#REF!,#REF!,#REF!,#REF!,#REF!,#REF!,#REF!,#REF!,#REF!,#REF!,#REF!,#REF!</definedName>
    <definedName name="__APW_RESTORE_DATA879__" hidden="1">#REF!,#REF!,#REF!,#REF!,#REF!,#REF!,#REF!,#REF!,#REF!,#REF!,#REF!,#REF!,#REF!,#REF!,#REF!</definedName>
    <definedName name="__APW_RESTORE_DATA88__" hidden="1">#REF!,#REF!,#REF!,#REF!,#REF!,#REF!,#REF!,#REF!,#REF!,#REF!,#REF!,#REF!,#REF!,#REF!</definedName>
    <definedName name="__APW_RESTORE_DATA880__" hidden="1">#REF!,#REF!,#REF!,#REF!,#REF!,#REF!,#REF!,#REF!,#REF!,#REF!,#REF!,#REF!,#REF!,#REF!,#REF!</definedName>
    <definedName name="__APW_RESTORE_DATA881__" hidden="1">#REF!,#REF!,#REF!,#REF!,#REF!,#REF!,#REF!,#REF!,#REF!,#REF!,#REF!,#REF!,#REF!,#REF!,#REF!</definedName>
    <definedName name="__APW_RESTORE_DATA882__" hidden="1">#REF!,#REF!,#REF!,#REF!,#REF!,#REF!,#REF!,#REF!,#REF!,#REF!,#REF!,#REF!,#REF!,#REF!,#REF!</definedName>
    <definedName name="__APW_RESTORE_DATA883__" hidden="1">#REF!,#REF!,#REF!,#REF!,#REF!,#REF!,#REF!,#REF!,#REF!,#REF!,#REF!,#REF!,#REF!,#REF!,#REF!</definedName>
    <definedName name="__APW_RESTORE_DATA884__" hidden="1">#REF!,#REF!,#REF!,#REF!,#REF!,#REF!,#REF!,#REF!,#REF!,#REF!,#REF!,#REF!,#REF!,#REF!,#REF!</definedName>
    <definedName name="__APW_RESTORE_DATA885__" hidden="1">#REF!,#REF!,#REF!,#REF!,#REF!,#REF!,#REF!,#REF!,#REF!,#REF!,#REF!,#REF!,#REF!,#REF!,#REF!</definedName>
    <definedName name="__APW_RESTORE_DATA886__" hidden="1">#REF!,#REF!,#REF!,#REF!,#REF!,#REF!,#REF!,#REF!,#REF!,#REF!,#REF!,#REF!,#REF!,#REF!,#REF!</definedName>
    <definedName name="__APW_RESTORE_DATA887__" hidden="1">#REF!,#REF!,#REF!,#REF!,#REF!,#REF!,#REF!,#REF!,#REF!,#REF!,#REF!,#REF!,#REF!,#REF!,#REF!</definedName>
    <definedName name="__APW_RESTORE_DATA888__" hidden="1">#REF!,#REF!,#REF!,#REF!,#REF!,#REF!,#REF!,#REF!,#REF!,#REF!,#REF!,#REF!,#REF!,#REF!,#REF!</definedName>
    <definedName name="__APW_RESTORE_DATA889__" hidden="1">#REF!,#REF!,#REF!,#REF!,#REF!,#REF!,#REF!,#REF!,#REF!,#REF!,#REF!,#REF!,#REF!,#REF!,#REF!</definedName>
    <definedName name="__APW_RESTORE_DATA89__" hidden="1">#REF!,#REF!,#REF!,#REF!,#REF!,#REF!,#REF!,#REF!,#REF!,#REF!,#REF!,#REF!,#REF!,#REF!</definedName>
    <definedName name="__APW_RESTORE_DATA890__" hidden="1">#REF!,#REF!,#REF!,#REF!,#REF!,#REF!,#REF!,#REF!,#REF!,#REF!,#REF!,#REF!,#REF!,#REF!,#REF!</definedName>
    <definedName name="__APW_RESTORE_DATA891__" hidden="1">#REF!,#REF!,#REF!,#REF!,#REF!,#REF!,#REF!,#REF!,#REF!,#REF!,#REF!,#REF!,#REF!,#REF!,#REF!</definedName>
    <definedName name="__APW_RESTORE_DATA892__" hidden="1">#REF!,#REF!,#REF!,#REF!,#REF!,#REF!,#REF!,#REF!,#REF!,#REF!,#REF!,#REF!,#REF!,#REF!,#REF!</definedName>
    <definedName name="__APW_RESTORE_DATA893__" hidden="1">#REF!,#REF!,#REF!,#REF!,#REF!,#REF!,#REF!,#REF!,#REF!,#REF!,#REF!,#REF!,#REF!,#REF!,#REF!</definedName>
    <definedName name="__APW_RESTORE_DATA894__" hidden="1">#REF!,#REF!,#REF!,#REF!,#REF!,#REF!,#REF!,#REF!,#REF!,#REF!,#REF!,#REF!,#REF!,#REF!,#REF!</definedName>
    <definedName name="__APW_RESTORE_DATA895__" hidden="1">#REF!,#REF!,#REF!,#REF!,#REF!,#REF!,#REF!,#REF!,#REF!,#REF!,#REF!,#REF!,#REF!,#REF!,#REF!</definedName>
    <definedName name="__APW_RESTORE_DATA896__" hidden="1">#REF!,#REF!,#REF!,#REF!,#REF!,#REF!,#REF!,#REF!,#REF!,#REF!,#REF!,#REF!,#REF!,#REF!,#REF!</definedName>
    <definedName name="__APW_RESTORE_DATA897__" hidden="1">#REF!,#REF!,#REF!,#REF!,#REF!,#REF!,#REF!,#REF!,#REF!,#REF!,#REF!,#REF!,#REF!,#REF!,#REF!</definedName>
    <definedName name="__APW_RESTORE_DATA898__" hidden="1">#REF!,#REF!,#REF!,#REF!,#REF!,#REF!,#REF!,#REF!,#REF!,#REF!,#REF!,#REF!,#REF!,#REF!,#REF!</definedName>
    <definedName name="__APW_RESTORE_DATA899__" hidden="1">#REF!,#REF!,#REF!,#REF!,#REF!,#REF!,#REF!,#REF!,#REF!,#REF!,#REF!,#REF!,#REF!,#REF!,#REF!</definedName>
    <definedName name="__APW_RESTORE_DATA9__" hidden="1">#REF!,#REF!,#REF!,#REF!,#REF!,#REF!,#REF!,#REF!,#REF!,#REF!,#REF!,#REF!,#REF!,#REF!,#REF!,#REF!</definedName>
    <definedName name="__APW_RESTORE_DATA90__" hidden="1">#REF!,#REF!,#REF!,#REF!,#REF!,#REF!,#REF!,#REF!,#REF!,#REF!,#REF!,#REF!,#REF!,#REF!</definedName>
    <definedName name="__APW_RESTORE_DATA900__" hidden="1">#REF!,#REF!,#REF!,#REF!,#REF!,#REF!,#REF!,#REF!,#REF!,#REF!,#REF!,#REF!,#REF!,#REF!,#REF!</definedName>
    <definedName name="__APW_RESTORE_DATA901__" hidden="1">#REF!,#REF!,#REF!,#REF!,#REF!,#REF!,#REF!,#REF!,#REF!,#REF!,#REF!,#REF!,#REF!,#REF!,#REF!</definedName>
    <definedName name="__APW_RESTORE_DATA902__" hidden="1">#REF!,#REF!,#REF!,#REF!,#REF!,#REF!,#REF!,#REF!,#REF!,#REF!,#REF!,#REF!,#REF!,#REF!</definedName>
    <definedName name="__APW_RESTORE_DATA903__" hidden="1">#REF!,#REF!,#REF!,#REF!,#REF!,#REF!,#REF!,#REF!,#REF!,#REF!,#REF!,#REF!,#REF!,#REF!</definedName>
    <definedName name="__APW_RESTORE_DATA904__" hidden="1">#REF!,#REF!,#REF!,#REF!,#REF!,#REF!,#REF!,#REF!,#REF!,#REF!,#REF!,#REF!,#REF!,#REF!</definedName>
    <definedName name="__APW_RESTORE_DATA905__" hidden="1">#REF!,#REF!,#REF!,#REF!,#REF!,#REF!,#REF!,#REF!,#REF!,#REF!,#REF!,#REF!,#REF!,#REF!</definedName>
    <definedName name="__APW_RESTORE_DATA906__" hidden="1">#REF!,#REF!,#REF!,#REF!,#REF!,#REF!,#REF!,#REF!,#REF!,#REF!,#REF!,#REF!,#REF!,#REF!</definedName>
    <definedName name="__APW_RESTORE_DATA907__" hidden="1">#REF!,#REF!,#REF!,#REF!,#REF!,#REF!,#REF!,#REF!,#REF!,#REF!,#REF!,#REF!,#REF!,#REF!</definedName>
    <definedName name="__APW_RESTORE_DATA908__" hidden="1">#REF!,#REF!,#REF!,#REF!,#REF!,#REF!,#REF!,#REF!,#REF!,#REF!,#REF!,#REF!,#REF!,#REF!</definedName>
    <definedName name="__APW_RESTORE_DATA909__" hidden="1">#REF!,#REF!,#REF!,#REF!,#REF!,#REF!,#REF!,#REF!,#REF!,#REF!,#REF!,#REF!,#REF!,#REF!</definedName>
    <definedName name="__APW_RESTORE_DATA91__" hidden="1">#REF!,#REF!,#REF!,#REF!,#REF!,#REF!,#REF!,#REF!,#REF!,#REF!,#REF!,#REF!,#REF!,#REF!</definedName>
    <definedName name="__APW_RESTORE_DATA910__" hidden="1">#REF!,#REF!,#REF!,#REF!,#REF!,#REF!,#REF!,#REF!,#REF!,#REF!,#REF!,#REF!,#REF!,#REF!</definedName>
    <definedName name="__APW_RESTORE_DATA911__" hidden="1">#REF!,#REF!,#REF!,#REF!,#REF!,#REF!,#REF!,#REF!,#REF!,#REF!,#REF!,#REF!,#REF!,#REF!</definedName>
    <definedName name="__APW_RESTORE_DATA912__" hidden="1">#REF!,#REF!,#REF!,#REF!,#REF!,#REF!,#REF!,#REF!,#REF!,#REF!,#REF!,#REF!,#REF!,#REF!</definedName>
    <definedName name="__APW_RESTORE_DATA913__" hidden="1">#REF!,#REF!,#REF!,#REF!,#REF!,#REF!,#REF!,#REF!,#REF!,#REF!,#REF!,#REF!,#REF!,#REF!</definedName>
    <definedName name="__APW_RESTORE_DATA914__" hidden="1">#REF!,#REF!,#REF!,#REF!,#REF!,#REF!,#REF!,#REF!,#REF!,#REF!,#REF!,#REF!,#REF!,#REF!</definedName>
    <definedName name="__APW_RESTORE_DATA915__" hidden="1">#REF!,#REF!,#REF!,#REF!,#REF!,#REF!,#REF!,#REF!,#REF!,#REF!,#REF!,#REF!,#REF!,#REF!</definedName>
    <definedName name="__APW_RESTORE_DATA916__" hidden="1">#REF!,#REF!,#REF!,#REF!,#REF!,#REF!,#REF!,#REF!,#REF!,#REF!,#REF!,#REF!,#REF!,#REF!</definedName>
    <definedName name="__APW_RESTORE_DATA917__" hidden="1">#REF!,#REF!,#REF!,#REF!,#REF!,#REF!,#REF!,#REF!,#REF!,#REF!,#REF!,#REF!,#REF!,#REF!</definedName>
    <definedName name="__APW_RESTORE_DATA918__" hidden="1">#REF!,#REF!,#REF!,#REF!,#REF!,#REF!,#REF!,#REF!,#REF!,#REF!,#REF!,#REF!,#REF!,#REF!</definedName>
    <definedName name="__APW_RESTORE_DATA919__" hidden="1">#REF!,#REF!,#REF!,#REF!,#REF!,#REF!,#REF!,#REF!,#REF!,#REF!,#REF!,#REF!,#REF!,#REF!</definedName>
    <definedName name="__APW_RESTORE_DATA92__" hidden="1">#REF!,#REF!,#REF!,#REF!,#REF!,#REF!,#REF!,#REF!,#REF!,#REF!,#REF!,#REF!,#REF!,#REF!</definedName>
    <definedName name="__APW_RESTORE_DATA920__" hidden="1">#REF!,#REF!,#REF!,#REF!,#REF!,#REF!,#REF!,#REF!,#REF!,#REF!,#REF!,#REF!,#REF!,#REF!</definedName>
    <definedName name="__APW_RESTORE_DATA921__" hidden="1">#REF!,#REF!,#REF!,#REF!,#REF!,#REF!,#REF!,#REF!,#REF!,#REF!,#REF!,#REF!,#REF!,#REF!</definedName>
    <definedName name="__APW_RESTORE_DATA922__" hidden="1">#REF!,#REF!,#REF!,#REF!,#REF!,#REF!,#REF!,#REF!,#REF!,#REF!,#REF!,#REF!,#REF!,#REF!</definedName>
    <definedName name="__APW_RESTORE_DATA923__" hidden="1">#REF!,#REF!,#REF!,#REF!,#REF!,#REF!,#REF!,#REF!,#REF!,#REF!,#REF!,#REF!,#REF!,#REF!</definedName>
    <definedName name="__APW_RESTORE_DATA924__" hidden="1">#REF!,#REF!,#REF!,#REF!,#REF!,#REF!,#REF!,#REF!,#REF!,#REF!,#REF!,#REF!,#REF!,#REF!</definedName>
    <definedName name="__APW_RESTORE_DATA925__" hidden="1">#REF!,#REF!,#REF!,#REF!,#REF!,#REF!,#REF!,#REF!,#REF!,#REF!,#REF!,#REF!,#REF!,#REF!</definedName>
    <definedName name="__APW_RESTORE_DATA926__" hidden="1">#REF!,#REF!,#REF!,#REF!,#REF!,#REF!,#REF!,#REF!,#REF!,#REF!,#REF!,#REF!,#REF!,#REF!</definedName>
    <definedName name="__APW_RESTORE_DATA927__" hidden="1">#REF!,#REF!,#REF!,#REF!,#REF!,#REF!,#REF!,#REF!,#REF!,#REF!,#REF!,#REF!,#REF!,#REF!</definedName>
    <definedName name="__APW_RESTORE_DATA928__" hidden="1">#REF!,#REF!,#REF!,#REF!,#REF!,#REF!,#REF!,#REF!,#REF!,#REF!,#REF!,#REF!,#REF!,#REF!</definedName>
    <definedName name="__APW_RESTORE_DATA929__" hidden="1">#REF!,#REF!,#REF!,#REF!,#REF!,#REF!,#REF!,#REF!,#REF!,#REF!,#REF!,#REF!,#REF!,#REF!</definedName>
    <definedName name="__APW_RESTORE_DATA93__" hidden="1">#REF!,#REF!,#REF!,#REF!,#REF!,#REF!,#REF!,#REF!,#REF!,#REF!,#REF!,#REF!,#REF!,#REF!</definedName>
    <definedName name="__APW_RESTORE_DATA930__" hidden="1">#REF!,#REF!,#REF!,#REF!,#REF!,#REF!,#REF!,#REF!,#REF!,#REF!,#REF!,#REF!,#REF!,#REF!</definedName>
    <definedName name="__APW_RESTORE_DATA931__" hidden="1">#REF!,#REF!,#REF!,#REF!,#REF!,#REF!,#REF!,#REF!,#REF!,#REF!,#REF!,#REF!,#REF!,#REF!</definedName>
    <definedName name="__APW_RESTORE_DATA932__" hidden="1">#REF!,#REF!,#REF!,#REF!,#REF!,#REF!,#REF!,#REF!,#REF!,#REF!,#REF!,#REF!,#REF!,#REF!</definedName>
    <definedName name="__APW_RESTORE_DATA933__" hidden="1">#REF!,#REF!,#REF!,#REF!,#REF!,#REF!,#REF!,#REF!,#REF!,#REF!,#REF!,#REF!,#REF!,#REF!</definedName>
    <definedName name="__APW_RESTORE_DATA934__" hidden="1">#REF!,#REF!,#REF!,#REF!,#REF!,#REF!,#REF!,#REF!,#REF!,#REF!,#REF!,#REF!,#REF!,#REF!</definedName>
    <definedName name="__APW_RESTORE_DATA935__" hidden="1">#REF!,#REF!,#REF!,#REF!,#REF!,#REF!,#REF!,#REF!,#REF!,#REF!,#REF!,#REF!,#REF!,#REF!</definedName>
    <definedName name="__APW_RESTORE_DATA936__" hidden="1">#REF!,#REF!,#REF!,#REF!,#REF!,#REF!,#REF!,#REF!,#REF!,#REF!,#REF!,#REF!,#REF!,#REF!</definedName>
    <definedName name="__APW_RESTORE_DATA937__" hidden="1">#REF!,#REF!,#REF!,#REF!,#REF!,#REF!,#REF!,#REF!,#REF!,#REF!,#REF!,#REF!,#REF!,#REF!</definedName>
    <definedName name="__APW_RESTORE_DATA938__" hidden="1">#REF!,#REF!,#REF!,#REF!,#REF!,#REF!,#REF!,#REF!,#REF!,#REF!,#REF!,#REF!,#REF!,#REF!</definedName>
    <definedName name="__APW_RESTORE_DATA939__" hidden="1">#REF!</definedName>
    <definedName name="__APW_RESTORE_DATA94__" hidden="1">#REF!,#REF!,#REF!,#REF!,#REF!,#REF!,#REF!,#REF!,#REF!,#REF!,#REF!,#REF!,#REF!,#REF!</definedName>
    <definedName name="__APW_RESTORE_DATA940__" hidden="1">#REF!,#REF!,#REF!,#REF!,#REF!,#REF!,#REF!,#REF!,#REF!,#REF!,#REF!,#REF!,#REF!,#REF!,#REF!,#REF!,#REF!</definedName>
    <definedName name="__APW_RESTORE_DATA941__" hidden="1">#REF!,#REF!,#REF!,#REF!,#REF!,#REF!,#REF!,#REF!,#REF!,#REF!,#REF!,#REF!,#REF!,#REF!,#REF!,#REF!</definedName>
    <definedName name="__APW_RESTORE_DATA942__" hidden="1">#REF!,#REF!,#REF!,#REF!,#REF!,#REF!,#REF!,#REF!,#REF!,#REF!,#REF!,#REF!,#REF!,#REF!,#REF!,#REF!</definedName>
    <definedName name="__APW_RESTORE_DATA943__" hidden="1">#REF!,#REF!,#REF!,#REF!,#REF!,#REF!,#REF!,#REF!,#REF!,#REF!,#REF!,#REF!,#REF!,#REF!,#REF!,#REF!</definedName>
    <definedName name="__APW_RESTORE_DATA944__" hidden="1">#REF!,#REF!,#REF!,#REF!,#REF!,#REF!,#REF!,#REF!,#REF!,#REF!,#REF!,#REF!,#REF!,#REF!,#REF!,#REF!</definedName>
    <definedName name="__APW_RESTORE_DATA945__" hidden="1">#REF!,#REF!,#REF!,#REF!,#REF!,#REF!,#REF!,#REF!,#REF!,#REF!,#REF!,#REF!,#REF!,#REF!,#REF!,#REF!</definedName>
    <definedName name="__APW_RESTORE_DATA946__" hidden="1">#REF!,#REF!,#REF!,#REF!,#REF!,#REF!,#REF!,#REF!,#REF!,#REF!,#REF!,#REF!,#REF!,#REF!,#REF!</definedName>
    <definedName name="__APW_RESTORE_DATA947__" hidden="1">#REF!,#REF!,#REF!,#REF!,#REF!,#REF!,#REF!,#REF!,#REF!,#REF!,#REF!,#REF!,#REF!,#REF!,#REF!</definedName>
    <definedName name="__APW_RESTORE_DATA948__" hidden="1">#REF!,#REF!,#REF!,#REF!,#REF!,#REF!,#REF!,#REF!,#REF!,#REF!,#REF!,#REF!,#REF!,#REF!,#REF!</definedName>
    <definedName name="__APW_RESTORE_DATA949__" hidden="1">#REF!,#REF!,#REF!,#REF!,#REF!,#REF!,#REF!,#REF!,#REF!,#REF!,#REF!,#REF!,#REF!,#REF!,#REF!</definedName>
    <definedName name="__APW_RESTORE_DATA95__" hidden="1">#REF!,#REF!,#REF!,#REF!,#REF!,#REF!,#REF!,#REF!,#REF!,#REF!,#REF!,#REF!,#REF!,#REF!</definedName>
    <definedName name="__APW_RESTORE_DATA950__" hidden="1">#REF!,#REF!,#REF!,#REF!,#REF!,#REF!,#REF!,#REF!,#REF!,#REF!,#REF!,#REF!,#REF!,#REF!,#REF!</definedName>
    <definedName name="__APW_RESTORE_DATA951__" hidden="1">#REF!,#REF!,#REF!,#REF!,#REF!,#REF!,#REF!,#REF!,#REF!,#REF!,#REF!,#REF!,#REF!,#REF!,#REF!</definedName>
    <definedName name="__APW_RESTORE_DATA952__" hidden="1">#REF!,#REF!,#REF!,#REF!,#REF!,#REF!,#REF!,#REF!,#REF!,#REF!,#REF!,#REF!,#REF!,#REF!,#REF!</definedName>
    <definedName name="__APW_RESTORE_DATA953__" hidden="1">#REF!,#REF!,#REF!,#REF!,#REF!,#REF!,#REF!,#REF!,#REF!,#REF!,#REF!,#REF!,#REF!,#REF!,#REF!</definedName>
    <definedName name="__APW_RESTORE_DATA954__" hidden="1">#REF!,#REF!,#REF!,#REF!,#REF!,#REF!,#REF!,#REF!,#REF!,#REF!,#REF!,#REF!,#REF!,#REF!,#REF!</definedName>
    <definedName name="__APW_RESTORE_DATA955__" hidden="1">#REF!,#REF!,#REF!,#REF!,#REF!,#REF!,#REF!,#REF!,#REF!,#REF!,#REF!,#REF!,#REF!,#REF!,#REF!</definedName>
    <definedName name="__APW_RESTORE_DATA956__" hidden="1">#REF!,#REF!,#REF!,#REF!,#REF!,#REF!,#REF!,#REF!,#REF!,#REF!,#REF!,#REF!,#REF!,#REF!,#REF!</definedName>
    <definedName name="__APW_RESTORE_DATA957__" hidden="1">#REF!,#REF!,#REF!,#REF!,#REF!,#REF!,#REF!,#REF!,#REF!,#REF!,#REF!,#REF!,#REF!,#REF!,#REF!</definedName>
    <definedName name="__APW_RESTORE_DATA958__" hidden="1">#REF!,#REF!,#REF!,#REF!,#REF!,#REF!,#REF!,#REF!,#REF!,#REF!,#REF!,#REF!,#REF!,#REF!,#REF!</definedName>
    <definedName name="__APW_RESTORE_DATA959__" hidden="1">#REF!,#REF!,#REF!,#REF!,#REF!,#REF!,#REF!,#REF!,#REF!,#REF!,#REF!,#REF!,#REF!,#REF!,#REF!</definedName>
    <definedName name="__APW_RESTORE_DATA96__" hidden="1">#REF!,#REF!,#REF!,#REF!,#REF!,#REF!,#REF!,#REF!,#REF!,#REF!,#REF!,#REF!,#REF!,#REF!</definedName>
    <definedName name="__APW_RESTORE_DATA960__" hidden="1">#REF!,#REF!,#REF!,#REF!,#REF!,#REF!,#REF!,#REF!,#REF!,#REF!,#REF!,#REF!,#REF!,#REF!,#REF!</definedName>
    <definedName name="__APW_RESTORE_DATA961__" hidden="1">#REF!,#REF!,#REF!,#REF!,#REF!,#REF!,#REF!,#REF!,#REF!,#REF!,#REF!,#REF!,#REF!,#REF!,#REF!</definedName>
    <definedName name="__APW_RESTORE_DATA962__" hidden="1">#REF!,#REF!,#REF!,#REF!,#REF!,#REF!,#REF!,#REF!,#REF!,#REF!,#REF!,#REF!,#REF!,#REF!,#REF!</definedName>
    <definedName name="__APW_RESTORE_DATA963__" hidden="1">#REF!,#REF!,#REF!,#REF!,#REF!,#REF!,#REF!,#REF!,#REF!,#REF!,#REF!,#REF!,#REF!,#REF!,#REF!</definedName>
    <definedName name="__APW_RESTORE_DATA964__" hidden="1">#REF!,#REF!,#REF!,#REF!,#REF!,#REF!,#REF!,#REF!,#REF!,#REF!,#REF!,#REF!,#REF!,#REF!,#REF!</definedName>
    <definedName name="__APW_RESTORE_DATA965__" hidden="1">#REF!,#REF!,#REF!,#REF!,#REF!,#REF!,#REF!,#REF!,#REF!,#REF!,#REF!,#REF!,#REF!,#REF!,#REF!</definedName>
    <definedName name="__APW_RESTORE_DATA966__" hidden="1">#REF!,#REF!,#REF!,#REF!,#REF!,#REF!,#REF!,#REF!,#REF!,#REF!,#REF!,#REF!,#REF!,#REF!,#REF!</definedName>
    <definedName name="__APW_RESTORE_DATA967__" hidden="1">#REF!,#REF!,#REF!,#REF!,#REF!,#REF!,#REF!,#REF!,#REF!,#REF!,#REF!,#REF!,#REF!,#REF!,#REF!</definedName>
    <definedName name="__APW_RESTORE_DATA968__" hidden="1">#REF!,#REF!,#REF!,#REF!,#REF!,#REF!,#REF!,#REF!,#REF!,#REF!,#REF!,#REF!,#REF!,#REF!,#REF!</definedName>
    <definedName name="__APW_RESTORE_DATA969__" hidden="1">#REF!,#REF!,#REF!,#REF!,#REF!,#REF!,#REF!,#REF!,#REF!,#REF!,#REF!,#REF!,#REF!,#REF!,#REF!</definedName>
    <definedName name="__APW_RESTORE_DATA97__" hidden="1">#REF!,#REF!,#REF!,#REF!,#REF!,#REF!,#REF!,#REF!,#REF!,#REF!,#REF!,#REF!,#REF!,#REF!</definedName>
    <definedName name="__APW_RESTORE_DATA970__" hidden="1">#REF!,#REF!,#REF!,#REF!,#REF!,#REF!,#REF!,#REF!,#REF!,#REF!,#REF!,#REF!,#REF!,#REF!,#REF!</definedName>
    <definedName name="__APW_RESTORE_DATA971__" hidden="1">#REF!,#REF!,#REF!,#REF!,#REF!,#REF!,#REF!,#REF!,#REF!,#REF!,#REF!,#REF!,#REF!,#REF!,#REF!</definedName>
    <definedName name="__APW_RESTORE_DATA972__" hidden="1">#REF!,#REF!,#REF!,#REF!,#REF!,#REF!,#REF!,#REF!,#REF!,#REF!,#REF!,#REF!,#REF!,#REF!,#REF!</definedName>
    <definedName name="__APW_RESTORE_DATA973__" hidden="1">#REF!,#REF!,#REF!,#REF!,#REF!,#REF!,#REF!,#REF!,#REF!,#REF!,#REF!,#REF!,#REF!,#REF!,#REF!</definedName>
    <definedName name="__APW_RESTORE_DATA974__" hidden="1">#REF!,#REF!,#REF!,#REF!,#REF!,#REF!,#REF!,#REF!,#REF!,#REF!,#REF!,#REF!,#REF!,#REF!,#REF!</definedName>
    <definedName name="__APW_RESTORE_DATA975__" hidden="1">#REF!,#REF!,#REF!,#REF!,#REF!,#REF!,#REF!,#REF!,#REF!,#REF!,#REF!,#REF!,#REF!,#REF!,#REF!</definedName>
    <definedName name="__APW_RESTORE_DATA976__" hidden="1">#REF!,#REF!,#REF!,#REF!,#REF!,#REF!,#REF!,#REF!,#REF!,#REF!,#REF!,#REF!,#REF!,#REF!,#REF!</definedName>
    <definedName name="__APW_RESTORE_DATA977__" hidden="1">#REF!,#REF!,#REF!,#REF!,#REF!,#REF!,#REF!,#REF!,#REF!,#REF!,#REF!,#REF!,#REF!,#REF!,#REF!</definedName>
    <definedName name="__APW_RESTORE_DATA978__" hidden="1">#REF!,#REF!,#REF!,#REF!,#REF!,#REF!,#REF!,#REF!,#REF!,#REF!,#REF!,#REF!,#REF!,#REF!,#REF!</definedName>
    <definedName name="__APW_RESTORE_DATA979__" hidden="1">#REF!,#REF!,#REF!,#REF!,#REF!,#REF!,#REF!,#REF!,#REF!,#REF!,#REF!,#REF!,#REF!,#REF!,#REF!</definedName>
    <definedName name="__APW_RESTORE_DATA98__" hidden="1">#REF!,#REF!,#REF!,#REF!,#REF!,#REF!,#REF!,#REF!,#REF!,#REF!,#REF!,#REF!,#REF!,#REF!</definedName>
    <definedName name="__APW_RESTORE_DATA980__" hidden="1">#REF!,#REF!,#REF!,#REF!,#REF!,#REF!,#REF!,#REF!,#REF!,#REF!,#REF!,#REF!,#REF!,#REF!,#REF!</definedName>
    <definedName name="__APW_RESTORE_DATA981__" hidden="1">#REF!,#REF!,#REF!,#REF!,#REF!,#REF!,#REF!,#REF!,#REF!,#REF!,#REF!,#REF!,#REF!,#REF!,#REF!</definedName>
    <definedName name="__APW_RESTORE_DATA982__" hidden="1">#REF!,#REF!,#REF!,#REF!,#REF!,#REF!,#REF!,#REF!,#REF!,#REF!,#REF!,#REF!,#REF!,#REF!,#REF!</definedName>
    <definedName name="__APW_RESTORE_DATA983__" hidden="1">#REF!,#REF!,#REF!,#REF!,#REF!,#REF!,#REF!,#REF!,#REF!,#REF!,#REF!,#REF!,#REF!,#REF!,#REF!</definedName>
    <definedName name="__APW_RESTORE_DATA984__" hidden="1">#REF!,#REF!,#REF!,#REF!,#REF!,#REF!,#REF!,#REF!,#REF!,#REF!,#REF!,#REF!,#REF!,#REF!,#REF!</definedName>
    <definedName name="__APW_RESTORE_DATA985__" hidden="1">#REF!,#REF!,#REF!,#REF!,#REF!,#REF!,#REF!,#REF!,#REF!,#REF!,#REF!,#REF!,#REF!,#REF!,#REF!</definedName>
    <definedName name="__APW_RESTORE_DATA986__" hidden="1">#REF!,#REF!,#REF!,#REF!,#REF!,#REF!,#REF!,#REF!,#REF!,#REF!,#REF!,#REF!,#REF!,#REF!,#REF!</definedName>
    <definedName name="__APW_RESTORE_DATA987__" hidden="1">#REF!,#REF!,#REF!,#REF!,#REF!,#REF!,#REF!,#REF!,#REF!,#REF!,#REF!,#REF!,#REF!,#REF!,#REF!</definedName>
    <definedName name="__APW_RESTORE_DATA988__" hidden="1">#REF!,#REF!,#REF!,#REF!,#REF!,#REF!,#REF!,#REF!,#REF!,#REF!,#REF!,#REF!,#REF!,#REF!,#REF!</definedName>
    <definedName name="__APW_RESTORE_DATA989__" hidden="1">#REF!,#REF!,#REF!,#REF!,#REF!,#REF!,#REF!,#REF!,#REF!,#REF!,#REF!,#REF!,#REF!,#REF!,#REF!</definedName>
    <definedName name="__APW_RESTORE_DATA99__" hidden="1">#REF!,#REF!,#REF!,#REF!,#REF!,#REF!,#REF!,#REF!,#REF!,#REF!,#REF!,#REF!,#REF!,#REF!</definedName>
    <definedName name="__APW_RESTORE_DATA990__" hidden="1">#REF!,#REF!,#REF!,#REF!,#REF!,#REF!,#REF!,#REF!,#REF!,#REF!,#REF!,#REF!,#REF!,#REF!,#REF!</definedName>
    <definedName name="__APW_RESTORE_DATA991__" hidden="1">#REF!,#REF!,#REF!,#REF!,#REF!,#REF!,#REF!,#REF!,#REF!,#REF!,#REF!,#REF!,#REF!,#REF!,#REF!</definedName>
    <definedName name="__APW_RESTORE_DATA992__" hidden="1">#REF!,#REF!,#REF!,#REF!,#REF!,#REF!,#REF!,#REF!,#REF!,#REF!,#REF!,#REF!,#REF!,#REF!,#REF!</definedName>
    <definedName name="__APW_RESTORE_DATA993__" hidden="1">#REF!,#REF!,#REF!,#REF!,#REF!,#REF!,#REF!,#REF!,#REF!,#REF!,#REF!,#REF!,#REF!,#REF!,#REF!</definedName>
    <definedName name="__APW_RESTORE_DATA994__" hidden="1">#REF!,#REF!,#REF!,#REF!,#REF!,#REF!,#REF!,#REF!,#REF!,#REF!,#REF!,#REF!,#REF!,#REF!,#REF!</definedName>
    <definedName name="__APW_RESTORE_DATA995__" hidden="1">#REF!,#REF!,#REF!,#REF!,#REF!,#REF!,#REF!,#REF!,#REF!,#REF!,#REF!,#REF!,#REF!,#REF!,#REF!</definedName>
    <definedName name="__APW_RESTORE_DATA996__" hidden="1">#REF!,#REF!,#REF!,#REF!,#REF!,#REF!,#REF!,#REF!,#REF!,#REF!,#REF!,#REF!,#REF!,#REF!,#REF!</definedName>
    <definedName name="__APW_RESTORE_DATA997__" hidden="1">#REF!,#REF!,#REF!,#REF!,#REF!,#REF!,#REF!,#REF!,#REF!,#REF!,#REF!,#REF!,#REF!,#REF!,#REF!</definedName>
    <definedName name="__APW_RESTORE_DATA998__" hidden="1">#REF!,#REF!,#REF!,#REF!,#REF!,#REF!,#REF!,#REF!,#REF!,#REF!,#REF!,#REF!,#REF!,#REF!,#REF!</definedName>
    <definedName name="__APW_RESTORE_DATA999__" hidden="1">#REF!,#REF!,#REF!,#REF!,#REF!,#REF!,#REF!,#REF!,#REF!,#REF!,#REF!,#REF!,#REF!,#REF!,#REF!</definedName>
    <definedName name="_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_dd3" hidden="1">{"CBGMASTER",#N/A,FALSE,"CBG"}</definedName>
    <definedName name="__FDS_HYPERLINK_TOGGLE_STATE__" hidden="1">"ON"</definedName>
    <definedName name="__FDS_UNIQUE_RANGE_ID_GENERATOR_COUNTER" hidden="1">23</definedName>
    <definedName name="__FDS_USED_FOR_REUSING_RANGE_IDS_RECYCLE" hidden="1">{15,29,12,32,10,16,44,3,4,8,25,39,22,61,6,52,21,2,14,18,30,27,5,37,43,1,13,26,11,24,35,41,47,19,59,9,17,20,23,34,7,40,45,31,60,62,28,33,36,63,38,42,46}</definedName>
    <definedName name="__IntlFixup" hidden="1">TRUE</definedName>
    <definedName name="__Key2" hidden="1">#REF!</definedName>
    <definedName name="__p5" hidden="1">{"MARCRD",#N/A,FALSE,"FORECAST";"MARMKT",#N/A,FALSE,"FORECAST";"MARSTO",#N/A,FALSE,"FORECAST";"q1cred",#N/A,FALSE,"FORECAST";"q1mkt",#N/A,FALSE,"FORECAST";"q1sto",#N/A,FALSE,"FORECAST";"SUMMARY",#N/A,FALSE,"FORECAST"}</definedName>
    <definedName name="__v1" hidden="1">{"MARCRD",#N/A,FALSE,"FORECAST";"MARMKT",#N/A,FALSE,"FORECAST";"MARSTO",#N/A,FALSE,"FORECAST";"q1cred",#N/A,FALSE,"FORECAST";"q1mkt",#N/A,FALSE,"FORECAST";"q1sto",#N/A,FALSE,"FORECAST";"SUMMARY",#N/A,FALSE,"FORECAST"}</definedName>
    <definedName name="_1__123Graph_AChart_1A" hidden="1">#REF!</definedName>
    <definedName name="_10__123Graph_AChart_1AJ" hidden="1">#REF!</definedName>
    <definedName name="_100__123Graph_EChart_1AB" hidden="1">#REF!</definedName>
    <definedName name="_101__123Graph_EChart_1B" hidden="1">#REF!</definedName>
    <definedName name="_103__123Graph_FChart_1B" hidden="1">#REF!</definedName>
    <definedName name="_11__123Graph_AChart_1AK" hidden="1">#REF!</definedName>
    <definedName name="_11__123Graph_BChart_1A" hidden="1">#REF!</definedName>
    <definedName name="_111__123Graph_XGRAFICO_8" hidden="1">#REF!</definedName>
    <definedName name="_12__123Graph_AChart_1AL" hidden="1">#REF!</definedName>
    <definedName name="_12__123Graph_BChart_58B" hidden="1">#REF!</definedName>
    <definedName name="_123Graph_AC" hidden="1">#REF!</definedName>
    <definedName name="_123Graph_D1" hidden="1">#REF!</definedName>
    <definedName name="_123Graph_E1" hidden="1">#REF!</definedName>
    <definedName name="_13__123Graph_AChart_1AM" hidden="1">#REF!</definedName>
    <definedName name="_14__123Graph_AChart_1AN" hidden="1">#REF!</definedName>
    <definedName name="_14__123Graph_XChart_1A" hidden="1">#REF!</definedName>
    <definedName name="_15__123Graph_AChart_1B" hidden="1">#REF!</definedName>
    <definedName name="_15__123Graph_XChart_58B" hidden="1">#REF!</definedName>
    <definedName name="_16__123Graph_AChart_1C" hidden="1">#REF!</definedName>
    <definedName name="_17__123Graph_AChart_1E" hidden="1">#REF!</definedName>
    <definedName name="_18__123Graph_AChart_1F" hidden="1">#REF!</definedName>
    <definedName name="_19__123Graph_AChart_1G" hidden="1">#REF!</definedName>
    <definedName name="_2__123Graph_AChart_1AA" hidden="1">#REF!</definedName>
    <definedName name="_2__123Graph_AChart_58B" hidden="1">#REF!</definedName>
    <definedName name="_2__123Graph_XTABACO_MPRIMAS" hidden="1">#REF!</definedName>
    <definedName name="_20__123Graph_AChart_1H" hidden="1">#REF!</definedName>
    <definedName name="_2001_MODEL">#REF!</definedName>
    <definedName name="_21__123Graph_AChart_1I" hidden="1">#REF!</definedName>
    <definedName name="_22__123Graph_AChart_1J" hidden="1">#REF!</definedName>
    <definedName name="_23__123Graph_AChart_1K" hidden="1">#REF!</definedName>
    <definedName name="_24__123Graph_AChart_1L" hidden="1">#REF!</definedName>
    <definedName name="_25__123Graph_AChart_1M" hidden="1">#REF!</definedName>
    <definedName name="_26__123Graph_AChart_1N" hidden="1">#REF!</definedName>
    <definedName name="_27__123Graph_AChart_1O" hidden="1">#REF!</definedName>
    <definedName name="_28__123Graph_AChart_1P" hidden="1">#REF!</definedName>
    <definedName name="_29__123Graph_AChart_1Q" hidden="1">#REF!</definedName>
    <definedName name="_3__123Graph_AChart_1AB" hidden="1">#REF!</definedName>
    <definedName name="_3__123Graph_BChart_1A" hidden="1">#REF!</definedName>
    <definedName name="_30__123Graph_AChart_1" hidden="1">#REF!</definedName>
    <definedName name="_30__123Graph_AChart_1R" hidden="1">#REF!</definedName>
    <definedName name="_31__123Graph_AChart_1S" hidden="1">#REF!</definedName>
    <definedName name="_31__123Graph_AChart_2" hidden="1">#REF!</definedName>
    <definedName name="_32__123Graph_AChart_1T" hidden="1">#REF!</definedName>
    <definedName name="_32__123Graph_AChart_3" hidden="1">#REF!</definedName>
    <definedName name="_33__123Graph_AChart_1U" hidden="1">#REF!</definedName>
    <definedName name="_33__123Graph_AChart_4" hidden="1">#REF!</definedName>
    <definedName name="_34__123Graph_AChart_1V" hidden="1">#REF!</definedName>
    <definedName name="_34__123Graph_AChart_5" hidden="1">#REF!</definedName>
    <definedName name="_35__123Graph_AChart_1W" hidden="1">#REF!</definedName>
    <definedName name="_35__123Graph_AChart_6" hidden="1">#REF!</definedName>
    <definedName name="_36__123Graph_AChart_1X" hidden="1">#REF!</definedName>
    <definedName name="_36__123Graph_XChart_1" hidden="1">#REF!</definedName>
    <definedName name="_37__123Graph_AChart_1Y" hidden="1">#REF!</definedName>
    <definedName name="_37__123Graph_XChart_2" hidden="1">#REF!</definedName>
    <definedName name="_38__123Graph_AChart_1Z" hidden="1">#REF!</definedName>
    <definedName name="_38__123Graph_XChart_3" hidden="1">#REF!</definedName>
    <definedName name="_39__123Graph_AChart_2D" hidden="1">#REF!</definedName>
    <definedName name="_39__123Graph_XChart_4" hidden="1">#REF!</definedName>
    <definedName name="_4__123Graph_AChart_1AC" hidden="1">#REF!</definedName>
    <definedName name="_4__123Graph_BChart_58B" hidden="1">#REF!</definedName>
    <definedName name="_40__123Graph_AChart_3D" hidden="1">#REF!</definedName>
    <definedName name="_40__123Graph_XChart_5" hidden="1">#REF!</definedName>
    <definedName name="_41__123Graph_AChart_3X" hidden="1">#REF!</definedName>
    <definedName name="_41__123Graph_XChart_6" hidden="1">#REF!</definedName>
    <definedName name="_42__123Graph_AChart_9C" hidden="1">#REF!</definedName>
    <definedName name="_44__123Graph_AChart_1" hidden="1">#REF!</definedName>
    <definedName name="_44__123Graph_AGRAFICO_7" hidden="1">#REF!</definedName>
    <definedName name="_45__123Graph_AChart_2" hidden="1">#REF!</definedName>
    <definedName name="_45__123Graph_AGRAFICO_8" hidden="1">#REF!</definedName>
    <definedName name="_46__123Graph_AChart_3" hidden="1">#REF!</definedName>
    <definedName name="_46__123Graph_BChart_1AA" hidden="1">#REF!</definedName>
    <definedName name="_47__123Graph_AChart_4" hidden="1">#REF!</definedName>
    <definedName name="_47__123Graph_BChart_1AB" hidden="1">#REF!</definedName>
    <definedName name="_48__123Graph_AChart_5" hidden="1">#REF!</definedName>
    <definedName name="_48__123Graph_BChart_1AC" hidden="1">#REF!</definedName>
    <definedName name="_49__123Graph_AChart_6" hidden="1">#REF!</definedName>
    <definedName name="_49__123Graph_BChart_1AD" hidden="1">#REF!</definedName>
    <definedName name="_4WORD_M_001_07">#N/A</definedName>
    <definedName name="_4WORD_O_005_L_">#N/A</definedName>
    <definedName name="_5__123Graph_AChart_1AD" hidden="1">#REF!</definedName>
    <definedName name="_5__123Graph_XChart_1A" hidden="1">#REF!</definedName>
    <definedName name="_50__123Graph_BChart_1AE" hidden="1">#REF!</definedName>
    <definedName name="_50__123Graph_XChart_1" hidden="1">#REF!</definedName>
    <definedName name="_51__123Graph_BChart_1AF" hidden="1">#REF!</definedName>
    <definedName name="_51__123Graph_XChart_2" hidden="1">#REF!</definedName>
    <definedName name="_52__123Graph_BChart_1AG" hidden="1">#REF!</definedName>
    <definedName name="_52__123Graph_XChart_3" hidden="1">#REF!</definedName>
    <definedName name="_53__123Graph_BChart_1B" hidden="1">#REF!</definedName>
    <definedName name="_53__123Graph_XChart_4" hidden="1">#REF!</definedName>
    <definedName name="_54__123Graph_BChart_1C" hidden="1">#REF!</definedName>
    <definedName name="_54__123Graph_XChart_5" hidden="1">#REF!</definedName>
    <definedName name="_55__123Graph_BChart_1E" hidden="1">#REF!</definedName>
    <definedName name="_55__123Graph_XChart_6" hidden="1">#REF!</definedName>
    <definedName name="_56__123Graph_BChart_1F" hidden="1">#REF!</definedName>
    <definedName name="_57__123Graph_BChart_1G" hidden="1">#REF!</definedName>
    <definedName name="_58__123Graph_AChart_1" hidden="1">#REF!</definedName>
    <definedName name="_58__123Graph_BChart_1H" hidden="1">#REF!</definedName>
    <definedName name="_59__123Graph_AChart_2" hidden="1">#REF!</definedName>
    <definedName name="_59__123Graph_BChart_1I" hidden="1">#REF!</definedName>
    <definedName name="_6__123Graph_AChart_1AE" hidden="1">#REF!</definedName>
    <definedName name="_6__123Graph_XChart_58B" hidden="1">#REF!</definedName>
    <definedName name="_60__123Graph_AChart_3" hidden="1">#REF!</definedName>
    <definedName name="_60__123Graph_BChart_1J" hidden="1">#REF!</definedName>
    <definedName name="_61__123Graph_AChart_4" hidden="1">#REF!</definedName>
    <definedName name="_61__123Graph_BChart_1K" hidden="1">#REF!</definedName>
    <definedName name="_62__123Graph_AChart_5" hidden="1">#REF!</definedName>
    <definedName name="_62__123Graph_BChart_1L" hidden="1">#REF!</definedName>
    <definedName name="_63__123Graph_AChart_6" hidden="1">#REF!</definedName>
    <definedName name="_63__123Graph_BChart_1N" hidden="1">#REF!</definedName>
    <definedName name="_64__123Graph_BChart_1Q" hidden="1">#REF!</definedName>
    <definedName name="_64__123Graph_XChart_1" hidden="1">#REF!</definedName>
    <definedName name="_65__123Graph_BChart_1U" hidden="1">#REF!</definedName>
    <definedName name="_65__123Graph_XChart_2" hidden="1">#REF!</definedName>
    <definedName name="_66__123Graph_BChart_1Y" hidden="1">#REF!</definedName>
    <definedName name="_66__123Graph_XChart_3" hidden="1">#REF!</definedName>
    <definedName name="_67__123Graph_BChart_1Z" hidden="1">#REF!</definedName>
    <definedName name="_67__123Graph_XChart_4" hidden="1">#REF!</definedName>
    <definedName name="_68__123Graph_BChart_2D" hidden="1">#REF!</definedName>
    <definedName name="_68__123Graph_XChart_5" hidden="1">#REF!</definedName>
    <definedName name="_69__123Graph_BChart_9C" hidden="1">#REF!</definedName>
    <definedName name="_69__123Graph_XChart_6" hidden="1">#REF!</definedName>
    <definedName name="_7__123Graph_AChart_1AF" hidden="1">#REF!</definedName>
    <definedName name="_71__123Graph_BGRAFICO_7" hidden="1">#REF!</definedName>
    <definedName name="_72__123Graph_AChart_1" hidden="1">#REF!</definedName>
    <definedName name="_72__123Graph_BGRAFICO_8" hidden="1">#REF!</definedName>
    <definedName name="_73__123Graph_AChart_2" hidden="1">#REF!</definedName>
    <definedName name="_73__123Graph_CChart_1AA" hidden="1">#REF!</definedName>
    <definedName name="_74__123Graph_AChart_3" hidden="1">#REF!</definedName>
    <definedName name="_74__123Graph_CChart_1AB" hidden="1">#REF!</definedName>
    <definedName name="_75__123Graph_AChart_4" hidden="1">#REF!</definedName>
    <definedName name="_75__123Graph_CChart_1AE" hidden="1">#REF!</definedName>
    <definedName name="_76__123Graph_AChart_5" hidden="1">#REF!</definedName>
    <definedName name="_76__123Graph_CChart_1AF" hidden="1">#REF!</definedName>
    <definedName name="_77__123Graph_AChart_6" hidden="1">#REF!</definedName>
    <definedName name="_77__123Graph_CChart_1B" hidden="1">#REF!</definedName>
    <definedName name="_78__123Graph_CChart_1C" hidden="1">#REF!</definedName>
    <definedName name="_78__123Graph_XChart_1" hidden="1">#REF!</definedName>
    <definedName name="_79__123Graph_CChart_1E" hidden="1">#REF!</definedName>
    <definedName name="_79__123Graph_XChart_2" hidden="1">#REF!</definedName>
    <definedName name="_8__123Graph_AChart_1A" hidden="1">#REF!</definedName>
    <definedName name="_8__123Graph_AChart_1AG" hidden="1">#REF!</definedName>
    <definedName name="_80__123Graph_CChart_1F" hidden="1">#REF!</definedName>
    <definedName name="_80__123Graph_XChart_3" hidden="1">#REF!</definedName>
    <definedName name="_81__123Graph_CChart_1G" hidden="1">#REF!</definedName>
    <definedName name="_81__123Graph_XChart_4" hidden="1">#REF!</definedName>
    <definedName name="_82__123Graph_CChart_1H" hidden="1">#REF!</definedName>
    <definedName name="_82__123Graph_XChart_5" hidden="1">#REF!</definedName>
    <definedName name="_83__123Graph_CChart_1I" hidden="1">#REF!</definedName>
    <definedName name="_83__123Graph_XChart_6" hidden="1">#REF!</definedName>
    <definedName name="_84__123Graph_CChart_1J" hidden="1">#REF!</definedName>
    <definedName name="_85__123Graph_CChart_1K" hidden="1">#REF!</definedName>
    <definedName name="_86__123Graph_CChart_1L" hidden="1">#REF!</definedName>
    <definedName name="_87__123Graph_CChart_1N" hidden="1">#REF!</definedName>
    <definedName name="_88__123Graph_CChart_1U" hidden="1">#REF!</definedName>
    <definedName name="_89__123Graph_CChart_1Y" hidden="1">#REF!</definedName>
    <definedName name="_9__123Graph_AChart_1AI" hidden="1">#REF!</definedName>
    <definedName name="_9__123Graph_AChart_58B" hidden="1">#REF!</definedName>
    <definedName name="_90__123Graph_CChart_9C" hidden="1">#REF!</definedName>
    <definedName name="_92__123Graph_DChart_1AB" hidden="1">#REF!</definedName>
    <definedName name="_93__123Graph_DChart_1B" hidden="1">#REF!</definedName>
    <definedName name="_94__123Graph_DChart_1C" hidden="1">#REF!</definedName>
    <definedName name="_95__123Graph_DChart_1I" hidden="1">#REF!</definedName>
    <definedName name="_96__123Graph_DChart_1J" hidden="1">#REF!</definedName>
    <definedName name="_97__123Graph_DChart_1K" hidden="1">#REF!</definedName>
    <definedName name="_98__123Graph_DChart_1L" hidden="1">#REF!</definedName>
    <definedName name="_a1" hidden="1">{#N/A,#N/A,FALSE,"Valuation";#N/A,#N/A,FALSE,"MLP Impact"}</definedName>
    <definedName name="_a2" hidden="1">{"Income Statement",#N/A,FALSE,"CFMODEL";"Balance Sheet",#N/A,FALSE,"CFMODEL"}</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MO_RefreshMultipleList" hidden="1">"'Partitions:2'"</definedName>
    <definedName name="_AMO_RefreshMultipleList.0" hidden="1">"'&lt;Items&gt;_x000D_
  &lt;Item Id=""899847759"" Checked=""True"" /&gt;_x000D_
  &lt;Item Id=""52235609"" Checked=""True"" /&gt;_x000D_
  &lt;Item Id=""611984280"" Checked=""True"" /&gt;_x000D_
  &lt;Item Id=""559222629"" Checked=""True"" /&gt;_x000D_
  &lt;Item Id=""431925314"" Checked=""True"" /&gt;_x000D_
  &lt;Item Id'"</definedName>
    <definedName name="_AMO_RefreshMultipleList.1" hidden="1">"'=""682276847"" Checked=""True"" /&gt;_x000D_
  &lt;Item Id=""208004134"" Checked=""True"" /&gt;_x000D_
&lt;/Items&gt;'"</definedName>
    <definedName name="_AMO_SingleObject_125518289_PivotTable_125518289" hidden="1">#REF!</definedName>
    <definedName name="_AMO_SingleObject_596566141_PivotTable_596566141" hidden="1">#REF!</definedName>
    <definedName name="_AMO_SingleValue_OLAPViewerAddInState" hidden="1">"'Partitions:65'"</definedName>
    <definedName name="_AMO_SingleValue_OLAPViewerAddInState.0" hidden="1">"'&lt;?xml version=""1.0"" encoding=""utf-16""?&gt;_x000D_
&lt;OlapViewerAddIn Ver=""1""&gt;_x000D_
    &lt;FrameProperties&gt;_x000D_
        &lt;FrameProperties Ver=""5.1""&gt;_x000D_
            &lt;ViewerSynchronization&gt;Synchronized&lt;/ViewerSynchronization&gt;_x000D_
            &lt;RolesSection&gt;Expanded&lt;/RolesS'"</definedName>
    <definedName name="_AMO_SingleValue_OLAPViewerAddInState.1" hidden="1">"'ection&gt;_x000D_
            &lt;PerformanceMaxRowsColumnsToProcess&gt;10000&lt;/PerformanceMaxRowsColumnsToProcess&gt;_x000D_
            &lt;PerformanceNumRowsColumnsToRetrieve&gt;100&lt;/PerformanceNumRowsColumnsToRetrieve&gt;_x000D_
            &lt;RowsColumnsShowAll&gt;true&lt;/RowsColumnsShowAll&gt;_x000D_'"</definedName>
    <definedName name="_AMO_SingleValue_OLAPViewerAddInState.10" hidden="1">"'kColor=""51, 51, 153"" UseGradient=""false""&gt;_x000D_
                                    &lt;Totals BackColor=""247, 247, 247"" TextColor=""Black"" UseGradient=""false"" /&gt;_x000D_
                                    &lt;AxisTotals UseGradient=""false"" /&gt;_x000D_
            '"</definedName>
    <definedName name="_AMO_SingleValue_OLAPViewerAddInState.11" hidden="1">"'                    &lt;/Data&gt;_x000D_
                            &lt;/GridViewerStyle&gt;_x000D_
                            &lt;GraphViewerStyle StyleName=""EG_OLAP"" /&gt;_x000D_
                        &lt;/ViewerStyle&gt;_x000D_
                    &lt;/CustomStyle&gt;_x000D_
                &lt;/Styles&gt;_x000D_'"</definedName>
    <definedName name="_AMO_SingleValue_OLAPViewerAddInState.12" hidden="1">"'
            &lt;/StylesTheme&gt;_x000D_
        &lt;/FrameProperties&gt;_x000D_
    &lt;/FrameProperties&gt;_x000D_
    &lt;CubeList&gt;_x000D_
        &lt;Cube Ver=""1""&gt;_x000D_
            &lt;CubeDisplayName&gt;Operational Sales&lt;/CubeDisplayName&gt;_x000D_
            &lt;ID&gt;2c30b0a0-47f6-4a4f-a119-c618f6490a2e&lt;/ID&gt;_x000D_
   '"</definedName>
    <definedName name="_AMO_SingleValue_OLAPViewerAddInState.13" hidden="1">"'         &lt;dna&gt;&amp;lt;DNA&amp;gt;_x000D_
  &amp;lt;Type&amp;gt;OlapCube&amp;lt;/Type&amp;gt;_x000D_
  &amp;lt;Name&amp;gt;Operational Sales&amp;lt;/Name&amp;gt;_x000D_
  &amp;lt;Version&amp;gt;1&amp;lt;/Version&amp;gt;_x000D_
  &amp;lt;Assembly&amp;gt;SAS.EG.SDS.Model&amp;lt;/Assembly&amp;gt;_x000D_
  &amp;lt;Factory&amp;gt;SAS.EG.SDS.Model.Creator&amp;lt;/Factor'"</definedName>
    <definedName name="_AMO_SingleValue_OLAPViewerAddInState.14" hidden="1">"'y&amp;gt;_x000D_
  &amp;lt;ParentName&amp;gt;Foundation&amp;lt;/ParentName&amp;gt;_x000D_
  &amp;lt;DisplayName&amp;gt;Operational Sales&amp;lt;/DisplayName&amp;gt;_x000D_
  &amp;lt;OlapServerType&amp;gt;OlapServer&amp;lt;/OlapServerType&amp;gt;_x000D_
  &amp;lt;OlapCatalog&amp;gt;Foundation&amp;lt;/OlapCatalog&amp;gt;_x000D_
  &amp;lt;OlapCube&amp;gt;Ope'"</definedName>
    <definedName name="_AMO_SingleValue_OLAPViewerAddInState.15" hidden="1">"'rational Sales&amp;lt;/OlapCube&amp;gt;_x000D_
  &amp;lt;LoginMode&amp;gt;OTP&amp;lt;/LoginMode&amp;gt;_x000D_
  &amp;lt;HostName&amp;gt;DC01-WIN-SAS.Credibility.dandb.com&amp;lt;/HostName&amp;gt;_x000D_
  &amp;lt;OlapProviderName&amp;gt;SAS.OLAPProvider&amp;lt;/OlapProviderName&amp;gt;_x000D_
  &amp;lt;Port&amp;gt;5451&amp;lt;/Port&amp;gt;_x000D_
  &amp;'"</definedName>
    <definedName name="_AMO_SingleValue_OLAPViewerAddInState.16" hidden="1">"'lt;OlapServer&amp;gt;SASApp&amp;lt;/OlapServer&amp;gt;_x000D_
  &amp;lt;OlapExtProperties /&amp;gt;_x000D_
  &amp;lt;LogicalName&amp;gt;SASApp - Logical OLAP Server&amp;lt;/LogicalName&amp;gt;_x000D_
&amp;lt;/DNA&amp;gt;&lt;/dna&gt;_x000D_
            &lt;CubeManager&gt;_x000D_
                &lt;CubeViewManager Ver=""5.1""&gt;_x000D_
           '"</definedName>
    <definedName name="_AMO_SingleValue_OLAPViewerAddInState.17" hidden="1">"'         &lt;SelectedPanel&gt;DataDimensions&lt;/SelectedPanel&gt;_x000D_
                    &lt;IsMaximized&gt;true&lt;/IsMaximized&gt;_x000D_
                    &lt;MaximizedWidth&gt;200&lt;/MaximizedWidth&gt;_x000D_
                    &lt;CustomizedItemsPanel Ver=""5.1""&gt;_x000D_
                        &lt;IsS'"</definedName>
    <definedName name="_AMO_SingleValue_OLAPViewerAddInState.18" hidden="1">"'earch&gt;False&lt;/IsSearch&gt;_x000D_
                        &lt;Type&gt;AllCustomizedItems&lt;/Type&gt;_x000D_
                        &lt;GroupingType&gt;Type&lt;/GroupingType&gt;_x000D_
                        &lt;SortOrder&gt;Custom&lt;/SortOrder&gt;_x000D_
                    &lt;/CustomizedItemsPanel&gt;_x000D_
           '"</definedName>
    <definedName name="_AMO_SingleValue_OLAPViewerAddInState.19" hidden="1">"'         &lt;FiltersPanel Ver=""5.1""&gt;_x000D_
                        &lt;IsSearch&gt;False&lt;/IsSearch&gt;_x000D_
                        &lt;Type&gt;Filters&lt;/Type&gt;_x000D_
                        &lt;GroupingType&gt;Type&lt;/GroupingType&gt;_x000D_
                        &lt;SortOrder&gt;Custom&lt;/SortOrder&gt;_x000D_
  '"</definedName>
    <definedName name="_AMO_SingleValue_OLAPViewerAddInState.2" hidden="1">"'
            &lt;DrillThroughMaxRowsToInclude&gt;100&lt;/DrillThroughMaxRowsToInclude&gt;_x000D_
            &lt;DrillThroughInsertAsObject&gt;false&lt;/DrillThroughInsertAsObject&gt;_x000D_
            &lt;SliceReplacePrevious&gt;false&lt;/SliceReplacePrevious&gt;_x000D_
            &lt;SliceType&gt;Slice&lt;/Sl'"</definedName>
    <definedName name="_AMO_SingleValue_OLAPViewerAddInState.20" hidden="1">"'                  &lt;/FiltersPanel&gt;_x000D_
                    &lt;HighlightsPanel Ver=""5.1""&gt;_x000D_
                        &lt;IsSearch&gt;False&lt;/IsSearch&gt;_x000D_
                        &lt;Type&gt;Highlights&lt;/Type&gt;_x000D_
                        &lt;GroupingType&gt;Measure&lt;/GroupingType&gt;_x000D_
  '"</definedName>
    <definedName name="_AMO_SingleValue_OLAPViewerAddInState.21" hidden="1">"'                      &lt;SortOrder&gt;Custom&lt;/SortOrder&gt;_x000D_
                    &lt;/HighlightsPanel&gt;_x000D_
                &lt;/CubeViewManager&gt;_x000D_
            &lt;/CubeManager&gt;_x000D_
            &lt;RolesManager /&gt;_x000D_
            &lt;Views&gt;_x000D_
                &lt;View Ver=""1""&gt;_x000D_
         '"</definedName>
    <definedName name="_AMO_SingleValue_OLAPViewerAddInState.22" hidden="1">"'           &lt;ShapeID&gt;8193&lt;/ShapeID&gt;_x000D_
                    &lt;Name&gt;b1948e6c-9d86-4c13-ac4a-0838e3982e24&lt;/Name&gt;_x000D_
                    &lt;Active&gt;True&lt;/Active&gt;_x000D_
                    &lt;Title&gt;View 1&lt;/Title&gt;_x000D_
                    &lt;ViewType&gt;0&lt;/ViewType&gt;_x000D_
              '"</definedName>
    <definedName name="_AMO_SingleValue_OLAPViewerAddInState.23" hidden="1">"'      &lt;ViewControl Ver=""5.1""&gt;_x000D_
                        &lt;Table Ver=""Table.001"" ShowUniqueNames=""false"" ShowDataRawValues=""true"" RowsScrollOffset=""0"" RowsScrollTuple=""([Customer Geography].[All Customer Geography].[                           '"</definedName>
    <definedName name="_AMO_SingleValue_OLAPViewerAddInState.24" hidden="1">"'                                                                         ])"" ColumnsScrollOffset=""0"" ColumnsScrollTuple=""([TIME].[Year_Quarter_Month_Date].[All Year_Quarter_Month_Date].[2012], [Measures].[Net Amount])""&gt;_x000D_
                         '"</definedName>
    <definedName name="_AMO_SingleValue_OLAPViewerAddInState.25" hidden="1">"'   &lt;ColumnHeadersPanel Ver=""ColumnHeadersPanel.001""&gt;_x000D_
                                &lt;HeadersPanel Ver=""HeadersPanel.001""&gt;_x000D_
                                    &lt;ColumnMeasurements&gt;_x000D_
                                        &lt;PanelMeasurements Ver='"</definedName>
    <definedName name="_AMO_SingleValue_OLAPViewerAddInState.26" hidden="1">"'""PanelMeasurements.001"" /&gt;_x000D_
                                    &lt;/ColumnMeasurements&gt;_x000D_
                                    &lt;RowMeasurements&gt;_x000D_
                                        &lt;PanelMeasurements Ver=""PanelMeasurements.001"" /&gt;_x000D_
              '"</definedName>
    <definedName name="_AMO_SingleValue_OLAPViewerAddInState.27" hidden="1">"'                      &lt;/RowMeasurements&gt;_x000D_
                                &lt;/HeadersPanel&gt;_x000D_
                            &lt;/ColumnHeadersPanel&gt;_x000D_
                            &lt;RowHeadersPanel Ver=""RowHeadersPanel.001""&gt;_x000D_
                                &lt;H'"</definedName>
    <definedName name="_AMO_SingleValue_OLAPViewerAddInState.28" hidden="1">"'eadersPanel Ver=""HeadersPanel.001""&gt;_x000D_
                                    &lt;ColumnMeasurements&gt;_x000D_
                                        &lt;PanelMeasurements Ver=""PanelMeasurements.001"" /&gt;_x000D_
                                    &lt;/ColumnMeasurements&gt;_x000D_
  '"</definedName>
    <definedName name="_AMO_SingleValue_OLAPViewerAddInState.29" hidden="1">"'                                  &lt;RowMeasurements&gt;_x000D_
                                        &lt;PanelMeasurements Ver=""PanelMeasurements.001"" /&gt;_x000D_
                                    &lt;/RowMeasurements&gt;_x000D_
                                &lt;/HeadersPanel&gt;_x000D_
'"</definedName>
    <definedName name="_AMO_SingleValue_OLAPViewerAddInState.3" hidden="1">"'iceType&gt;_x000D_
            &lt;NumberOfRowsToScan&gt;500&lt;/NumberOfRowsToScan&gt;_x000D_
            &lt;StylesShowShadings&gt;true&lt;/StylesShowShadings&gt;_x000D_
            &lt;FilterExampleVisible&gt;false&lt;/FilterExampleVisible&gt;_x000D_
            &lt;StylesTheme&gt;_x000D_
                &lt;Styles Version='"</definedName>
    <definedName name="_AMO_SingleValue_OLAPViewerAddInState.30" hidden="1">"'                            &lt;/RowHeadersPanel&gt;_x000D_
                        &lt;/Table&gt;_x000D_
                        &lt;ViewDetails Ver=""ViewDetails.001"" Abbreviate=""false""&gt;_x000D_
                            &lt;Section Type=""TableColumns"" /&gt;_x000D_
                      '"</definedName>
    <definedName name="_AMO_SingleValue_OLAPViewerAddInState.31" hidden="1">"'      &lt;Section Type=""TableRows"" /&gt;_x000D_
                            &lt;Section Type=""TableContext"" /&gt;_x000D_
                        &lt;/ViewDetails&gt;_x000D_
                    &lt;/ViewControl&gt;_x000D_
                &lt;/View&gt;_x000D_
            &lt;/Views&gt;_x000D_
            &lt;AnalyzerSync&gt;_x000D_'"</definedName>
    <definedName name="_AMO_SingleValue_OLAPViewerAddInState.32" hidden="1">"'
                &lt;DefaultViewProps&gt;_x000D_
                    &lt;ViewerProperties Ver=""1""&gt;_x000D_
                        &lt;RawValuesShowRawValues&gt;true&lt;/RawValuesShowRawValues&gt;_x000D_
                        &lt;RawValuesShowUniqueMemberID&gt;false&lt;/RawValuesShowUniqueMember'"</definedName>
    <definedName name="_AMO_SingleValue_OLAPViewerAddInState.33" hidden="1">"'ID&gt;_x000D_
                        &lt;RowsColumnsShowRows&gt;true&lt;/RowsColumnsShowRows&gt;_x000D_
                        &lt;RowsColumnsShowColumns&gt;true&lt;/RowsColumnsShowColumns&gt;_x000D_
                        &lt;AddCalculatedMembers&gt;false&lt;/AddCalculatedMembers&gt;_x000D_
                  '"</definedName>
    <definedName name="_AMO_SingleValue_OLAPViewerAddInState.34" hidden="1">"'      &lt;TotalsShowOn&gt;After&lt;/TotalsShowOn&gt;_x000D_
                        &lt;TotalsShow&gt;Parent&lt;/TotalsShow&gt;_x000D_
                        &lt;TotalsShowAllCombos&gt;All&lt;/TotalsShowAllCombos&gt;_x000D_
                        &lt;GraphType&gt;Intelligent&lt;/GraphType&gt;_x000D_
                    '"</definedName>
    <definedName name="_AMO_SingleValue_OLAPViewerAddInState.35" hidden="1">"'    &lt;GraphGroupType&gt;ByRows&lt;/GraphGroupType&gt;_x000D_
                        &lt;GraphPlacementType&gt;GroupsOnCategoryAxis&lt;/GraphPlacementType&gt;_x000D_
                        &lt;IsIntelligentChart&gt;true&lt;/IsIntelligentChart&gt;_x000D_
                    &lt;/ViewerProperties&gt;_x000D_
       '"</definedName>
    <definedName name="_AMO_SingleValue_OLAPViewerAddInState.36" hidden="1">"'         &lt;/DefaultViewProps&gt;_x000D_
                &lt;CommonDataManager&gt;_x000D_
                    &lt;CommonDataManager Ver=""1""&gt;_x000D_
                        &lt;CalculatedItemCollection Ver=""CalculatedItemCollection.002"" /&gt;_x000D_
                        &lt;BookmarkCollectio'"</definedName>
    <definedName name="_AMO_SingleValue_OLAPViewerAddInState.37" hidden="1">"'n Ver=""1""&gt;_x000D_
                            &lt;Bookmark Ver=""1""&gt;_x000D_
                                &lt;ID&gt;29919f8b-2753-4fb5-b794-fa2c3d40c9c9&lt;/ID&gt;_x000D_
                                &lt;ConnectionString /&gt;_x000D_
                                &lt;OwnerUserName /&gt;_x000D_
   '"</definedName>
    <definedName name="_AMO_SingleValue_OLAPViewerAddInState.38" hidden="1">"'                             &lt;Name&gt;Initial view&lt;/Name&gt;_x000D_
                                &lt;Desc&gt;View using the default dimensions and measure from the cube.&lt;/Desc&gt;_x000D_
                                &lt;CubeManagerXML&gt;&amp;lt;QueryViewManager Ver=""1""&amp;gt;&amp;lt;Hi'"</definedName>
    <definedName name="_AMO_SingleValue_OLAPViewerAddInState.39" hidden="1">"'ddenCaptionLevels /&amp;gt;&amp;lt;HiddenPropNameLevels /&amp;gt;&amp;lt;QueryBuilder Ver=""QueryBuilder.002"" NonEmptyOnColumns=""false"" NonEmptyOnRows=""false"" AddCalculatedMembers=""false"" TotalsShow=""Parent"" TotalsPos=""After"" TotalsCoalesce=""All"" Custo'"</definedName>
    <definedName name="_AMO_SingleValue_OLAPViewerAddInState.4" hidden="1">"'""1"" CurrentStyle=""DefaultOlapStyle""&gt;_x000D_
                    &lt;CustomStyle&gt;_x000D_
                        &lt;ViewerStyle Version=""1"" Name=""CustomStyle"" Default=""false""&gt;_x000D_
                            &lt;GridViewerStyle GridLineColor=""178, 178, 178"" Grid'"</definedName>
    <definedName name="_AMO_SingleValue_OLAPViewerAddInState.40" hidden="1">"'mOrder=""false"" ModifiedMDX=""""&amp;gt;&amp;lt;QueryAxis Ver=""QueryAxis.001""&amp;gt;&amp;lt;QueryStack Ver=""QueryStack.001""&amp;gt;&amp;lt;QueryHierarchies&amp;gt;&amp;lt;QueryHierarchy Ver=""QueryHierarchy.001"" Hierarchy=""[TIME].[Year_Quarter_Month_Date]"" HierarchyPrefix='"</definedName>
    <definedName name="_AMO_SingleValue_OLAPViewerAddInState.41" hidden="1">"'""[TIME].[Year_Quarter_Month_Date]"" IsMeasureHier=""false"" AllMember=""[TIME].[Year_Quarter_Month_Date].[All Year_Quarter_Month_Date]""&amp;gt;&amp;lt;DimSetFromMember Ver=""DimSetFromMember.005"" Hierarchy=""[TIME].[Year_Quarter_Month_Date]"" Member=""[TIM'"</definedName>
    <definedName name="_AMO_SingleValue_OLAPViewerAddInState.42" hidden="1">"'E].[Year_Quarter_Month_Date].[All Year_Quarter_Month_Date]"" WhichDescendants=""Children"" ToLevel="""" /&amp;gt;&amp;lt;/QueryHierarchy&amp;gt;&amp;lt;QueryHierarchy Ver=""QueryHierarchy.001"" Hierarchy=""[Measures].[Measures]"" HierarchyPrefix=""[Measures]"" IsMea'"</definedName>
    <definedName name="_AMO_SingleValue_OLAPViewerAddInState.43" hidden="1">"'sureHier=""true"" AllMember=""""&amp;gt;&amp;lt;DimSetFromMember Ver=""DimSetFromMember.005"" Hierarchy=""[Measures].[Measures]"" Member=""[Measures].[Net Amount]"" WhichDescendants=""None"" ToLevel="""" /&amp;gt;&amp;lt;/QueryHierarchy&amp;gt;&amp;lt;/QueryHierarchies&amp;gt;&amp;l'"</definedName>
    <definedName name="_AMO_SingleValue_OLAPViewerAddInState.44" hidden="1">"'t;/QueryStack&amp;gt;&amp;lt;/QueryAxis&amp;gt;&amp;lt;QueryAxis Ver=""QueryAxis.001""&amp;gt;&amp;lt;QueryStack Ver=""QueryStack.001""&amp;gt;&amp;lt;QueryHierarchies&amp;gt;&amp;lt;QueryHierarchy Ver=""QueryHierarchy.001"" Hierarchy=""[Customer Geography].[Customer Geography]"" Hierarchy'"</definedName>
    <definedName name="_AMO_SingleValue_OLAPViewerAddInState.45" hidden="1">"'Prefix=""[Customer Geography]"" IsMeasureHier=""false"" AllMember=""[Customer Geography].[All Customer Geography]""&amp;gt;&amp;lt;DimSetFromMember Ver=""DimSetFromMember.005"" Hierarchy=""[Customer Geography].[Customer Geography]"" Member=""[Customer Geograp'"</definedName>
    <definedName name="_AMO_SingleValue_OLAPViewerAddInState.46" hidden="1">"'hy].[All Customer Geography]"" WhichDescendants=""Children"" ToLevel="""" /&amp;gt;&amp;lt;/QueryHierarchy&amp;gt;&amp;lt;/QueryHierarchies&amp;gt;&amp;lt;/QueryStack&amp;gt;&amp;lt;/QueryAxis&amp;gt;&amp;lt;Slicers&amp;gt;&amp;lt;QueryItemCollection Ver=""QueryItemCollection.001"" /&amp;gt;&amp;lt;/Slicer'"</definedName>
    <definedName name="_AMO_SingleValue_OLAPViewerAddInState.47" hidden="1">"'s&amp;gt;&amp;lt;/QueryBuilder&amp;gt;&amp;lt;AppliedHighlights /&amp;gt;&amp;lt;/QueryViewManager&amp;gt;&lt;/CubeManagerXML&gt;_x000D_
                                &lt;ConditionalHighlights /&gt;_x000D_
                                &lt;IncludeConditionalHighlights&gt;True&lt;/IncludeConditionalHighlight'"</definedName>
    <definedName name="_AMO_SingleValue_OLAPViewerAddInState.48" hidden="1">"'s&gt;_x000D_
                                &lt;DefaultView&gt;true&lt;/DefaultView&gt;_x000D_
                                &lt;IsInitialDefaultView&gt;true&lt;/IsInitialDefaultView&gt;_x000D_
                                &lt;MDX /&gt;_x000D_
                                &lt;Added&gt;true&lt;/Added&gt;_x000D_
     '"</definedName>
    <definedName name="_AMO_SingleValue_OLAPViewerAddInState.49" hidden="1">"'                       &lt;/Bookmark&gt;_x000D_
                        &lt;/BookmarkCollection&gt;_x000D_
                        &lt;FilterCollection Ver=""1""&gt;_x000D_
                            &lt;QueryItemCollection Ver=""QueryItemCollection.001"" /&gt;_x000D_
                        &lt;/Fil'"</definedName>
    <definedName name="_AMO_SingleValue_OLAPViewerAddInState.5" hidden="1">"'FrameColor=""127, 157, 185"" UseGradient=""false""&gt;_x000D_
                                &lt;AxisTotals BackColor=""247, 247, 247"" TextColor=""Black"" UseGradient=""false"" /&gt;_x000D_
                                &lt;Row BackColor=""227, 235, 244"" TextColor=""Bl'"</definedName>
    <definedName name="_AMO_SingleValue_OLAPViewerAddInState.50" hidden="1">"'terCollection&gt;_x000D_
                        &lt;MemberSetCollection Ver=""1""&gt;_x000D_
                            &lt;QueryItemCollection Ver=""QueryItemCollection.001"" /&gt;_x000D_
                        &lt;/MemberSetCollection&gt;_x000D_
                        &lt;PercentOfTotalCollec'"</definedName>
    <definedName name="_AMO_SingleValue_OLAPViewerAddInState.51" hidden="1">"'tion Ver=""1""&gt;_x000D_
                            &lt;QueryItemCollection Ver=""QueryItemCollection.001"" /&gt;_x000D_
                        &lt;/PercentOfTotalCollection&gt;_x000D_
                        &lt;HighlightCollection Ver=""1"" /&gt;_x000D_
                    &lt;/CommonDataManag'"</definedName>
    <definedName name="_AMO_SingleValue_OLAPViewerAddInState.52" hidden="1">"'er&gt;_x000D_
                &lt;/CommonDataManager&gt;_x000D_
                &lt;QueryViewManager&gt;_x000D_
                    &lt;QueryViewManager Ver=""1""&gt;_x000D_
                        &lt;HiddenCaptionLevels /&gt;_x000D_
                        &lt;HiddenPropNameLevels /&gt;_x000D_
                       '"</definedName>
    <definedName name="_AMO_SingleValue_OLAPViewerAddInState.53" hidden="1">"' &lt;QueryBuilder Ver=""QueryBuilder.002"" NonEmptyOnColumns=""false"" NonEmptyOnRows=""false"" AddCalculatedMembers=""false"" TotalsShow=""Parent"" TotalsPos=""After"" TotalsCoalesce=""All"" CustomOrder=""false"" ModifiedMDX=""""&gt;_x000D_
                     '"</definedName>
    <definedName name="_AMO_SingleValue_OLAPViewerAddInState.54" hidden="1">"'       &lt;QueryAxis Ver=""QueryAxis.001""&gt;_x000D_
                                &lt;QueryStack Ver=""QueryStack.001""&gt;_x000D_
                                    &lt;QueryHierarchies&gt;_x000D_
                                        &lt;QueryHierarchy Ver=""QueryHierarchy.001"" H'"</definedName>
    <definedName name="_AMO_SingleValue_OLAPViewerAddInState.55" hidden="1">"'ierarchy=""[TIME].[Year_Quarter_Month_Date]"" HierarchyPrefix=""[TIME].[Year_Quarter_Month_Date]"" IsMeasureHier=""false"" AllMember=""[TIME].[Year_Quarter_Month_Date].[All Year_Quarter_Month_Date]""&gt;_x000D_
                                            &lt;DimS'"</definedName>
    <definedName name="_AMO_SingleValue_OLAPViewerAddInState.56" hidden="1">"'etFromMember Ver=""DimSetFromMember.005"" Hierarchy=""[TIME].[Year_Quarter_Month_Date]"" Member=""[TIME].[Year_Quarter_Month_Date].[All Year_Quarter_Month_Date]"" WhichDescendants=""Children"" ToLevel="""" /&gt;_x000D_
                                        &lt;'"</definedName>
    <definedName name="_AMO_SingleValue_OLAPViewerAddInState.57" hidden="1">"'/QueryHierarchy&gt;_x000D_
                                        &lt;QueryHierarchy Ver=""QueryHierarchy.001"" Hierarchy=""[Measures].[Measures]"" HierarchyPrefix=""[Measures]"" IsMeasureHier=""true"" AllMember=""""&gt;_x000D_
                                           '"</definedName>
    <definedName name="_AMO_SingleValue_OLAPViewerAddInState.58" hidden="1">"' &lt;DimSetFromMember Ver=""DimSetFromMember.005"" Hierarchy=""[Measures].[Measures]"" Member=""[Measures].[Net Amount]"" WhichDescendants=""None"" ToLevel="""" /&gt;_x000D_
                                        &lt;/QueryHierarchy&gt;_x000D_
                              '"</definedName>
    <definedName name="_AMO_SingleValue_OLAPViewerAddInState.59" hidden="1">"'      &lt;/QueryHierarchies&gt;_x000D_
                                &lt;/QueryStack&gt;_x000D_
                            &lt;/QueryAxis&gt;_x000D_
                            &lt;QueryAxis Ver=""QueryAxis.001""&gt;_x000D_
                                &lt;QueryStack Ver=""QueryStack.001""&gt;_x000D_
   '"</definedName>
    <definedName name="_AMO_SingleValue_OLAPViewerAddInState.6" hidden="1">"'ack"" LinkColor=""51, 51, 153"" UseGradient=""true""&gt;_x000D_
                                    &lt;Gradient MaximumDepth=""10"" IntensityStep=""0.05"" InverseTextColor=""White"" /&gt;_x000D_
                                    &lt;AxisTotals UseGradient=""false"" /&gt;_x000D_
  '"</definedName>
    <definedName name="_AMO_SingleValue_OLAPViewerAddInState.60" hidden="1">"'                                 &lt;QueryHierarchies&gt;_x000D_
                                        &lt;QueryHierarchy Ver=""QueryHierarchy.001"" Hierarchy=""[Customer Geography].[Customer Geography]"" HierarchyPrefix=""[Customer Geography]"" IsMeasureHier=""f'"</definedName>
    <definedName name="_AMO_SingleValue_OLAPViewerAddInState.61" hidden="1">"'alse"" AllMember=""[Customer Geography].[All Customer Geography]""&gt;_x000D_
                                            &lt;DimSetFromMember Ver=""DimSetFromMember.005"" Hierarchy=""[Customer Geography].[Customer Geography]"" Member=""[Customer Geography].[All '"</definedName>
    <definedName name="_AMO_SingleValue_OLAPViewerAddInState.62" hidden="1">"'Customer Geography]"" WhichDescendants=""Children"" ToLevel="""" /&gt;_x000D_
                                        &lt;/QueryHierarchy&gt;_x000D_
                                    &lt;/QueryHierarchies&gt;_x000D_
                                &lt;/QueryStack&gt;_x000D_
                   '"</definedName>
    <definedName name="_AMO_SingleValue_OLAPViewerAddInState.63" hidden="1">"'         &lt;/QueryAxis&gt;_x000D_
                            &lt;Slicers&gt;_x000D_
                                &lt;QueryItemCollection Ver=""QueryItemCollection.001"" /&gt;_x000D_
                            &lt;/Slicers&gt;_x000D_
                        &lt;/QueryBuilder&gt;_x000D_
                   '"</definedName>
    <definedName name="_AMO_SingleValue_OLAPViewerAddInState.64" hidden="1">"'     &lt;AppliedHighlights /&gt;_x000D_
                    &lt;/QueryViewManager&gt;_x000D_
                &lt;/QueryViewManager&gt;_x000D_
            &lt;/AnalyzerSync&gt;_x000D_
        &lt;/Cube&gt;_x000D_
    &lt;/CubeList&gt;_x000D_
&lt;/OlapViewerAddIn&gt;'"</definedName>
    <definedName name="_AMO_SingleValue_OLAPViewerAddInState.65" hidden="1">"'                       &lt;/QueryAxis&gt;_x000D_
                            &lt;Slicers&gt;_x000D_
                                &lt;QueryItemCollection Ver=""QueryItemCollection.001"" /&gt;_x000D_
                            &lt;/Slicers&gt;_x000D_
                        &lt;/QueryBuilder&gt;_x000D_
     '"</definedName>
    <definedName name="_AMO_SingleValue_OLAPViewerAddInState.66" hidden="1">"'                   &lt;AppliedHighlights /&gt;_x000D_
                    &lt;/QueryViewManager&gt;_x000D_
                &lt;/QueryViewManager&gt;_x000D_
            &lt;/AnalyzerSync&gt;_x000D_
        &lt;/Cube&gt;_x000D_
    &lt;/CubeList&gt;_x000D_
&lt;/OlapViewerAddIn&gt;'"</definedName>
    <definedName name="_AMO_SingleValue_OLAPViewerAddInState.7" hidden="1">"'                              &lt;/Row&gt;_x000D_
                                &lt;Column BackColor=""235, 243, 235"" TextColor=""Black"" LinkColor=""51, 51, 153"" UseGradient=""true""&gt;_x000D_
                                    &lt;Gradient MaximumDepth=""10"" Intensit'"</definedName>
    <definedName name="_AMO_SingleValue_OLAPViewerAddInState.8" hidden="1">"'yStep=""0.05"" InverseTextColor=""White"" /&gt;_x000D_
                                    &lt;AxisTotals UseGradient=""false"" /&gt;_x000D_
                                &lt;/Column&gt;_x000D_
                                &lt;Measure BackColor=""255, 248, 227"" TextColor=""Black""'"</definedName>
    <definedName name="_AMO_SingleValue_OLAPViewerAddInState.9" hidden="1">"' LinkColor=""51, 51, 153"" UseGradient=""false""&gt;_x000D_
                                    &lt;AxisTotals UseGradient=""false"" /&gt;_x000D_
                                &lt;/Measure&gt;_x000D_
                                &lt;Data BackColor=""White"" TextColor=""Black"" Lin'"</definedName>
    <definedName name="_AMO_XmlVersion" hidden="1">"'1'"</definedName>
    <definedName name="_bdm.026F494D8DC1469580F8D5F094ECACBF.edm" hidden="1">#REF!</definedName>
    <definedName name="_bdm.0e6df8990e0241b8bb0f66946631268f.edm" hidden="1">#REF!</definedName>
    <definedName name="_bdm.11636614232043adbfdeb660a42760b1.edm" hidden="1">#REF!</definedName>
    <definedName name="_bdm.1232ad867acc49929d347b8d751e80cc.edm" hidden="1">#REF!</definedName>
    <definedName name="_bdm.12D7CCDC1B704AE3B6426907A6F0F3C7.edm" hidden="1">#REF!</definedName>
    <definedName name="_bdm.14e8d41898444d5da93e5c3c38058b6e.edm" hidden="1">#REF!</definedName>
    <definedName name="_bdm.1828bb6afddd4cefb12117ce0d08b75a.edm" hidden="1">#REF!</definedName>
    <definedName name="_bdm.1a90f901400548a58524e17a75649ce7.edm" hidden="1">#REF!</definedName>
    <definedName name="_bdm.236748EDED7F49FF9D8C8341C398889E.edm" hidden="1">#REF!</definedName>
    <definedName name="_bdm.240ff56d34cb4773a51a5ba56655a9e1.edm" hidden="1">#REF!</definedName>
    <definedName name="_bdm.27f74702480a4645b47bbd2f4a75a813.edm" hidden="1">#REF!</definedName>
    <definedName name="_bdm.29733b59d7484dfe91a8aeaa0c1f67b9.edm" hidden="1">#REF!</definedName>
    <definedName name="_bdm.2B024E8F2B8441A0B41350A81E271162.edm" hidden="1">#REF!</definedName>
    <definedName name="_bdm.3066A789FD054F4296A31DEB9067CBEA.edm" hidden="1">#REF!</definedName>
    <definedName name="_bdm.32f5b44aab37439fad1f94228c204b35.edm" hidden="1">#REF!</definedName>
    <definedName name="_bdm.34e5405c3167439ba7f2bcdf815b1335.edm" hidden="1">#REF!</definedName>
    <definedName name="_bdm.3cfdeae64fac45fb84c661b9d3a68e98.edm" hidden="1">#REF!</definedName>
    <definedName name="_bdm.3d35c1f3126b4c57a12523dc0e743298.edm" hidden="1">#REF!</definedName>
    <definedName name="_bdm.3D6A9353A3D3471696966386A81609E0.edm" hidden="1">#REF!</definedName>
    <definedName name="_bdm.3e12a8c388f042019fcaab9f6856dab1.edm" hidden="1">#REF!</definedName>
    <definedName name="_bdm.45bfc6b53a654bf3b2e50ec145998244.edm" hidden="1">#REF!</definedName>
    <definedName name="_bdm.460be04ca6984bd1a39cfde064a5b3f8.edm" hidden="1">#REF!</definedName>
    <definedName name="_bdm.4a6d61a4936944c8bc73c8c054a2e2a3.edm" hidden="1">#REF!</definedName>
    <definedName name="_bdm.4aa1f2e8069b4fd992fa3d3c2d5c62b7.edm" hidden="1">#REF!</definedName>
    <definedName name="_bdm.4b2ef285a664416f9350671ce08281c3.edm" hidden="1">#REF!</definedName>
    <definedName name="_bdm.4fd2b0afdcd64d7bb840dff8ed6fbec2.edm" hidden="1">#REF!</definedName>
    <definedName name="_bdm.5b9ebee84c4a48b492574c1c5054b7e0.edm" hidden="1">#REF!</definedName>
    <definedName name="_bdm.62bbd76e2d63468cb0c4c8f402fc62b2.edm" hidden="1">#REF!</definedName>
    <definedName name="_bdm.67023e15ef324108b6735b1e75ed4e9e.edm" hidden="1">#REF!</definedName>
    <definedName name="_bdm.6871877975184c7aba3d22063d61a712.edm" hidden="1">#REF!</definedName>
    <definedName name="_bdm.6ab8a717176d40f488b0ac9b34db65a1.edm" hidden="1">#REF!</definedName>
    <definedName name="_bdm.72b66bb514284be69839da9d83b5aa04.edm" hidden="1">#REF!</definedName>
    <definedName name="_bdm.73C8674FE4014C72B230D096A1FFF823.edm" hidden="1">#REF!</definedName>
    <definedName name="_bdm.7646d626a7984b44852421f230634542.edm" hidden="1">#REF!</definedName>
    <definedName name="_bdm.7DA76BFB028B4B348D707E4B7EE1AFB3.edm" hidden="1">#REF!</definedName>
    <definedName name="_bdm.7db57c15b96144aba38fc79aaa5a3c47.edm" hidden="1">#REF!</definedName>
    <definedName name="_bdm.7e69aaf1fba54724ad85db5154c079b1.edm" hidden="1">#REF!</definedName>
    <definedName name="_bdm.856131c7bd2d447d8617a83639cce5ef.edm" hidden="1">#REF!</definedName>
    <definedName name="_bdm.8b257fbf1cc042539ee9efe2ee114697.edm" hidden="1">#REF!</definedName>
    <definedName name="_bdm.8b86a062c6eb46cca9ce181715cf2078.edm" hidden="1">#REF!</definedName>
    <definedName name="_bdm.8bb5c491e8604046a95727de8f674391.edm" hidden="1">#REF!</definedName>
    <definedName name="_bdm.8C89B73E262A4D85AA915E83E2B2D932.edm" hidden="1">#REF!</definedName>
    <definedName name="_bdm.8FD11E0539244638A4A94DEA0DBCC027.edm" hidden="1">#REF!</definedName>
    <definedName name="_bdm.90FD4D9618354DBB88C08DDAC3052574.edm" hidden="1">#REF!</definedName>
    <definedName name="_bdm.923611D9370C4346915A12FBFD67EC5B.edm" hidden="1">#REF!</definedName>
    <definedName name="_bdm.9287A33A160F4FE3914074BA02FDBFA9.edm" hidden="1">#REF!</definedName>
    <definedName name="_bdm.93787a53878a433884643efd9c49e14d.edm" hidden="1">#REF!</definedName>
    <definedName name="_bdm.9860f630c60f4971aed271ed9964bf5d.edm" hidden="1">#REF!</definedName>
    <definedName name="_bdm.9959b92d71474e569bd048008e23e80d.edm" hidden="1">#REF!</definedName>
    <definedName name="_bdm.9a1f076a21d24a8baffd854f160d1294.edm" hidden="1">#REF!</definedName>
    <definedName name="_bdm.9A278DA76C7A47C0B03EDB2C695DEDA7.edm" hidden="1">#REF!</definedName>
    <definedName name="_bdm.9cb67a0a07154e408321208ca2b8767e.edm" hidden="1">#REF!</definedName>
    <definedName name="_bdm.9ffee6d8d0fa4d05b232e822090ffadc.edm" hidden="1">#REF!</definedName>
    <definedName name="_bdm.A01CA4DDC7DA4134BB0EDCD271123639.edm" hidden="1">#REF!</definedName>
    <definedName name="_bdm.a614efa158934375adfb219e94a165d4.edm" hidden="1">#REF!</definedName>
    <definedName name="_bdm.a73dec03a221450bbec024b159d3159a.edm" hidden="1">#REF!</definedName>
    <definedName name="_bdm.adb7e5d795984ca3a080c91a02092437.edm" hidden="1">#REF!</definedName>
    <definedName name="_bdm.AE474B3E1E6E4FAD9B178AA653A77A37.edm" hidden="1">#REF!</definedName>
    <definedName name="_bdm.ae796fd6e4644c44b4a9a39c8feb9dd4.edm" hidden="1">#REF!</definedName>
    <definedName name="_bdm.af8e22dc42b14dd78491c050c92ed24f.edm" hidden="1">#REF!</definedName>
    <definedName name="_bdm.b1a8f5f989724e4a9167e710d59cd138.edm" hidden="1">#REF!</definedName>
    <definedName name="_bdm.b2090eba6644408680fe08915c8dd59f.edm" hidden="1">#REF!</definedName>
    <definedName name="_bdm.b4ce82c59fc646a88713defcde4c67e5.edm" hidden="1">#REF!</definedName>
    <definedName name="_bdm.b4eac01b631b47aaaee3ac646d7076d4.edm" hidden="1">#REF!</definedName>
    <definedName name="_bdm.B6AA52EB1C7D490BA85EE661224C8CDA.edm" hidden="1">#REF!</definedName>
    <definedName name="_bdm.BC8829557E6C4E8FA8C8923C858C602B.edm" hidden="1">#REF!</definedName>
    <definedName name="_bdm.BC90CA43E0C444448DE3A1B72B38AAD9.edm" hidden="1">#REF!</definedName>
    <definedName name="_bdm.BE1C9231D01F4644807FAC40A974E25C.edm" hidden="1">#REF!</definedName>
    <definedName name="_bdm.c2ec7d4466354a3babc391c662814598.edm" hidden="1">#REF!</definedName>
    <definedName name="_bdm.c3ef8f022c9e4fe490c1b0d24862d038.edm" hidden="1">#REF!</definedName>
    <definedName name="_bdm.c8becb07e0ef406dae5e36d0628d5c84.edm" hidden="1">#REF!</definedName>
    <definedName name="_bdm.CB72F3B741C74F42879746E77F37AC76.edm" hidden="1">#REF!</definedName>
    <definedName name="_bdm.cc20733747ec4d9ba155b650aedf7e9b.edm" hidden="1">#REF!</definedName>
    <definedName name="_bdm.cdc10966b7a941c6a02535c3e1346efc.edm" hidden="1">#REF!</definedName>
    <definedName name="_bdm.d0a6c9498f824b39a1e0292bee65f625.edm" hidden="1">#REF!</definedName>
    <definedName name="_bdm.D219ADB3A8F74EC08A7C4B58AB6D27EB.edm" hidden="1">#REF!</definedName>
    <definedName name="_bdm.d64242421d6c4f9eb50fa15320828a41.edm" hidden="1">#REF!</definedName>
    <definedName name="_bdm.D9426C5103CD461BBC12C3256A0A84A8.edm" hidden="1">#REF!</definedName>
    <definedName name="_bdm.d9cca5fb8a5a43909c7fb1aa301ad02d.edm" hidden="1">#REF!</definedName>
    <definedName name="_bdm.d9dfb0dc4dbc461eba1be152219fe941.edm" hidden="1">#REF!</definedName>
    <definedName name="_bdm.dfc81c4100744785bac7da6d90108848.edm" hidden="1">#REF!</definedName>
    <definedName name="_bdm.E14FF72C600A4E8184B09E8E1573350D.edm" hidden="1">#REF!</definedName>
    <definedName name="_bdm.E4338E09BABA43BB84EBA64E6EE2227E.edm" hidden="1">#REF!</definedName>
    <definedName name="_bdm.e4ac69bcac9341b7afc8d04e4aaaa5d1.edm" hidden="1">#REF!</definedName>
    <definedName name="_bdm.e4f9604da7f44dd3aa92a8fbdd9472ee.edm" hidden="1">#REF!</definedName>
    <definedName name="_bdm.e76206431d4c469dba4e1a023f1a141d.edm" hidden="1">#REF!</definedName>
    <definedName name="_bdm.E8B440B1020748E0A74C372D3D5130D4.edm" hidden="1">#REF!</definedName>
    <definedName name="_bdm.E8DFEDFE37DD4783A114D7CBF6AD2EC5.edm" hidden="1">#REF!</definedName>
    <definedName name="_bdm.ea5fc12381364ab7b3f13bd2de4a38bc.edm" hidden="1">#REF!</definedName>
    <definedName name="_bdm.ecbee3a0db984eeb85c00dce0ca62ecf.edm" hidden="1">#REF!</definedName>
    <definedName name="_bdm.ee0284d4f8aa481a9bfa3c058601c1aa.edm" hidden="1">#REF!</definedName>
    <definedName name="_bdm.ee365b03c89f4dddbfabb05b995b4443.edm" hidden="1">#REF!</definedName>
    <definedName name="_bdm.F10DADED0D824B74AB4770102889F707.edm" hidden="1">#REF!</definedName>
    <definedName name="_bdm.F4E87876627C457A95DEEC07704E1CD9.edm" hidden="1">#REF!</definedName>
    <definedName name="_bdm.F5B8BAD6C637432CA44F2E076D298E03.edm" hidden="1">#REF!</definedName>
    <definedName name="_bdm.f72d019ce3fa466991f251a0b5a08f93.edm" hidden="1">#REF!</definedName>
    <definedName name="_bdm.fceab9ce25b64a59b87e3fdcafcb2e8a.edm" hidden="1">#REF!</definedName>
    <definedName name="_bdm.FEF2CFE82B4E427F8C50DCEAF7872ECE.edm" hidden="1">#REF!</definedName>
    <definedName name="_bdm.ff73859645834ee3bf831cef7cc7e0c5.edm" hidden="1">#REF!</definedName>
    <definedName name="_bdm.ffab80a5464b42769b1a0e135d794765.edm" hidden="1">#REF!</definedName>
    <definedName name="_bot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bot2"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_c" hidden="1">{#N/A,#N/A,FALSE,"Layout Cash Flow"}</definedName>
    <definedName name="_CHANGE">#REF!</definedName>
    <definedName name="_dd3" hidden="1">{"CBGMASTER",#N/A,FALSE,"CBG"}</definedName>
    <definedName name="_Dist_Values" hidden="1">#REF!</definedName>
    <definedName name="_Fill" hidden="1">#REF!</definedName>
    <definedName name="_xlnm._FilterDatabase" hidden="1">#REF!</definedName>
    <definedName name="_GRE2" hidden="1">{"Folie 3",#N/A,FALSE,"Jahresumsätze";"Folie 4",#N/A,FALSE,"Jahresumsätze";"Folie 5",#N/A,FALSE,"Jahresumsätze";"Folie 6",#N/A,FALSE,"Jahresumsätze";"Folie 7",#N/A,FALSE,"Jahresumsätze";"Folie 8",#N/A,FALSE,"Jahresumsätze"}</definedName>
    <definedName name="_JMF4" hidden="1">{"viewcostello",#N/A,TRUE,"Costello";"viewnathenson",#N/A,TRUE,"Nathenson";"viewwells",#N/A,TRUE,"Wells";"viewpensa",#N/A,TRUE,"Pensa"}</definedName>
    <definedName name="_JMF8" hidden="1">{"viewcostello",#N/A,TRUE,"Costello";"viewnathenson",#N/A,TRUE,"Nathenson";"viewwells",#N/A,TRUE,"Wells";"viewpensa",#N/A,TRUE,"Pensa"}</definedName>
    <definedName name="_Key1" hidden="1">#REF!</definedName>
    <definedName name="_Key2" hidden="1">#REF!</definedName>
    <definedName name="_Key2v1" hidden="1">#REF!</definedName>
    <definedName name="_Order1" hidden="1">255</definedName>
    <definedName name="_Order2" hidden="1">255</definedName>
    <definedName name="_P00balance_sheet_2" hidden="1">#REF!</definedName>
    <definedName name="_P00DCF_Summary" hidden="1">#REF!</definedName>
    <definedName name="_P00drivers_quarterly" hidden="1">#REF!</definedName>
    <definedName name="_P00finacials_quarterly_nots" hidden="1">#REF!</definedName>
    <definedName name="_P00financials_quarterly" hidden="1">#REF!</definedName>
    <definedName name="_P00yearly2" hidden="1">#REF!</definedName>
    <definedName name="_p5" hidden="1">{"MARCRD",#N/A,FALSE,"FORECAST";"MARMKT",#N/A,FALSE,"FORECAST";"MARSTO",#N/A,FALSE,"FORECAST";"q1cred",#N/A,FALSE,"FORECAST";"q1mkt",#N/A,FALSE,"FORECAST";"q1sto",#N/A,FALSE,"FORECAST";"SUMMARY",#N/A,FALSE,"FORECAST"}</definedName>
    <definedName name="_Parse_In" hidden="1">#REF!</definedName>
    <definedName name="_Parse_Out" hidden="1">#REF!</definedName>
    <definedName name="_PB1">#REF!</definedName>
    <definedName name="_PB2">#REF!</definedName>
    <definedName name="_RE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OP12">#REF!</definedName>
    <definedName name="_TOP14">#REF!</definedName>
    <definedName name="_TOP15">#REF!</definedName>
    <definedName name="_TOP16">#REF!</definedName>
    <definedName name="_TOP17">#REF!</definedName>
    <definedName name="_TOP18">#REF!</definedName>
    <definedName name="_v1" hidden="1">{"MARCRD",#N/A,FALSE,"FORECAST";"MARMKT",#N/A,FALSE,"FORECAST";"MARSTO",#N/A,FALSE,"FORECAST";"q1cred",#N/A,FALSE,"FORECAST";"q1mkt",#N/A,FALSE,"FORECAST";"q1sto",#N/A,FALSE,"FORECAST";"SUMMARY",#N/A,FALSE,"FORECAST"}</definedName>
    <definedName name="_z" hidden="1">#REF!</definedName>
    <definedName name="_Zbalance_sheet_2" hidden="1">{0,0,0,0,1,-4105,70.8661417322835,53.8582677165354,70.8661417322835,70.8661417322835,2,FALSE,FALSE,FALSE,FALSE,FALSE,#N/A,1,112,1,1,"","","","","","",FALSE}</definedName>
    <definedName name="_ZDCF_Summary" hidden="1">{0,0,0,0,1,-4105,41.04,53.8582677165354,64.08,51.84,2,FALSE,FALSE,FALSE,FALSE,FALSE,#N/A,1,65,1,1,"","","","","","",FALSE}</definedName>
    <definedName name="_Zdrivers_quarterly" hidden="1">{0,0,0,0,1,-4105,59.76,25.5118110236221,69.12,70.8661417322835,2,FALSE,FALSE,FALSE,FALSE,FALSE,#N/A,1,63,1,1,"","","","","","",FALSE}</definedName>
    <definedName name="_Zfinacials_quarterly_nots" hidden="1">{0,0,0,0,1,-4105,70.8661417322835,53.8582677165354,70.8661417322835,70.8661417322835,2,FALSE,FALSE,FALSE,FALSE,FALSE,#N/A,1,55,1,1,"","","","","","",FALSE}</definedName>
    <definedName name="_Zfinancials_quarterly" hidden="1">{0,0,0,0,1,-4105,70.8661417322835,53.8582677165354,70.8661417322835,70.8661417322835,2,FALSE,FALSE,FALSE,FALSE,FALSE,#N/A,1,55,1,1,"","","","","","",FALSE}</definedName>
    <definedName name="_Zyearly" hidden="1">{0,0,0,0,1,-4105,14.1732283464567,53.8582677165354,70.8661417322835,70.8661417322835,2,FALSE,FALSE,FALSE,FALSE,FALSE,#N/A,1,75,1,1,"","","","","","",FALSE}</definedName>
    <definedName name="_Zyearly2" hidden="1">{0,0,0,0,1,-4105,70.8661417322835,53.8582677165354,70.8661417322835,70.8661417322835,2,FALSE,FALSE,FALSE,FALSE,FALSE,#N/A,1,75,1,1,"","","","","","",FALSE}</definedName>
    <definedName name="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a" hidden="1">{#N/A,#N/A,FALSE,"Projections";#N/A,#N/A,FALSE,"Multiples Valuation";#N/A,#N/A,FALSE,"LBO";#N/A,#N/A,FALSE,"Multiples_Sensitivity";#N/A,#N/A,FALSE,"Summary"}</definedName>
    <definedName name="aaa" hidden="1">{#N/A,#N/A,FALSE,"Aging Summary";#N/A,#N/A,FALSE,"Ratio Analysis";#N/A,#N/A,FALSE,"Test 120 Day Accts";#N/A,#N/A,FALSE,"Tickmarks"}</definedName>
    <definedName name="AAA_DOCTOPS" hidden="1">"AAA_SET"</definedName>
    <definedName name="AAA_duser" hidden="1">"OFF"</definedName>
    <definedName name="aaa0" hidden="1">{#N/A,#N/A,FALSE,"Aging Summary";#N/A,#N/A,FALSE,"Ratio Analysis";#N/A,#N/A,FALSE,"Test 120 Day Accts";#N/A,#N/A,FALSE,"Tickmarks"}</definedName>
    <definedName name="AAAA" hidden="1">{"ten year ratios",#N/A,TRUE,"PROFIT_LOSS";"ten year ratios",#N/A,TRUE,"Ratios";"ten yr opex and capex",#N/A,TRUE,"1996 budget";"ten year revenues",#N/A,TRUE,"Revenue_1996-2004";"ten year payroll",#N/A,TRUE,"Payroll"}</definedName>
    <definedName name="aaaaa" hidden="1">{#N/A,#N/A,FALSE,"Title Page";#N/A,#N/A,FALSE,"Conclusions";#N/A,#N/A,FALSE,"Assum.";#N/A,#N/A,FALSE,"Sun  DCF-WC-Dep";#N/A,#N/A,FALSE,"MarketValue";#N/A,#N/A,FALSE,"BalSheet";#N/A,#N/A,FALSE,"WACC";#N/A,#N/A,FALSE,"PC+ Info.";#N/A,#N/A,FALSE,"PC+Info_2"}</definedName>
    <definedName name="aaaaaa" hidden="1">#N/A</definedName>
    <definedName name="aaaaaaaa" hidden="1">{"Folie 3",#N/A,FALSE,"Jahresumsätze";"Folie 4",#N/A,FALSE,"Jahresumsätze";"Folie 5",#N/A,FALSE,"Jahresumsätze";"Folie 6",#N/A,FALSE,"Jahresumsätze";"Folie 7",#N/A,FALSE,"Jahresumsätze";"Folie 8",#N/A,FALSE,"Jahresumsätze"}</definedName>
    <definedName name="AAAForecast">#REF!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hidden="1">{"fis.dbo.r1_datasum"}</definedName>
    <definedName name="abc"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abcde" hidden="1">{#N/A,#N/A,FALSE,"Title Page";#N/A,#N/A,FALSE,"Conclusions";#N/A,#N/A,FALSE,"Assum.";#N/A,#N/A,FALSE,"Sun  DCF-WC-Dep";#N/A,#N/A,FALSE,"MarketValue";#N/A,#N/A,FALSE,"BalSheet";#N/A,#N/A,FALSE,"WACC";#N/A,#N/A,FALSE,"PC+ Info.";#N/A,#N/A,FALSE,"PC+Info_2"}</definedName>
    <definedName name="absolute" hidden="1">{"NHS97",#N/A,FALSE,"NHS96 "}</definedName>
    <definedName name="AC" hidden="1">{"'Actual'!$A$1:$F$25"}</definedName>
    <definedName name="AccessDatabase" hidden="1">"C:\My Documents\Models\Pricer1.mdb"</definedName>
    <definedName name="AccessDatabase_1" hidden="1">"C:\data\cbs\macro.mdb"</definedName>
    <definedName name="ACE">#REF!</definedName>
    <definedName name="ACEE">#REF!</definedName>
    <definedName name="Acquirer">#REF!</definedName>
    <definedName name="ACwvu.febcred." hidden="1">#REF!</definedName>
    <definedName name="ACwvu.febmkt." hidden="1">#REF!</definedName>
    <definedName name="ACwvu.febsto." hidden="1">#REF!</definedName>
    <definedName name="ACwvu.MARCRD." hidden="1">#REF!</definedName>
    <definedName name="ACwvu.MARMKT." hidden="1">#REF!</definedName>
    <definedName name="ACwvu.MARSTO." hidden="1">#REF!</definedName>
    <definedName name="ACwvu.MONCRE1." hidden="1">#REF!</definedName>
    <definedName name="ACwvu.q1cred." hidden="1">#REF!</definedName>
    <definedName name="ACwvu.q1mkt." hidden="1">#REF!</definedName>
    <definedName name="ACwvu.q1sto." hidden="1">#REF!</definedName>
    <definedName name="ACwvu.SUMMARY." hidden="1">#REF!</definedName>
    <definedName name="ACwvu.ytdcred." hidden="1">#REF!</definedName>
    <definedName name="ACwvu.ytdmkt." hidden="1">#REF!</definedName>
    <definedName name="ACwvu.ytdsto." hidden="1">#REF!</definedName>
    <definedName name="ad" hidden="1">{"INCOMEquarterly1",#N/A,TRUE,"income";"INCOMEquarterly2",#N/A,TRUE,"income"}</definedName>
    <definedName name="adcd" hidden="1">{#N/A,#N/A,FALSE,"Sheet8";#N/A,#N/A,FALSE,"Sheet7"}</definedName>
    <definedName name="adf" hidden="1">{#N/A,#N/A,FALSE,"Qrt Fcst";#N/A,#N/A,FALSE,"Qrt Fcst vs Plan &amp; PY";#N/A,#N/A,FALSE,"FY Fcst vs Plan &amp; PY";#N/A,#N/A,FALSE,"EVA CAP";#N/A,#N/A,FALSE,"EVA NOPAT"}</definedName>
    <definedName name="adf_1" hidden="1">{#N/A,#N/A,FALSE,"Qrt Fcst";#N/A,#N/A,FALSE,"Qrt Fcst vs Plan &amp; PY";#N/A,#N/A,FALSE,"FY Fcst vs Plan &amp; PY";#N/A,#N/A,FALSE,"EVA CAP";#N/A,#N/A,FALSE,"EVA NOPAT"}</definedName>
    <definedName name="adfg" hidden="1">{#N/A,#N/A,TRUE,"Monthly BCG";#N/A,#N/A,TRUE,"Monthly w|o Wireless";#N/A,#N/A,TRUE,"Monthly Wireless"}</definedName>
    <definedName name="adfg_1" hidden="1">{#N/A,#N/A,TRUE,"Monthly BCG";#N/A,#N/A,TRUE,"Monthly w|o Wireless";#N/A,#N/A,TRUE,"Monthly Wireless"}</definedName>
    <definedName name="adsa" hidden="1">{"'Actual'!$A$1:$F$25"}</definedName>
    <definedName name="ads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dsf" hidden="1">{#N/A,#N/A,FALSE,"Sheet1";#N/A,#N/A,FALSE,"Sheet2";#N/A,#N/A,FALSE,"Sheet3";#N/A,#N/A,FALSE,"Sheet4";#N/A,#N/A,FALSE,"Sheet5";#N/A,#N/A,FALSE,"Sheet6"}</definedName>
    <definedName name="a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g" hidden="1">#N/A</definedName>
    <definedName name="agag" hidden="1">{#N/A,#N/A,FALSE,"Aging Summary";#N/A,#N/A,FALSE,"Ratio Analysis";#N/A,#N/A,FALSE,"Test 120 Day Accts";#N/A,#N/A,FALSE,"Tickmarks"}</definedName>
    <definedName name="AJHFkjDGHF" hidden="1">{"Annual_Income",#N/A,FALSE,"Report Page";"Balance_Cash_Flow",#N/A,FALSE,"Report Page";"Quarterly_Income",#N/A,FALSE,"Report Page"}</definedName>
    <definedName name="aksdfsdk" hidden="1">{#N/A,#N/A,FALSE,"Aging Summary";#N/A,#N/A,FALSE,"Ratio Analysis";#N/A,#N/A,FALSE,"Test 120 Day Accts";#N/A,#N/A,FALSE,"Tickmarks"}</definedName>
    <definedName name="ALEXIA" hidden="1">#REF!</definedName>
    <definedName name="ALL">#REF!</definedName>
    <definedName name="ALLE">#REF!</definedName>
    <definedName name="allearnings">#REF!</definedName>
    <definedName name="allquarter">#REF!</definedName>
    <definedName name="anna" hidden="1">{"Folie 3",#N/A,FALSE,"Jahresumsätze";"Folie 4",#N/A,FALSE,"Jahresumsätze";"Folie 5",#N/A,FALSE,"Jahresumsätze";"Folie 6",#N/A,FALSE,"Jahresumsätze";"Folie 7",#N/A,FALSE,"Jahresumsätze";"Folie 8",#N/A,FALSE,"Jahresumsätze"}</definedName>
    <definedName name="Annuities">#REF!</definedName>
    <definedName name="anscount" hidden="1">1</definedName>
    <definedName name="anything" hidden="1">{#N/A,#N/A,FALSE,"Output";#N/A,#N/A,FALSE,"Cover Sheet";#N/A,#N/A,FALSE,"Current Mkt. Projections"}</definedName>
    <definedName name="Argentina">#REF!</definedName>
    <definedName name="ArmaPPA" hidden="1">{#N/A,#N/A,FALSE,"Sheet8";#N/A,#N/A,FALSE,"Sheet7"}</definedName>
    <definedName name="as" hidden="1">{#N/A,#N/A,FALSE,"Qrt Fcst";#N/A,#N/A,FALSE,"Qrt Fcst vs Plan &amp; PY";#N/A,#N/A,FALSE,"FY Fcst vs Plan &amp; PY";#N/A,#N/A,FALSE,"EVA CAP";#N/A,#N/A,FALSE,"EVA NOPAT"}</definedName>
    <definedName name="as_1" hidden="1">{#N/A,#N/A,FALSE,"Qrt Fcst";#N/A,#N/A,FALSE,"Qrt Fcst vs Plan &amp; PY";#N/A,#N/A,FALSE,"FY Fcst vs Plan &amp; PY";#N/A,#N/A,FALSE,"EVA CAP";#N/A,#N/A,FALSE,"EVA NOPAT"}</definedName>
    <definedName name="AS2DocOpenMode" hidden="1">"AS2DocumentEdit"</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hidden="1">{#N/A,#N/A,TRUE,"4Q BCG";#N/A,#N/A,TRUE,"4Q w|o Wireless";#N/A,#N/A,TRUE,"4Q Wireless"}</definedName>
    <definedName name="asd_1" hidden="1">{#N/A,#N/A,TRUE,"4Q BCG";#N/A,#N/A,TRUE,"4Q w|o Wireless";#N/A,#N/A,TRUE,"4Q Wireless"}</definedName>
    <definedName name="asd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a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d" hidden="1">{#N/A,#N/A,FALSE,"Sheet1";#N/A,#N/A,FALSE,"Sheet2";#N/A,#N/A,FALSE,"Sheet3";#N/A,#N/A,FALSE,"Sheet4";#N/A,#N/A,FALSE,"Sheet5";#N/A,#N/A,FALSE,"Sheet6"}</definedName>
    <definedName name="asdf" hidden="1">{#N/A,#N/A,FALSE,"Qrt Fcst";#N/A,#N/A,FALSE,"Qrt Fcst vs Plan &amp; PY";#N/A,#N/A,FALSE,"FY Fcst vs Plan &amp; PY";#N/A,#N/A,FALSE,"EVA CAP";#N/A,#N/A,FALSE,"EVA NOPAT"}</definedName>
    <definedName name="asdf_1" hidden="1">{#N/A,#N/A,FALSE,"Qrt Fcst";#N/A,#N/A,FALSE,"Qrt Fcst vs Plan &amp; PY";#N/A,#N/A,FALSE,"FY Fcst vs Plan &amp; PY";#N/A,#N/A,FALSE,"EVA CAP";#N/A,#N/A,FALSE,"EVA NOPAT"}</definedName>
    <definedName name="asdfasdf" hidden="1">{#N/A,#N/A,TRUE,"TOC";#N/A,#N/A,TRUE,"Assum";#N/A,#N/A,TRUE,"Op-BS";#N/A,#N/A,TRUE,"IS";#N/A,#N/A,TRUE,"BSCF";#N/A,#N/A,TRUE,"Ratios";#N/A,#N/A,TRUE,"Sens";#N/A,#N/A,TRUE,"Holmes_IS";#N/A,#N/A,TRUE,"Holmes_BSCF";#N/A,#N/A,TRUE,"Holmes_Rat";#N/A,#N/A,TRUE,"Hound_IS";#N/A,#N/A,TRUE,"Hound_BSCF";#N/A,#N/A,TRUE,"Hound_Rat";#N/A,#N/A,TRUE,"Hound_DCF1"}</definedName>
    <definedName name="asdfasdfasdf" hidden="1">{"SUMMARY",#N/A,TRUE,"SUMMARY";"compare",#N/A,TRUE,"Vs. Bus Plan";"ratios",#N/A,TRUE,"Ratios";"REVENUE",#N/A,TRUE,"Revenue";"expenses",#N/A,TRUE,"1996 budget";"payroll",#N/A,TRUE,"Payroll"}</definedName>
    <definedName name="asdfasdfsdfsdf" hidden="1">{#N/A,#N/A,FALSE,"Aging Summary";#N/A,#N/A,FALSE,"Ratio Analysis";#N/A,#N/A,FALSE,"Test 120 Day Accts";#N/A,#N/A,FALSE,"Tickmarks"}</definedName>
    <definedName name="asf" hidden="1">{#N/A,#N/A,TRUE,"Monthly BCG";#N/A,#N/A,TRUE,"Qrt BCG";#N/A,#N/A,TRUE,"FY BCG";#N/A,#N/A,TRUE,"1Q BCG";#N/A,#N/A,TRUE,"2Q BCG";#N/A,#N/A,TRUE,"3Q BCG";#N/A,#N/A,TRUE,"4Q BCG"}</definedName>
    <definedName name="asf_1" hidden="1">{#N/A,#N/A,TRUE,"Monthly BCG";#N/A,#N/A,TRUE,"Qrt BCG";#N/A,#N/A,TRUE,"FY BCG";#N/A,#N/A,TRUE,"1Q BCG";#N/A,#N/A,TRUE,"2Q BCG";#N/A,#N/A,TRUE,"3Q BCG";#N/A,#N/A,TRUE,"4Q BCG"}</definedName>
    <definedName name="asfafq" hidden="1">#N/A</definedName>
    <definedName name="asfda" hidden="1">{"fdsup://IBCentral/FAT Viewer?action=UPDATE&amp;creator=factset&amp;DOC_NAME=fat:reuters_semi_source_window.fat&amp;display_string=Audit&amp;DYN_ARGS=TRUE&amp;VAR:ID1=DFT&amp;VAR:RCODE=FDSPFDSTKTOTAL&amp;VAR:SDATE=0&amp;VAR:FREQ=FSA&amp;VAR:RELITEM=RP&amp;VAR:CURRENCY=&amp;VAR:CURRSOURCE=EXSHARE&amp;VAR",":NATFREQ=FSA&amp;VAR:RFIELD=FINALIZED&amp;VAR:DB_TYPE=&amp;VAR:UNITS=M&amp;window=popup&amp;width=450&amp;height=300&amp;START_MAXIMIZED=FALSE"}</definedName>
    <definedName name="askdh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s" hidden="1">{#N/A,#N/A,TRUE,"TOC";#N/A,#N/A,TRUE,"Assum";#N/A,#N/A,TRUE,"Op-BS";#N/A,#N/A,TRUE,"IS";#N/A,#N/A,TRUE,"BSCF";#N/A,#N/A,TRUE,"Ratios";#N/A,#N/A,TRUE,"Sens";#N/A,#N/A,TRUE,"Holmes_IS";#N/A,#N/A,TRUE,"Holmes_BSCF";#N/A,#N/A,TRUE,"Holmes_Rat";#N/A,#N/A,TRUE,"Hound_IS";#N/A,#N/A,TRUE,"Hound_BSCF";#N/A,#N/A,TRUE,"Hound_Rat";#N/A,#N/A,TRUE,"Hound_DCF1"}</definedName>
    <definedName name="AssetAnal9">#REF!</definedName>
    <definedName name="AssetGathering">#REF!</definedName>
    <definedName name="AssetMngmt">#REF!</definedName>
    <definedName name="AssetsManaged">#REF!</definedName>
    <definedName name="asumpmatrix">#REF!</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fwendungen" hidden="1">{#N/A,#N/A,FALSE,"Aging Summary";#N/A,#N/A,FALSE,"Ratio Analysis";#N/A,#N/A,FALSE,"Test 120 Day Accts";#N/A,#N/A,FALSE,"Tickmarks"}</definedName>
    <definedName name="AUM">#REF!</definedName>
    <definedName name="Auto">#REF!</definedName>
    <definedName name="AutoHome">#REF!</definedName>
    <definedName name="avaaaaav" hidden="1">#N/A</definedName>
    <definedName name="a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re" hidden="1">{#N/A,#N/A,TRUE,"4Q BCG";#N/A,#N/A,TRUE,"4Q w|o Wireless";#N/A,#N/A,TRUE,"4Q Wireless"}</definedName>
    <definedName name="awre_1" hidden="1">{#N/A,#N/A,TRUE,"4Q BCG";#N/A,#N/A,TRUE,"4Q w|o Wireless";#N/A,#N/A,TRUE,"4Q Wireless"}</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xesFormat">#REF!</definedName>
    <definedName name="b" hidden="1">{#N/A,#N/A,FALSE,"Projections";#N/A,#N/A,FALSE,"AccrDil";#N/A,#N/A,FALSE,"PurchPriMult";#N/A,#N/A,FALSE,"Mults7_13";#N/A,#N/A,FALSE,"Mkt Mults";#N/A,#N/A,FALSE,"Acq Mults";#N/A,#N/A,FALSE,"StockPrices";#N/A,#N/A,FALSE,"Prem Paid";#N/A,#N/A,FALSE,"DCF";#N/A,#N/A,FALSE,"AUTO";#N/A,#N/A,FALSE,"Relative Trading";#N/A,#N/A,FALSE,"Mkt Val";#N/A,#N/A,FALSE,"Acq Val"}</definedName>
    <definedName name="b_1_1" hidden="1">{#N/A,#N/A,TRUE,"Monthly w|o Wireless";#N/A,#N/A,TRUE,"Qrt w|o Wireless";#N/A,#N/A,TRUE,"FY w|o Wireless";#N/A,#N/A,TRUE,"1Q w|o Wireless";#N/A,#N/A,TRUE,"2Q w|o Wireless";#N/A,#N/A,TRUE,"3Q w|o Wireless";#N/A,#N/A,TRUE,"4Q w|o Wireless"}</definedName>
    <definedName name="ba" hidden="1">{"IS",#N/A,FALSE,"IS";"RPTIS",#N/A,FALSE,"RPTIS";"STATS",#N/A,FALSE,"STATS";"CELL",#N/A,FALSE,"CELL";"BS",#N/A,FALSE,"BS"}</definedName>
    <definedName name="BAC_EHS" hidden="1">{"BAC_CBG",#N/A,FALSE,"BAC_CBG"}</definedName>
    <definedName name="BalanceSheet">#REF!</definedName>
    <definedName name="bb" hidden="1">{"Folie 3",#N/A,FALSE,"Jahresumsätze";"Folie 4",#N/A,FALSE,"Jahresumsätze";"Folie 5",#N/A,FALSE,"Jahresumsätze";"Folie 6",#N/A,FALSE,"Jahresumsätze";"Folie 7",#N/A,FALSE,"Jahresumsätze";"Folie 8",#N/A,FALSE,"Jahresumsätze"}</definedName>
    <definedName name="bbb" hidden="1">{#N/A,#N/A,FALSE,"Aging Summary";#N/A,#N/A,FALSE,"Ratio Analysis";#N/A,#N/A,FALSE,"Test 120 Day Accts";#N/A,#N/A,FALSE,"Tickmarks"}</definedName>
    <definedName name="bbbb" hidden="1">{"Folie 3",#N/A,FALSE,"Jahresumsätze";"Folie 4",#N/A,FALSE,"Jahresumsätze";"Folie 5",#N/A,FALSE,"Jahresumsätze";"Folie 6",#N/A,FALSE,"Jahresumsätze";"Folie 7",#N/A,FALSE,"Jahresumsätze";"Folie 8",#N/A,FALSE,"Jahresumsätze"}</definedName>
    <definedName name="bbbbb" hidden="1">{"Folie 3",#N/A,FALSE,"Jahresumsätze";"Folie 4",#N/A,FALSE,"Jahresumsätze";"Folie 5",#N/A,FALSE,"Jahresumsätze";"Folie 6",#N/A,FALSE,"Jahresumsätze";"Folie 7",#N/A,FALSE,"Jahresumsätze";"Folie 8",#N/A,FALSE,"Jahresumsätze"}</definedName>
    <definedName name="bbbbbbbbb" hidden="1">{"Folie 3",#N/A,FALSE,"Jahresumsätze";"Folie 4",#N/A,FALSE,"Jahresumsätze";"Folie 5",#N/A,FALSE,"Jahresumsätze";"Folie 6",#N/A,FALSE,"Jahresumsätze";"Folie 7",#N/A,FALSE,"Jahresumsätze";"Folie 8",#N/A,FALSE,"Jahresumsätze"}</definedName>
    <definedName name="bbbbbbbbbbbb" hidden="1">{"Folie 3",#N/A,FALSE,"Jahresumsätze";"Folie 4",#N/A,FALSE,"Jahresumsätze";"Folie 5",#N/A,FALSE,"Jahresumsätze";"Folie 6",#N/A,FALSE,"Jahresumsätze";"Folie 7",#N/A,FALSE,"Jahresumsätze";"Folie 8",#N/A,FALSE,"Jahresumsätze"}</definedName>
    <definedName name="Bear" hidden="1">{#N/A,#N/A,FALSE,"TS";#N/A,#N/A,FALSE,"Combo";#N/A,#N/A,FALSE,"FAIR";#N/A,#N/A,FALSE,"RBC";#N/A,#N/A,FALSE,"xxxx";#N/A,#N/A,FALSE,"A_D";#N/A,#N/A,FALSE,"WACC";#N/A,#N/A,FALSE,"DCF";#N/A,#N/A,FALSE,"LBO";#N/A,#N/A,FALSE,"AcqMults";#N/A,#N/A,FALSE,"CompMults"}</definedName>
    <definedName name="belnew" hidden="1">{"IS",#N/A,FALSE,"IS";"RPTIS",#N/A,FALSE,"RPTIS";"STATS",#N/A,FALSE,"STATS";"CELL",#N/A,FALSE,"CELL";"BS",#N/A,FALSE,"BS"}</definedName>
    <definedName name="BEx1T64Z8AQJLTQ49PFSTR5FRADJ" hidden="1">Allsource #REF!</definedName>
    <definedName name="BEx5AN2UMF25ZIUEO9B2K7SI8UWF" hidden="1">Allsource #REF!</definedName>
    <definedName name="BEx7H74RL8JWA8WBAQ63BXG4EN3I" hidden="1">Allsource #REF!</definedName>
    <definedName name="BExB2SF7SQOEMF7BCFJAM2MR0F8B" hidden="1">Allsource #REF!</definedName>
    <definedName name="BExB8B9VQITUYGABN5QVNEU2URGA" hidden="1">Allsource #REF!</definedName>
    <definedName name="BExBB3O96CPRL6H1KCIMIH3DK590" hidden="1">Allsource #REF!</definedName>
    <definedName name="BExCVPPRWRJS2DHUXL6VOPDUO7ZE" hidden="1">Allsource #REF!</definedName>
    <definedName name="BExETD36WVO2P6548I4CR1ABYXBY" hidden="1">Allsource #REF!</definedName>
    <definedName name="BExF42CPST83IY16L0NTAVDIUSBU" hidden="1">Allsource #REF!</definedName>
    <definedName name="BExF6SNJ8YGGL8PE1ANR6EE3DQ44" hidden="1">Allsource #REF!</definedName>
    <definedName name="BExIJPNNYXM7XWAWYSNEZ71QNMO8" hidden="1">Allsource #REF!</definedName>
    <definedName name="BExMAKIIZJ656BVPMWJXVV81X3H4" hidden="1">Allsource #REF!</definedName>
    <definedName name="BExMIVGRJH1JF11JDHGYABLLJVQW" hidden="1">Allsource #REF!</definedName>
    <definedName name="BExMPK9W3JE02YY4O3RIEIO1BRDB" hidden="1">Allsource #REF!</definedName>
    <definedName name="BExO7KNUAP53O6QOE6H5UPPXWJMC" hidden="1">Allsource #REF!</definedName>
    <definedName name="BExS952UPTX9L9RZIG24EFD3WSQL" hidden="1">Allsource #REF!</definedName>
    <definedName name="BExTXA1JJQVFG1UE4IXLB7YQASEF" hidden="1">Allsource #REF!</definedName>
    <definedName name="BExUCVJ0XQLE7SD5YX6NZ6ZCNR18" hidden="1">Allsource #REF!</definedName>
    <definedName name="BExZKWNDUSEW21MQPVSEEB94ESPJ" hidden="1">Allsource #REF!</definedName>
    <definedName name="BExZM0T7BJWUG9Z9NQG91UTLQTGP" hidden="1">Allsource #REF!</definedName>
    <definedName name="BExZTIJDUJLO4Z0YNFIHSWJTANX9" hidden="1">Allsource #REF!</definedName>
    <definedName name="BG_Del" hidden="1">15</definedName>
    <definedName name="BG_Ins" hidden="1">4</definedName>
    <definedName name="BG_Mod" hidden="1">6</definedName>
    <definedName name="bill" hidden="1">{"SUMMARY",#N/A,FALSE,"CONSOL";"SUMMARY",#N/A,FALSE,"2111";"SUMMARY",#N/A,FALSE,"2112";"SUMMARY",#N/A,FALSE,"2115";"SUMMARY",#N/A,FALSE,"2116"}</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 hidden="1">{"Folie 3",#N/A,FALSE,"Jahresumsätze";"Folie 4",#N/A,FALSE,"Jahresumsätze";"Folie 5",#N/A,FALSE,"Jahresumsätze";"Folie 6",#N/A,FALSE,"Jahresumsätze";"Folie 7",#N/A,FALSE,"Jahresumsätze";"Folie 8",#N/A,FALSE,"Jahresumsätze"}</definedName>
    <definedName name="bob" hidden="1">{"var1",#N/A,FALSE,"VAR";"var",#N/A,FALSE,"VAR";"ytd",#N/A,FALSE,"YTD";"SUMMARY",#N/A,FALSE,"CONSOL"}</definedName>
    <definedName name="BODY">#REF!</definedName>
    <definedName name="bot"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Business_Line">#REF!</definedName>
    <definedName name="but" hidden="1">{"page1",#N/A,FALSE,"GIRLBO";"page2",#N/A,FALSE,"GIRLBO";"page3",#N/A,FALSE,"GIRLBO";"page4",#N/A,FALSE,"GIRLBO";"page5",#N/A,FALSE,"GIRLBO"}</definedName>
    <definedName name="BV">#REF!</definedName>
    <definedName name="CapexCorn" hidden="1">{"Folie 3",#N/A,FALSE,"Jahresumsätze";"Folie 4",#N/A,FALSE,"Jahresumsätze";"Folie 5",#N/A,FALSE,"Jahresumsätze";"Folie 6",#N/A,FALSE,"Jahresumsätze";"Folie 7",#N/A,FALSE,"Jahresumsätze";"Folie 8",#N/A,FALSE,"Jahresumsätze"}</definedName>
    <definedName name="capitalized" hidden="1">{#N/A,#N/A,FALSE,"Title Page";#N/A,#N/A,FALSE,"Conclusions";#N/A,#N/A,FALSE,"Assum.";#N/A,#N/A,FALSE,"Sun  DCF-WC-Dep";#N/A,#N/A,FALSE,"MarketValue";#N/A,#N/A,FALSE,"BalSheet";#N/A,#N/A,FALSE,"WACC";#N/A,#N/A,FALSE,"PC+ Info.";#N/A,#N/A,FALSE,"PC+Info_2"}</definedName>
    <definedName name="CapStruc10">#REF!</definedName>
    <definedName name="cash">#REF!</definedName>
    <definedName name="Cashflow">#REF!</definedName>
    <definedName name="CB">#REF!</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E">#REF!</definedName>
    <definedName name="CBWorkbookPriority" hidden="1">-348976400</definedName>
    <definedName name="ccc" hidden="1">{#N/A,#N/A,FALSE,"7401-05";#N/A,#N/A,FALSE,"7404-01";#N/A,#N/A,FALSE,"7404-08";#N/A,#N/A,FALSE,"7407-01";#N/A,#N/A,FALSE,"7414-02 Alltel";#N/A,#N/A,FALSE,"7414-02 Cit"}</definedName>
    <definedName name="cccc" hidden="1">{#N/A,#N/A,FALSE,"7401-05";#N/A,#N/A,FALSE,"7404-01";#N/A,#N/A,FALSE,"7404-08";#N/A,#N/A,FALSE,"7407-01";#N/A,#N/A,FALSE,"7414-02 Alltel";#N/A,#N/A,FALSE,"7414-02 Cit"}</definedName>
    <definedName name="ccccc" hidden="1">{"Folie 3",#N/A,FALSE,"Jahresumsätze";"Folie 4",#N/A,FALSE,"Jahresumsätze";"Folie 5",#N/A,FALSE,"Jahresumsätze";"Folie 6",#N/A,FALSE,"Jahresumsätze";"Folie 7",#N/A,FALSE,"Jahresumsätze";"Folie 8",#N/A,FALSE,"Jahresumsätze"}</definedName>
    <definedName name="cccccccccccccccccccccccccccccccccccccccccccc" hidden="1">{"Folie 3",#N/A,FALSE,"Jahresumsätze";"Folie 4",#N/A,FALSE,"Jahresumsätze";"Folie 5",#N/A,FALSE,"Jahresumsätze";"Folie 6",#N/A,FALSE,"Jahresumsätze";"Folie 7",#N/A,FALSE,"Jahresumsätze";"Folie 8",#N/A,FALSE,"Jahresumsätze"}</definedName>
    <definedName name="cccccccccccccccccccccccccccccccccccccccccccccccccc" hidden="1">{"Folie 3",#N/A,FALSE,"Jahresumsätze";"Folie 4",#N/A,FALSE,"Jahresumsätze";"Folie 5",#N/A,FALSE,"Jahresumsätze";"Folie 6",#N/A,FALSE,"Jahresumsätze";"Folie 7",#N/A,FALSE,"Jahresumsätze";"Folie 8",#N/A,FALSE,"Jahresumsätze"}</definedName>
    <definedName name="cccccddddd" hidden="1">{"Folie 3",#N/A,FALSE,"Jahresumsätze";"Folie 4",#N/A,FALSE,"Jahresumsätze";"Folie 5",#N/A,FALSE,"Jahresumsätze";"Folie 6",#N/A,FALSE,"Jahresumsätze";"Folie 7",#N/A,FALSE,"Jahresumsätze";"Folie 8",#N/A,FALSE,"Jahresumsätze"}</definedName>
    <definedName name="cert" hidden="1">{"fis.dbo.r1_datasum"}</definedName>
    <definedName name="cert1" hidden="1">{"fis.dbo.r1_datasum"}</definedName>
    <definedName name="ChangeRange" hidden="1">#N/A</definedName>
    <definedName name="Charts1">#REF!</definedName>
    <definedName name="Charts2">#REF!</definedName>
    <definedName name="Chile1">#REF!</definedName>
    <definedName name="Chile2">#REF!</definedName>
    <definedName name="CINF">#REF!</definedName>
    <definedName name="CINFE">#REF!</definedName>
    <definedName name="CIQWBGuid" hidden="1">"111106-Vantage Simple Model v08.xlsx"</definedName>
    <definedName name="CIQWBGuid_1" hidden="1">"d56b8d6c-e0d4-47f2-9863-cd4e4ba253d5"</definedName>
    <definedName name="Closed_End">#REF!</definedName>
    <definedName name="ClosedBlock">#REF!</definedName>
    <definedName name="CLval">#REF!</definedName>
    <definedName name="CNF">#REF!</definedName>
    <definedName name="Code" hidden="1">#REF!</definedName>
    <definedName name="Combined" hidden="1">{#N/A,#N/A,FALSE,"OnePager"}</definedName>
    <definedName name="Comm_Lines">#N/A</definedName>
    <definedName name="Commercial_lines">RANGE33</definedName>
    <definedName name="comp" hidden="1">{"Folie 3",#N/A,FALSE,"Jahresumsätze";"Folie 4",#N/A,FALSE,"Jahresumsätze";"Folie 5",#N/A,FALSE,"Jahresumsätze";"Folie 6",#N/A,FALSE,"Jahresumsätze";"Folie 7",#N/A,FALSE,"Jahresumsätze";"Folie 8",#N/A,FALSE,"Jahresumsätze"}</definedName>
    <definedName name="CompanyName" hidden="1">#REF!</definedName>
    <definedName name="compnew" hidden="1">{"Folie 3",#N/A,FALSE,"Jahresumsätze";"Folie 4",#N/A,FALSE,"Jahresumsätze";"Folie 5",#N/A,FALSE,"Jahresumsätze";"Folie 6",#N/A,FALSE,"Jahresumsätze";"Folie 7",#N/A,FALSE,"Jahresumsätze";"Folie 8",#N/A,FALSE,"Jahresumsätze"}</definedName>
    <definedName name="compOutlk" hidden="1">{"Folie 3",#N/A,FALSE,"Jahresumsätze";"Folie 4",#N/A,FALSE,"Jahresumsätze";"Folie 5",#N/A,FALSE,"Jahresumsätze";"Folie 6",#N/A,FALSE,"Jahresumsätze";"Folie 7",#N/A,FALSE,"Jahresumsätze";"Folie 8",#N/A,FALSE,"Jahresumsätze"}</definedName>
    <definedName name="Consolidated">#REF!</definedName>
    <definedName name="ConsolidatedBal">#REF!</definedName>
    <definedName name="ConsolidatedInc">#REF!</definedName>
    <definedName name="ConsolidatedSales">#REF!</definedName>
    <definedName name="ConsolIncome">#REF!</definedName>
    <definedName name="ContentsHelp" hidden="1">#N/A</definedName>
    <definedName name="ConvDate">#REF!</definedName>
    <definedName name="copy" hidden="1">{#N/A,#N/A,TRUE,"Cover";#N/A,#N/A,TRUE,"BS";#N/A,#N/A,TRUE,"BS (2)";#N/A,#N/A,TRUE,"BS (3)";#N/A,#N/A,TRUE,"Supp Info-BS";#N/A,#N/A,TRUE,"IS";#N/A,#N/A,TRUE,"IS (2)";#N/A,#N/A,TRUE,"IS (3)";#N/A,#N/A,TRUE,"Supp Info-IS";#N/A,#N/A,TRUE,"CF";#N/A,#N/A,TRUE,"Supp Info-CF";#N/A,#N/A,TRUE,"SH";#N/A,#N/A,TRUE,"Supp Info-SH"}</definedName>
    <definedName name="COSTEUR" hidden="1">{#N/A,#N/A,FALSE,"Hip.Bas";#N/A,#N/A,FALSE,"ventas";#N/A,#N/A,FALSE,"ingre-Año";#N/A,#N/A,FALSE,"ventas-Año";#N/A,#N/A,FALSE,"Costepro";#N/A,#N/A,FALSE,"inversion";#N/A,#N/A,FALSE,"personal";#N/A,#N/A,FALSE,"Gastos-V";#N/A,#N/A,FALSE,"Circulante";#N/A,#N/A,FALSE,"CONSOLI";#N/A,#N/A,FALSE,"Es-Fin";#N/A,#N/A,FALSE,"Margen-P"}</definedName>
    <definedName name="CreateTable" hidden="1">#N/A</definedName>
    <definedName name="CubeCredentialsStripped" hidden="1">"'False'"</definedName>
    <definedName name="Current_GS">#REF!</definedName>
    <definedName name="Current_JW">#REF!</definedName>
    <definedName name="Current_Month">#REF!</definedName>
    <definedName name="CurrentMonth" hidden="1">#REF!</definedName>
    <definedName name="CurrentQtr" hidden="1">#REF!</definedName>
    <definedName name="cursource" hidden="1">"SQLServer"</definedName>
    <definedName name="Cwvu.febcred." hidden="1">#REF!</definedName>
    <definedName name="Cwvu.febmkt." hidden="1">#REF!</definedName>
    <definedName name="Cwvu.febsto." hidden="1">#REF!</definedName>
    <definedName name="Cwvu.GREY_ALL." hidden="1">#REF!</definedName>
    <definedName name="Cwvu.MARCRD." hidden="1">#REF!</definedName>
    <definedName name="Cwvu.MARMKT." hidden="1">#REF!</definedName>
    <definedName name="Cwvu.MARSTO." hidden="1">#REF!</definedName>
    <definedName name="Cwvu.MONCRE1." hidden="1">#REF!</definedName>
    <definedName name="Cwvu.q1cred." hidden="1">#REF!</definedName>
    <definedName name="Cwvu.q1mkt." hidden="1">#REF!</definedName>
    <definedName name="Cwvu.q1sto." hidden="1">#REF!</definedName>
    <definedName name="Cwvu.SUMMARY." hidden="1">#REF!</definedName>
    <definedName name="Cwvu.ytdcred." hidden="1">#REF!</definedName>
    <definedName name="Cwvu.ytdmkt." hidden="1">#REF!</definedName>
    <definedName name="Cwvu.ytdsto." hidden="1">#REF!</definedName>
    <definedName name="CZReg" hidden="1">{#N/A,#N/A,FALSE,"7401-05";#N/A,#N/A,FALSE,"7404-01";#N/A,#N/A,FALSE,"7404-08";#N/A,#N/A,FALSE,"7407-01";#N/A,#N/A,FALSE,"7414-02 Alltel";#N/A,#N/A,FALSE,"7414-02 Cit"}</definedName>
    <definedName name="CZreg2" hidden="1">{#N/A,#N/A,FALSE,"7401-05";#N/A,#N/A,FALSE,"7404-01";#N/A,#N/A,FALSE,"7404-08";#N/A,#N/A,FALSE,"7407-01";#N/A,#N/A,FALSE,"7414-02 Alltel";#N/A,#N/A,FALSE,"7414-02 Cit"}</definedName>
    <definedName name="cztup" hidden="1">{#N/A,#N/A,FALSE,"7401-05";#N/A,#N/A,FALSE,"7404-01";#N/A,#N/A,FALSE,"7404-08";#N/A,#N/A,FALSE,"7407-01";#N/A,#N/A,FALSE,"7414-02 Alltel";#N/A,#N/A,FALSE,"7414-02 Cit"}</definedName>
    <definedName name="cztup2" hidden="1">{#N/A,#N/A,FALSE,"7401-05";#N/A,#N/A,FALSE,"7404-01";#N/A,#N/A,FALSE,"7404-08";#N/A,#N/A,FALSE,"7407-01";#N/A,#N/A,FALSE,"7414-02 Alltel";#N/A,#N/A,FALSE,"7414-02 Cit"}</definedName>
    <definedName name="D" hidden="1">{#N/A,#N/A,FALSE,"AD_Purch";#N/A,#N/A,FALSE,"Projections";#N/A,#N/A,FALSE,"DCF";#N/A,#N/A,FALSE,"Mkt Val"}</definedName>
    <definedName name="d_1" hidden="1">{#N/A,#N/A,TRUE,"4Q BCG";#N/A,#N/A,TRUE,"4Q w|o Wireless";#N/A,#N/A,TRUE,"4Q Wireless"}</definedName>
    <definedName name="d_1_1" hidden="1">{#N/A,#N/A,TRUE,"4Q BCG";#N/A,#N/A,TRUE,"4Q w|o Wireless";#N/A,#N/A,TRUE,"4Q Wireless"}</definedName>
    <definedName name="dad" hidden="1">{"Folie 3",#N/A,FALSE,"Jahresumsätze";"Folie 4",#N/A,FALSE,"Jahresumsätze";"Folie 5",#N/A,FALSE,"Jahresumsätze";"Folie 6",#N/A,FALSE,"Jahresumsätze";"Folie 7",#N/A,FALSE,"Jahresumsätze";"Folie 8",#N/A,FALSE,"Jahresumsätze"}</definedName>
    <definedName name="dafad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ta1" hidden="1">#REF!</definedName>
    <definedName name="data2" hidden="1">#REF!</definedName>
    <definedName name="data3" hidden="1">#REF!</definedName>
    <definedName name="dave" hidden="1">{"fis.dbo.r1_datasum"}</definedName>
    <definedName name="Day">#REF!</definedName>
    <definedName name="dbase_char_set" hidden="1">1</definedName>
    <definedName name="dbase_compatibility" hidden="1">1</definedName>
    <definedName name="dbase_dflt" hidden="1">TRUE</definedName>
    <definedName name="Dcap">#REF!</definedName>
    <definedName name="DC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cfg" hidden="1">{"'Actual'!$A$1:$F$25"}</definedName>
    <definedName name="dcfgk" hidden="1">{"'Actual'!$A$1:$F$25"}</definedName>
    <definedName name="dd" hidden="1">{#N/A,#N/A,FALSE,"Comparison";#N/A,#N/A,FALSE,"Base Case";#N/A,#N/A,FALSE,"Alternative #1";#N/A,#N/A,FALSE,"Alternative #2"}</definedName>
    <definedName name="ddd" hidden="1">{"SYN",#N/A,FALSE,"SYN"}</definedName>
    <definedName name="DDDD" hidden="1">{"SYN",#N/A,FALSE,"SYN"}</definedName>
    <definedName name="ddddd" hidden="1">{"Folie 3",#N/A,FALSE,"Jahresumsätze";"Folie 4",#N/A,FALSE,"Jahresumsätze";"Folie 5",#N/A,FALSE,"Jahresumsätze";"Folie 6",#N/A,FALSE,"Jahresumsätze";"Folie 7",#N/A,FALSE,"Jahresumsätze";"Folie 8",#N/A,FALSE,"Jahresumsätze"}</definedName>
    <definedName name="dddddd" hidden="1">{"CBGMASTER",#N/A,FALSE,"CBG"}</definedName>
    <definedName name="ddddddddddddddddd" hidden="1">{"Folie 3",#N/A,FALSE,"Jahresumsätze";"Folie 4",#N/A,FALSE,"Jahresumsätze";"Folie 5",#N/A,FALSE,"Jahresumsätze";"Folie 6",#N/A,FALSE,"Jahresumsätze";"Folie 7",#N/A,FALSE,"Jahresumsätze";"Folie 8",#N/A,FALSE,"Jahresumsätze"}</definedName>
    <definedName name="ddf" hidden="1">{"Folie 3",#N/A,FALSE,"Jahresumsätze";"Folie 4",#N/A,FALSE,"Jahresumsätze";"Folie 5",#N/A,FALSE,"Jahresumsätze";"Folie 6",#N/A,FALSE,"Jahresumsätze";"Folie 7",#N/A,FALSE,"Jahresumsätze";"Folie 8",#N/A,FALSE,"Jahresumsätze"}</definedName>
    <definedName name="de" hidden="1">{"'Actual'!$A$1:$F$25"}</definedName>
    <definedName name="debt">#REF!</definedName>
    <definedName name="def"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leteme" hidden="1">{"schedule",#N/A,FALSE,"Sum Op's";"input area",#N/A,FALSE,"Sum Op's"}</definedName>
    <definedName name="deleteme1" hidden="1">{"schedule",#N/A,FALSE,"Sum Op's";"input area",#N/A,FALSE,"Sum Op's"}</definedName>
    <definedName name="DeleteRange" hidden="1">#N/A</definedName>
    <definedName name="DeleteTable" hidden="1">#N/A</definedName>
    <definedName name="DEM">#REF!</definedName>
    <definedName name="DEq">#REF!</definedName>
    <definedName name="det" hidden="1">{TRUE,TRUE,-0.5,-14.75,483,252,FALSE,FALSE,TRUE,TRUE,0,1,#N/A,408,#N/A,15.1230769230769,21,1,FALSE,FALSE,3,TRUE,1,FALSE,75,"Swvu.ytdsto.","ACwvu.ytdsto.",#N/A,FALSE,FALSE,0,0,0,0,2,"","",TRUE,TRUE,FALSE,FALSE,1,#N/A,1,1,"=R418C1:R442C14",FALSE,"Rwvu.ytdsto.","Cwvu.ytdsto.",FALSE,FALSE,FALSE,1,300,300,FALSE,FALSE,TRUE,TRUE,TRUE}</definedName>
    <definedName name="df" hidden="1">{#N/A,#N/A,TRUE,"FY BCG";#N/A,#N/A,TRUE,"FY w|o Wireless";#N/A,#N/A,TRUE,"FY Wireless"}</definedName>
    <definedName name="df_1" hidden="1">{#N/A,#N/A,TRUE,"FY BCG";#N/A,#N/A,TRUE,"FY w|o Wireless";#N/A,#N/A,TRUE,"FY Wireless"}</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fg" hidden="1">{"'Actual'!$A$1:$F$25"}</definedName>
    <definedName name="dfg" hidden="1">{"Folie 3",#N/A,FALSE,"Jahresumsätze";"Folie 4",#N/A,FALSE,"Jahresumsätze";"Folie 5",#N/A,FALSE,"Jahresumsätze";"Folie 6",#N/A,FALSE,"Jahresumsätze";"Folie 7",#N/A,FALSE,"Jahresumsätze";"Folie 8",#N/A,FALSE,"Jahresumsätze"}</definedName>
    <definedName name="dfgfg" hidden="1">{"'Actual'!$A$1:$F$25"}</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s" hidden="1">{"MARCRD",#N/A,FALSE,"FORECAST";"MARMKT",#N/A,FALSE,"FORECAST";"MARSTO",#N/A,FALSE,"FORECAST";"q1cred",#N/A,FALSE,"FORECAST";"q1mkt",#N/A,FALSE,"FORECAST";"q1sto",#N/A,FALSE,"FORECAST";"SUMMARY",#N/A,FALSE,"FORECAST"}</definedName>
    <definedName name="dft" hidden="1">{"'Actual'!$A$1:$F$25"}</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HFDF" hidden="1">{"MARCRD",#N/A,FALSE,"FORECAST";"MARMKT",#N/A,FALSE,"FORECAST";"MARSTO",#N/A,FALSE,"FORECAST";"q1cred",#N/A,FALSE,"FORECAST";"q1mkt",#N/A,FALSE,"FORECAST";"q1sto",#N/A,FALSE,"FORECAST";"SUMMARY",#N/A,FALSE,"FORECAST"}</definedName>
    <definedName name="Diluted_shares_outstanding">HIG</definedName>
    <definedName name="Discount" hidden="1">#REF!</definedName>
    <definedName name="display_area_2" hidden="1">#REF!</definedName>
    <definedName name="dlx.use2">#REF!</definedName>
    <definedName name="dlx01.use">#REF!</definedName>
    <definedName name="dlx010.use">#REF!</definedName>
    <definedName name="dlx011.use">#REF!</definedName>
    <definedName name="dlx012.use">#REF!</definedName>
    <definedName name="dlx013.use">#REF!</definedName>
    <definedName name="dlx014.use">#REF!</definedName>
    <definedName name="dlx015.use">#REF!</definedName>
    <definedName name="dlx016.use">#REF!</definedName>
    <definedName name="dlx017.use">#REF!</definedName>
    <definedName name="dlx018.use">#REF!</definedName>
    <definedName name="dlx02.use">#REF!</definedName>
    <definedName name="dlx03.use">#REF!</definedName>
    <definedName name="dlx04.use">#REF!</definedName>
    <definedName name="dlx05.use">#REF!</definedName>
    <definedName name="dlx06.use">#REF!</definedName>
    <definedName name="dlx07.use">#REF!</definedName>
    <definedName name="dlx08.use">#REF!</definedName>
    <definedName name="dlx09.use">#REF!</definedName>
    <definedName name="dlx1.use">#REF!</definedName>
    <definedName name="DLX1.USE1">#REF!</definedName>
    <definedName name="dlx1.usw">#REF!</definedName>
    <definedName name="dlx10.use">#REF!</definedName>
    <definedName name="dlx1001.use">#REF!</definedName>
    <definedName name="dlx1002.use">#REF!</definedName>
    <definedName name="dlx101.use">#REF!</definedName>
    <definedName name="dlx102.use">#REF!</definedName>
    <definedName name="dlx103.use">#REF!</definedName>
    <definedName name="dlx104.use">#REF!</definedName>
    <definedName name="dlx105.use">#REF!</definedName>
    <definedName name="dlx106.use">#REF!</definedName>
    <definedName name="dlx107.use">#REF!</definedName>
    <definedName name="dlx108.use">#REF!</definedName>
    <definedName name="dlx109.use">#REF!</definedName>
    <definedName name="dlx11.use">#REF!</definedName>
    <definedName name="dlx110.use">#REF!</definedName>
    <definedName name="dlx111.use">#REF!</definedName>
    <definedName name="dlx112.use">#REF!</definedName>
    <definedName name="dlx113.use">#REF!</definedName>
    <definedName name="dlx114.use">#REF!</definedName>
    <definedName name="dlx115.use">#REF!</definedName>
    <definedName name="dlx12.use">#REF!</definedName>
    <definedName name="dlx13.use">#REF!</definedName>
    <definedName name="dlx14.use">#REF!</definedName>
    <definedName name="dlx15.use">#REF!</definedName>
    <definedName name="dlx16.use">#REF!</definedName>
    <definedName name="dlx17.use">#REF!</definedName>
    <definedName name="DLX18.USE">#REF!</definedName>
    <definedName name="dlx19.use">#REF!</definedName>
    <definedName name="dlx2.use">#REF!</definedName>
    <definedName name="dlx3.use">#REF!</definedName>
    <definedName name="dlx4.use">#REF!</definedName>
    <definedName name="dlx5.use">#REF!</definedName>
    <definedName name="dlx6.use">#REF!</definedName>
    <definedName name="dlx7.use">#REF!</definedName>
    <definedName name="dlx8.use">#REF!</definedName>
    <definedName name="dlx9.use">#REF!</definedName>
    <definedName name="dog" hidden="1">{"SUMMARY",#N/A,FALSE,"2116";"EXPDETAIL",#N/A,FALSE,"2116";"CAPEX",#N/A,FALSE,"2116";"salary",#N/A,FALSE,"2116"}</definedName>
    <definedName name="Drivers" hidden="1">{"AnnMarg.",#N/A,FALSE,"ETHAN";"Q",#N/A,FALSE,"Qtrs."}</definedName>
    <definedName name="Drivers2" hidden="1">{"AnnMarg.",#N/A,FALSE,"ETHAN";"Q",#N/A,FALSE,"Qtrs."}</definedName>
    <definedName name="dsdsds" hidden="1">#REF!</definedName>
    <definedName name="dse" hidden="1">{#N/A,#N/A,FALSE,"Aging Summary";#N/A,#N/A,FALSE,"Ratio Analysis";#N/A,#N/A,FALSE,"Test 120 Day Accts";#N/A,#N/A,FALSE,"Tickmarks"}</definedName>
    <definedName name="dsf" hidden="1">#REF!</definedName>
    <definedName name="dsheet">#REF!</definedName>
    <definedName name="dsjkf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ss">#REF!</definedName>
    <definedName name="dwe" hidden="1">{"Folie 3",#N/A,FALSE,"Jahresumsätze";"Folie 4",#N/A,FALSE,"Jahresumsätze";"Folie 5",#N/A,FALSE,"Jahresumsätze";"Folie 6",#N/A,FALSE,"Jahresumsätze";"Folie 7",#N/A,FALSE,"Jahresumsätze";"Folie 8",#N/A,FALSE,"Jahresumsätze"}</definedName>
    <definedName name="E" hidden="1">40949.6108101852</definedName>
    <definedName name="e_1" hidden="1">{#N/A,#N/A,TRUE,"FY BCG";#N/A,#N/A,TRUE,"FY w|o Wireless";#N/A,#N/A,TRUE,"FY Wireless"}</definedName>
    <definedName name="e_1_1" hidden="1">{#N/A,#N/A,TRUE,"FY BCG";#N/A,#N/A,TRUE,"FY w|o Wireless";#N/A,#N/A,TRUE,"FY Wireless"}</definedName>
    <definedName name="Ea">#REF!</definedName>
    <definedName name="earn">#REF!</definedName>
    <definedName name="earnings">#REF!</definedName>
    <definedName name="Eb">#REF!</definedName>
    <definedName name="ebgqw" hidden="1">{"MARCRD",#N/A,FALSE,"FORECAST";"MARMKT",#N/A,FALSE,"FORECAST";"MARSTO",#N/A,FALSE,"FORECAST";"q1cred",#N/A,FALSE,"FORECAST";"q1mkt",#N/A,FALSE,"FORECAST";"q1sto",#N/A,FALSE,"FORECAST";"SUMMARY",#N/A,FALSE,"FORECAST"}</definedName>
    <definedName name="EBITDA_2014">#REF!</definedName>
    <definedName name="EBITDA_2015">#REF!</definedName>
    <definedName name="EBITDA_2016">#REF!</definedName>
    <definedName name="EBITDA_2017">#REF!</definedName>
    <definedName name="EBITDA_2018">#REF!</definedName>
    <definedName name="EBITDA_LTM">#REF!</definedName>
    <definedName name="Ec">#REF!</definedName>
    <definedName name="Ed">#REF!</definedName>
    <definedName name="ee" hidden="1">{#N/A,#N/A,FALSE,"7401-05";#N/A,#N/A,FALSE,"7404-01";#N/A,#N/A,FALSE,"7404-08";#N/A,#N/A,FALSE,"7407-01";#N/A,#N/A,FALSE,"7414-02 Alltel";#N/A,#N/A,FALSE,"7414-02 Cit"}</definedName>
    <definedName name="eeee" hidden="1">{"MARCRD",#N/A,FALSE,"FORECAST";"MARMKT",#N/A,FALSE,"FORECAST";"MARSTO",#N/A,FALSE,"FORECAST";"q1cred",#N/A,FALSE,"FORECAST";"q1mkt",#N/A,FALSE,"FORECAST";"q1sto",#N/A,FALSE,"FORECAST";"SUMMARY",#N/A,FALSE,"FORECAST"}</definedName>
    <definedName name="e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hqq2" hidden="1">{"SUMMARY",#N/A,FALSE,"2116";"EXPDETAIL",#N/A,FALSE,"2116";"CAPEX",#N/A,FALSE,"2116";"salary",#N/A,FALSE,"2116"}</definedName>
    <definedName name="Eigenkapital" hidden="1">{#N/A,#N/A,FALSE,"Aging Summary";#N/A,#N/A,FALSE,"Ratio Analysis";#N/A,#N/A,FALSE,"Test 120 Day Accts";#N/A,#N/A,FALSE,"Tickmarks"}</definedName>
    <definedName name="Eigenkapitalplanung" hidden="1">{#N/A,#N/A,FALSE,"Aging Summary";#N/A,#N/A,FALSE,"Ratio Analysis";#N/A,#N/A,FALSE,"Test 120 Day Accts";#N/A,#N/A,FALSE,"Tickmarks"}</definedName>
    <definedName name="EK" hidden="1">{#N/A,#N/A,FALSE,"Aging Summary";#N/A,#N/A,FALSE,"Ratio Analysis";#N/A,#N/A,FALSE,"Test 120 Day Accts";#N/A,#N/A,FALSE,"Tickmarks"}</definedName>
    <definedName name="ele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liminationBal">#REF!</definedName>
    <definedName name="EliminationInc">#REF!</definedName>
    <definedName name="Eliminations">#REF!</definedName>
    <definedName name="enterprise_value">#REF!</definedName>
    <definedName name="epina" hidden="1">{"Folie 3",#N/A,FALSE,"Jahresumsätze";"Folie 4",#N/A,FALSE,"Jahresumsätze";"Folie 5",#N/A,FALSE,"Jahresumsätze";"Folie 6",#N/A,FALSE,"Jahresumsätze";"Folie 7",#N/A,FALSE,"Jahresumsätze";"Folie 8",#N/A,FALSE,"Jahresumsätze"}</definedName>
    <definedName name="epinal" hidden="1">{"Folie 3",#N/A,FALSE,"Jahresumsätze";"Folie 4",#N/A,FALSE,"Jahresumsätze";"Folie 5",#N/A,FALSE,"Jahresumsätze";"Folie 6",#N/A,FALSE,"Jahresumsätze";"Folie 7",#N/A,FALSE,"Jahresumsätze";"Folie 8",#N/A,FALSE,"Jahresumsätze"}</definedName>
    <definedName name="EPS_2006">#REF!</definedName>
    <definedName name="eps_2007">#REF!</definedName>
    <definedName name="EPS_2008">#REF!</definedName>
    <definedName name="EPS_2009">#REF!</definedName>
    <definedName name="EPS_2010">#REF!</definedName>
    <definedName name="EPS_2014">#REF!</definedName>
    <definedName name="EPS_2015">#REF!</definedName>
    <definedName name="EPS_2016">#REF!</definedName>
    <definedName name="EPS_2017">#REF!</definedName>
    <definedName name="EPS_2018">#REF!</definedName>
    <definedName name="EPS_NextQ">#REF!</definedName>
    <definedName name="EPS_NTM">#REF!</definedName>
    <definedName name="Equity">#REF!</definedName>
    <definedName name="er" hidden="1">{#N/A,#N/A,TRUE,"Monthly BCG";#N/A,#N/A,TRUE,"Qrt BCG";#N/A,#N/A,TRUE,"FY BCG";#N/A,#N/A,TRUE,"1Q BCG";#N/A,#N/A,TRUE,"2Q BCG";#N/A,#N/A,TRUE,"3Q BCG";#N/A,#N/A,TRUE,"4Q BCG"}</definedName>
    <definedName name="er_1" hidden="1">{#N/A,#N/A,TRUE,"Monthly BCG";#N/A,#N/A,TRUE,"Qrt BCG";#N/A,#N/A,TRUE,"FY BCG";#N/A,#N/A,TRUE,"1Q BCG";#N/A,#N/A,TRUE,"2Q BCG";#N/A,#N/A,TRUE,"3Q BCG";#N/A,#N/A,TRUE,"4Q BCG"}</definedName>
    <definedName name="erqw" hidden="1">{#N/A,#N/A,TRUE,"Qrt BCG";#N/A,#N/A,TRUE,"Qrt w|o Wireless";#N/A,#N/A,TRUE,"Qrt Wireless"}</definedName>
    <definedName name="erqw_1" hidden="1">{#N/A,#N/A,TRUE,"Qrt BCG";#N/A,#N/A,TRUE,"Qrt w|o Wireless";#N/A,#N/A,TRUE,"Qrt Wireless"}</definedName>
    <definedName name="err" hidden="1">{"Folie 3",#N/A,FALSE,"Jahresumsätze";"Folie 4",#N/A,FALSE,"Jahresumsätze";"Folie 5",#N/A,FALSE,"Jahresumsätze";"Folie 6",#N/A,FALSE,"Jahresumsätze";"Folie 7",#N/A,FALSE,"Jahresumsätze";"Folie 8",#N/A,FALSE,"Jahresumsätze"}</definedName>
    <definedName name="ert" hidden="1">{"Folie 3",#N/A,FALSE,"Jahresumsätze";"Folie 4",#N/A,FALSE,"Jahresumsätze";"Folie 5",#N/A,FALSE,"Jahresumsätze";"Folie 6",#N/A,FALSE,"Jahresumsätze";"Folie 7",#N/A,FALSE,"Jahresumsätze";"Folie 8",#N/A,FALSE,"Jahresumsätze"}</definedName>
    <definedName name="erw" hidden="1">{#N/A,#N/A,FALSE,"Qrt Fcst";#N/A,#N/A,FALSE,"Qrt Fcst vs Plan &amp; PY";#N/A,#N/A,FALSE,"FY Fcst vs Plan &amp; PY";#N/A,#N/A,FALSE,"EVA CAP";#N/A,#N/A,FALSE,"EVA NOPAT"}</definedName>
    <definedName name="erw_1" hidden="1">{#N/A,#N/A,FALSE,"Qrt Fcst";#N/A,#N/A,FALSE,"Qrt Fcst vs Plan &amp; PY";#N/A,#N/A,FALSE,"FY Fcst vs Plan &amp; PY";#N/A,#N/A,FALSE,"EVA CAP";#N/A,#N/A,FALSE,"EVA NOPAT"}</definedName>
    <definedName name="etq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etqw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ev.Calculation" hidden="1">-4105</definedName>
    <definedName name="ev.Initialized" hidden="1">FALSE</definedName>
    <definedName name="EV__ALLOWSTOPEXPAND__" hidden="1">1</definedName>
    <definedName name="EV__CVPARAMS__" hidden="1">"Any by Any!$C$11:$D$32;"</definedName>
    <definedName name="EV__DECIMALSYMBOL__" hidden="1">"."</definedName>
    <definedName name="EV__EVCOM_OPTIONS__" hidden="1">8</definedName>
    <definedName name="EV__EXPOPTIONS__" hidden="1">0</definedName>
    <definedName name="EV__LASTREFTIME__" hidden="1">41317.4509722222</definedName>
    <definedName name="EV__LASTREFTIME___1" hidden="1">41123.433912037</definedName>
    <definedName name="EV__LOCKEDCVW__FINANCE" hidden="1">"total_activations,newplan,comms_consol,2009.total,PERIODIC,"</definedName>
    <definedName name="EV__LOCKEDCVW__HR" hidden="1">"FTE,BUDGET,130_0400,AllPositions,2009.TOTAL,PERIODIC,"</definedName>
    <definedName name="EV__LOCKEDCVW__REVENUE" hidden="1">"All_Acct_Status,All_Bill,ACTUAL,Tot_DataType,All_Jrnls,All_Mkts,All_PM_Acct_Status,All_PPM_Acct_Status,TotRev,Tot_R_Plans,All.Years,PERIODIC,"</definedName>
    <definedName name="EV__LOCKSTATUS__" hidden="1">1</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__WSINFO__" hidden="1">"SONGBIRD"</definedName>
    <definedName name="EV_LASTREFCURRENCY_" hidden="1">40940.7254976852</definedName>
    <definedName name="EVx">#REF!</definedName>
    <definedName name="EVx_07">#REF!</definedName>
    <definedName name="Evx_08">#REF!</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xactAddinConnection" hidden="1">"098"</definedName>
    <definedName name="ExactAddinConnection.098" hidden="1">"hulk;098;tsoucy;0"</definedName>
    <definedName name="ExchangeRatioCase">#REF!</definedName>
    <definedName name="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_1" hidden="1">{#N/A,#N/A,TRUE,"3Q BCG";#N/A,#N/A,TRUE,"3Q w|o Wireless";#N/A,#N/A,TRUE,"3Q Wireless"}</definedName>
    <definedName name="fa" hidden="1">{"Folie 3",#N/A,FALSE,"Jahresumsätze";"Folie 4",#N/A,FALSE,"Jahresumsätze";"Folie 5",#N/A,FALSE,"Jahresumsätze";"Folie 6",#N/A,FALSE,"Jahresumsätze";"Folie 7",#N/A,FALSE,"Jahresumsätze";"Folie 8",#N/A,FALSE,"Jahresumsätze"}</definedName>
    <definedName name="FacRI_Alloc">#REF!</definedName>
    <definedName name="Fan" hidden="1">{"'Actual'!$A$1:$F$25"}</definedName>
    <definedName name="fasa" hidden="1">{"Folie 3",#N/A,FALSE,"Jahresumsätze";"Folie 4",#N/A,FALSE,"Jahresumsätze";"Folie 5",#N/A,FALSE,"Jahresumsätze";"Folie 6",#N/A,FALSE,"Jahresumsätze";"Folie 7",#N/A,FALSE,"Jahresumsätze";"Folie 8",#N/A,FALSE,"Jahresumsätze"}</definedName>
    <definedName name="FCF_2006">#REF!</definedName>
    <definedName name="FCode" hidden="1">#REF!</definedName>
    <definedName name="fd" hidden="1">{"'Actual'!$A$1:$F$25"}</definedName>
    <definedName name="fdhdt" hidden="1">{"Folie 3",#N/A,FALSE,"Jahresumsätze";"Folie 4",#N/A,FALSE,"Jahresumsätze";"Folie 5",#N/A,FALSE,"Jahresumsätze";"Folie 6",#N/A,FALSE,"Jahresumsätze";"Folie 7",#N/A,FALSE,"Jahresumsätze";"Folie 8",#N/A,FALSE,"Jahresumsätze"}</definedName>
    <definedName name="fdhdt1" hidden="1">{"Folie 3",#N/A,FALSE,"Jahresumsätze";"Folie 4",#N/A,FALSE,"Jahresumsätze";"Folie 5",#N/A,FALSE,"Jahresumsätze";"Folie 6",#N/A,FALSE,"Jahresumsätze";"Folie 7",#N/A,FALSE,"Jahresumsätze";"Folie 8",#N/A,FALSE,"Jahresumsätze"}</definedName>
    <definedName name="fdv" hidden="1">{"quarterly",#N/A,FALSE,"Income Statement";#N/A,#N/A,FALSE,"print segment";#N/A,#N/A,FALSE,"Balance Sheet";#N/A,#N/A,FALSE,"Annl Inc";#N/A,#N/A,FALSE,"Cash Flow"}</definedName>
    <definedName name="fe" hidden="1">{"bs",#N/A,FALSE,"SCF"}</definedName>
    <definedName name="feb" hidden="1">{TRUE,TRUE,-0.5,-14.75,483,252,FALSE,FALSE,TRUE,TRUE,0,1,#N/A,1,#N/A,13.1666666666667,21.5384615384615,1,FALSE,FALSE,3,TRUE,1,FALSE,75,"Swvu.febcred.","ACwvu.febcred.",#N/A,FALSE,FALSE,0,0,0,0,2,"","",TRUE,TRUE,FALSE,FALSE,1,#N/A,1,1,"=R1C1:R25C14",FALSE,#N/A,"Cwvu.febcred.",FALSE,FALSE,FALSE,1,300,300,FALSE,FALSE,TRUE,TRUE,TRUE}</definedName>
    <definedName name="FeeBased">#REF!</definedName>
    <definedName name="ff" hidden="1">{"'FNF Invoice Summary'!$A$1:$G$29"}</definedName>
    <definedName name="fff" hidden="1">{#N/A,#N/A,FALSE,"Aging Summary";#N/A,#N/A,FALSE,"Ratio Analysis";#N/A,#N/A,FALSE,"Test 120 Day Accts";#N/A,#N/A,FALSE,"Tickmarks"}</definedName>
    <definedName name="ffff" hidden="1">{"Folie 3",#N/A,FALSE,"Jahresumsätze";"Folie 4",#N/A,FALSE,"Jahresumsätze";"Folie 5",#N/A,FALSE,"Jahresumsätze";"Folie 6",#N/A,FALSE,"Jahresumsätze";"Folie 7",#N/A,FALSE,"Jahresumsätze";"Folie 8",#N/A,FALSE,"Jahresumsätze"}</definedName>
    <definedName name="fffffffffffff" hidden="1">{"Folie 3",#N/A,FALSE,"Jahresumsätze";"Folie 4",#N/A,FALSE,"Jahresumsätze";"Folie 5",#N/A,FALSE,"Jahresumsätze";"Folie 6",#N/A,FALSE,"Jahresumsätze";"Folie 7",#N/A,FALSE,"Jahresumsätze";"Folie 8",#N/A,FALSE,"Jahresumsätze"}</definedName>
    <definedName name="fgf" hidden="1">{"Folie 3",#N/A,FALSE,"Jahresumsätze";"Folie 4",#N/A,FALSE,"Jahresumsätze";"Folie 5",#N/A,FALSE,"Jahresumsätze";"Folie 6",#N/A,FALSE,"Jahresumsätze";"Folie 7",#N/A,FALSE,"Jahresumsätze";"Folie 8",#N/A,FALSE,"Jahresumsätze"}</definedName>
    <definedName name="Fixed">#REF!</definedName>
    <definedName name="fla" hidden="1">{"var1",#N/A,FALSE,"VAR";"var",#N/A,FALSE,"VAR";"ytd",#N/A,FALSE,"YTD";"SUMMARY",#N/A,FALSE,"CONSOL"}</definedName>
    <definedName name="ForecastPeriod" hidden="1">#REF!</definedName>
    <definedName name="freecf1" hidden="1">{"Folie 3",#N/A,FALSE,"Jahresumsätze";"Folie 4",#N/A,FALSE,"Jahresumsätze";"Folie 5",#N/A,FALSE,"Jahresumsätze";"Folie 6",#N/A,FALSE,"Jahresumsätze";"Folie 7",#N/A,FALSE,"Jahresumsätze";"Folie 8",#N/A,FALSE,"Jahresumsätze"}</definedName>
    <definedName name="fsdfd" hidden="1">#REF!</definedName>
    <definedName name="fxdghsfgh" hidden="1">{#N/A,#N/A,TRUE,"Monthly w|o Wireless";#N/A,#N/A,TRUE,"Qrt w|o Wireless";#N/A,#N/A,TRUE,"FY w|o Wireless";#N/A,#N/A,TRUE,"1Q w|o Wireless";#N/A,#N/A,TRUE,"2Q w|o Wireless";#N/A,#N/A,TRUE,"3Q w|o Wireless";#N/A,#N/A,TRUE,"4Q w|o Wireless"}</definedName>
    <definedName name="fxdghsfgh_1" hidden="1">{#N/A,#N/A,TRUE,"Monthly w|o Wireless";#N/A,#N/A,TRUE,"Qrt w|o Wireless";#N/A,#N/A,TRUE,"FY w|o Wireless";#N/A,#N/A,TRUE,"1Q w|o Wireless";#N/A,#N/A,TRUE,"2Q w|o Wireless";#N/A,#N/A,TRUE,"3Q w|o Wireless";#N/A,#N/A,TRUE,"4Q w|o Wireless"}</definedName>
    <definedName name="g" hidden="1">{"IS",#N/A,FALSE,"IS";"RPTIS",#N/A,FALSE,"RPTIS";"STATS",#N/A,FALSE,"STATS";"BS",#N/A,FALSE,"BS"}</definedName>
    <definedName name="g_1" hidden="1">{#N/A,#N/A,TRUE,"1Q BCG";#N/A,#N/A,TRUE,"1Q w|o Wireless";#N/A,#N/A,TRUE,"1Q Wireless"}</definedName>
    <definedName name="g_1_1" hidden="1">{#N/A,#N/A,TRUE,"1Q BCG";#N/A,#N/A,TRUE,"1Q w|o Wireless";#N/A,#N/A,TRUE,"1Q Wireless"}</definedName>
    <definedName name="GEPS_2006">#REF!</definedName>
    <definedName name="GEPS_2007">#REF!</definedName>
    <definedName name="gesamt" hidden="1">{"AuM_Aggr._Ytd_Mngmt_Format",#N/A,FALSE,"AggregationYtd";"AuM_Aggr_Ytd_dtEinh",#N/A,FALSE,"AggregationYtd";"AuM_Aggr_Ytd_englEinh_Format",#N/A,FALSE,"AggregationYtd";"AuM_Aggr_Ytd_ZKE_Format",#N/A,FALSE,"AggregationYtd"}</definedName>
    <definedName name="gfgf" hidden="1">{"'FNF Invoice Summary'!$A$1:$G$29"}</definedName>
    <definedName name="gg" hidden="1">{TRUE,TRUE,-0.5,-14.75,483,252,FALSE,FALSE,TRUE,TRUE,0,1,#N/A,240,#N/A,15.1230769230769,21,1,FALSE,FALSE,3,TRUE,1,FALSE,75,"Swvu.q1cred.","ACwvu.q1cred.",#N/A,FALSE,FALSE,0,0,0,0,2,"","",TRUE,TRUE,FALSE,FALSE,1,#N/A,1,1,"=R250C1:R274C14",FALSE,"Rwvu.q1cred.","Cwvu.q1cred.",FALSE,FALSE,FALSE,1,300,300,FALSE,FALSE,TRUE,TRUE,TRUE}</definedName>
    <definedName name="ggg" hidden="1">{#N/A,#N/A,FALSE,"Aging Summary";#N/A,#N/A,FALSE,"Ratio Analysis";#N/A,#N/A,FALSE,"Test 120 Day Accts";#N/A,#N/A,FALSE,"Tickmarks"}</definedName>
    <definedName name="gggggg" hidden="1">{"Folie 3",#N/A,FALSE,"Jahresumsätze";"Folie 4",#N/A,FALSE,"Jahresumsätze";"Folie 5",#N/A,FALSE,"Jahresumsätze";"Folie 6",#N/A,FALSE,"Jahresumsätze";"Folie 7",#N/A,FALSE,"Jahresumsätze";"Folie 8",#N/A,FALSE,"Jahresumsätze"}</definedName>
    <definedName name="gggggggggggg" hidden="1">{"Folie 3",#N/A,FALSE,"Jahresumsätze";"Folie 4",#N/A,FALSE,"Jahresumsätze";"Folie 5",#N/A,FALSE,"Jahresumsätze";"Folie 6",#N/A,FALSE,"Jahresumsätze";"Folie 7",#N/A,FALSE,"Jahresumsätze";"Folie 8",#N/A,FALSE,"Jahresumsätze"}</definedName>
    <definedName name="ghd" hidden="1">{#N/A,#N/A,FALSE,"Aging Summary";#N/A,#N/A,FALSE,"Ratio Analysis";#N/A,#N/A,FALSE,"Test 120 Day Accts";#N/A,#N/A,FALSE,"Tickmarks"}</definedName>
    <definedName name="ghhhh" hidden="1">{"Folie 3",#N/A,FALSE,"Jahresumsätze";"Folie 4",#N/A,FALSE,"Jahresumsätze";"Folie 5",#N/A,FALSE,"Jahresumsätze";"Folie 6",#N/A,FALSE,"Jahresumsätze";"Folie 7",#N/A,FALSE,"Jahresumsätze";"Folie 8",#N/A,FALSE,"Jahresumsätze"}</definedName>
    <definedName name="ghi"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hj" hidden="1">{"Folie 3",#N/A,FALSE,"Jahresumsätze";"Folie 4",#N/A,FALSE,"Jahresumsätze";"Folie 5",#N/A,FALSE,"Jahresumsätze";"Folie 6",#N/A,FALSE,"Jahresumsätze";"Folie 7",#N/A,FALSE,"Jahresumsätze";"Folie 8",#N/A,FALSE,"Jahresumsätze"}</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nfg" hidden="1">#REF!</definedName>
    <definedName name="gross_debt">#REF!</definedName>
    <definedName name="GroupDisability">#REF!</definedName>
    <definedName name="GroupEV_EBITDA">#REF!</definedName>
    <definedName name="GroupLife">#REF!</definedName>
    <definedName name="GroupLifeAccident">#REF!</definedName>
    <definedName name="GroupPE_2008">#REF!</definedName>
    <definedName name="gsd" hidden="1">{"Folie 3",#N/A,FALSE,"Jahresumsätze";"Folie 4",#N/A,FALSE,"Jahresumsätze";"Folie 5",#N/A,FALSE,"Jahresumsätze";"Folie 6",#N/A,FALSE,"Jahresumsätze";"Folie 7",#N/A,FALSE,"Jahresumsätze";"Folie 8",#N/A,FALSE,"Jahresumsätze"}</definedName>
    <definedName name="GSFP">#REF!</definedName>
    <definedName name="gtr" hidden="1">{#N/A,#N/A,FALSE,"Aging Summary";#N/A,#N/A,FALSE,"Ratio Analysis";#N/A,#N/A,FALSE,"Test 120 Day Accts";#N/A,#N/A,FALSE,"Tickmarks"}</definedName>
    <definedName name="Guide">#REF!</definedName>
    <definedName name="h" hidden="1">{#N/A,#N/A,TRUE,"2Q BCG";#N/A,#N/A,TRUE,"2Q w|o Wireless";#N/A,#N/A,TRUE,"2Q Wireless"}</definedName>
    <definedName name="h_1" hidden="1">{#N/A,#N/A,TRUE,"2Q BCG";#N/A,#N/A,TRUE,"2Q w|o Wireless";#N/A,#N/A,TRUE,"2Q Wireless"}</definedName>
    <definedName name="HAS_BEEN_UPDATED" hidden="1">#REF!</definedName>
    <definedName name="hdhdhdh" hidden="1">{"Folie 3",#N/A,FALSE,"Jahresumsätze";"Folie 4",#N/A,FALSE,"Jahresumsätze";"Folie 5",#N/A,FALSE,"Jahresumsätze";"Folie 6",#N/A,FALSE,"Jahresumsätze";"Folie 7",#N/A,FALSE,"Jahresumsätze";"Folie 8",#N/A,FALSE,"Jahresumsätze"}</definedName>
    <definedName name="Headcount">#REF!</definedName>
    <definedName name="help"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hh" hidden="1">{"'Actual'!$A$1:$F$25"}</definedName>
    <definedName name="hhh" hidden="1">{#N/A,#N/A,TRUE,"4Q BCG";#N/A,#N/A,TRUE,"4Q w|o Wireless";#N/A,#N/A,TRUE,"4Q Wireless"}</definedName>
    <definedName name="hhh_1" hidden="1">{#N/A,#N/A,TRUE,"4Q BCG";#N/A,#N/A,TRUE,"4Q w|o Wireless";#N/A,#N/A,TRUE,"4Q Wireless"}</definedName>
    <definedName name="HI" hidden="1">#REF!</definedName>
    <definedName name="HiddenRows" hidden="1">#REF!</definedName>
    <definedName name="HIG">#REF!</definedName>
    <definedName name="HIGE">#REF!</definedName>
    <definedName name="hj" hidden="1">{#N/A,#N/A,TRUE,"3Q BCG";#N/A,#N/A,TRUE,"3Q w|o Wireless";#N/A,#N/A,TRUE,"3Q Wireless"}</definedName>
    <definedName name="hj_1" hidden="1">{#N/A,#N/A,TRUE,"3Q BCG";#N/A,#N/A,TRUE,"3Q w|o Wireless";#N/A,#N/A,TRUE,"3Q Wireless"}</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od" hidden="1">{#N/A,#N/A,FALSE,"TS";#N/A,#N/A,FALSE,"Combo";#N/A,#N/A,FALSE,"FAIR";#N/A,#N/A,FALSE,"RBC";#N/A,#N/A,FALSE,"xxxx";#N/A,#N/A,FALSE,"A_D";#N/A,#N/A,FALSE,"WACC";#N/A,#N/A,FALSE,"DCF";#N/A,#N/A,FALSE,"LBO";#N/A,#N/A,FALSE,"AcqMults";#N/A,#N/A,FALSE,"CompMults"}</definedName>
    <definedName name="Home">#REF!</definedName>
    <definedName name="houy" hidden="1">{#N/A,#N/A,FALSE,"AD_Purchase";#N/A,#N/A,FALSE,"Credit";#N/A,#N/A,FALSE,"PF Acquisition";#N/A,#N/A,FALSE,"PF Offering"}</definedName>
    <definedName name="HQ" hidden="1">{#N/A,#N/A,FALSE,"6405";#N/A,#N/A,FALSE,"6406";#N/A,#N/A,FALSE,"6409";#N/A,#N/A,FALSE,"6425";#N/A,#N/A,FALSE,"6426";#N/A,#N/A,FALSE,"6427";#N/A,#N/A,FALSE,"6440";#N/A,#N/A,FALSE,"6441";#N/A,#N/A,FALSE,"6442";#N/A,#N/A,FALSE,"6443"}</definedName>
    <definedName name="hrthrtde" hidden="1">{"Folie 3",#N/A,FALSE,"Jahresumsätze";"Folie 4",#N/A,FALSE,"Jahresumsätze";"Folie 5",#N/A,FALSE,"Jahresumsätze";"Folie 6",#N/A,FALSE,"Jahresumsätze";"Folie 7",#N/A,FALSE,"Jahresumsätze";"Folie 8",#N/A,FALSE,"Jahresumsätze"}</definedName>
    <definedName name="HTML_CodePage" hidden="1">1252</definedName>
    <definedName name="HTML_Control" hidden="1">{"'Aug Rev Area'!$A$4:$J$120"}</definedName>
    <definedName name="HTML_Control2" hidden="1">{"'FNF Invoice Summary'!$A$1:$G$29"}</definedName>
    <definedName name="HTML_Control3" hidden="1">{"'FNF Invoice Summary'!$A$1:$G$29"}</definedName>
    <definedName name="HtML_Controlb" hidden="1">{"'Actual'!$A$1:$F$25"}</definedName>
    <definedName name="HTML_Description" hidden="1">"COMPANY CONFIDENTIAL"</definedName>
    <definedName name="HTML_Email" hidden="1">"mroberts"</definedName>
    <definedName name="HTML_Greg" hidden="1">{"'Actual'!$A$1:$F$25"}</definedName>
    <definedName name="HTML_Header" hidden="1">"Aug Rev Area"</definedName>
    <definedName name="HTML_LastUpdate" hidden="1">"8/27/97"</definedName>
    <definedName name="HTML_LineAfter" hidden="1">TRUE</definedName>
    <definedName name="HTML_LineBefore" hidden="1">FALSE</definedName>
    <definedName name="HTML_Name" hidden="1">"Matt Roberts"</definedName>
    <definedName name="HTML_OBDlg2" hidden="1">TRUE</definedName>
    <definedName name="HTML_OBDlg3" hidden="1">TRUE</definedName>
    <definedName name="HTML_OBDlg4" hidden="1">TRUE</definedName>
    <definedName name="HTML_OS" hidden="1">0</definedName>
    <definedName name="HTML_PathFile" hidden="1">"E:\groups\Accounting\wwwi\0897 Revenue Detail.htm"</definedName>
    <definedName name="HTML_PathFileMac" hidden="1">"Macintosh HD:Web Site “~adamodar”:pc:datasets:MyHTML.html"</definedName>
    <definedName name="HTML_PathTemplate" hidden="1">"Z:\2000 seasonalized\htmlfiles\TESTBORDER.HTM"</definedName>
    <definedName name="HTML_Title" hidden="1">"Q3RevDetail827"</definedName>
    <definedName name="HTML1_1" hidden="1">"'[97RATES.XLS]97RATES'!$A$1:$O$42"</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"'[97RATES.XLS]97RATES'!$A$1:$T$42"</definedName>
    <definedName name="HTML2_10" hidden="1">""</definedName>
    <definedName name="HTML2_11" hidden="1">1</definedName>
    <definedName name="HTML2_12" hidden="1">"C:\My Documents\financials.html"</definedName>
    <definedName name="HTML2_2" hidden="1">1</definedName>
    <definedName name="HTML2_3" hidden="1">"Financials"</definedName>
    <definedName name="HTML2_4" hidden="1">"Income Statement"</definedName>
    <definedName name="HTML2_5" hidden="1">""</definedName>
    <definedName name="HTML2_6" hidden="1">-4146</definedName>
    <definedName name="HTML2_7" hidden="1">1</definedName>
    <definedName name="HTML2_8" hidden="1">"8/22/98"</definedName>
    <definedName name="HTML2_9" hidden="1">"Bill Nguyen"</definedName>
    <definedName name="HTML3_1" hidden="1">"'[97RATES.XLS]97RATES'!$A$1:$O$80"</definedName>
    <definedName name="HTML3_10" hidden="1">"stella_chin@cc.chiron.com"</definedName>
    <definedName name="HTML3_11" hidden="1">1</definedName>
    <definedName name="HTML3_12" hidden="1">"F:\TR\INTRANET\HIST_ME.HTM"</definedName>
    <definedName name="HTML3_2" hidden="1">1</definedName>
    <definedName name="HTML3_3" hidden="1">""</definedName>
    <definedName name="HTML3_4" hidden="1">""</definedName>
    <definedName name="HTML3_5" hidden="1">""</definedName>
    <definedName name="HTML3_6" hidden="1">-4146</definedName>
    <definedName name="HTML3_7" hidden="1">1</definedName>
    <definedName name="HTML3_8" hidden="1">"7/7/97"</definedName>
    <definedName name="HTML3_9" hidden="1">"Stella Chin"</definedName>
    <definedName name="HTML4_1" hidden="1">"'[97RATES.XLS]97RATES'!$A$1:$T$79"</definedName>
    <definedName name="HTML4_10" hidden="1">"stella_chin@cc.chiron.com"</definedName>
    <definedName name="HTML4_11" hidden="1">1</definedName>
    <definedName name="HTML4_12" hidden="1">"F:\TR\INTRANET\QTR_ME.HTM"</definedName>
    <definedName name="HTML4_2" hidden="1">1</definedName>
    <definedName name="HTML4_3" hidden="1">""</definedName>
    <definedName name="HTML4_4" hidden="1">""</definedName>
    <definedName name="HTML4_5" hidden="1">""</definedName>
    <definedName name="HTML4_6" hidden="1">-4146</definedName>
    <definedName name="HTML4_7" hidden="1">1</definedName>
    <definedName name="HTML4_8" hidden="1">"7/7/97"</definedName>
    <definedName name="HTML4_9" hidden="1">"Stella Chin"</definedName>
    <definedName name="HTMLCount" hidden="1">1</definedName>
    <definedName name="Ia">#REF!</definedName>
    <definedName name="Ib">#REF!</definedName>
    <definedName name="IBES_EPS_NextQ">#REF!</definedName>
    <definedName name="Ic">#REF!</definedName>
    <definedName name="Id">#REF!</definedName>
    <definedName name="ids" hidden="1">{#N/A,#N/A,FALSE,"Comp"}</definedName>
    <definedName name="ii" hidden="1">{"Folie 3",#N/A,FALSE,"Jahresumsätze";"Folie 4",#N/A,FALSE,"Jahresumsätze";"Folie 5",#N/A,FALSE,"Jahresumsätze";"Folie 6",#N/A,FALSE,"Jahresumsätze";"Folie 7",#N/A,FALSE,"Jahresumsätze";"Folie 8",#N/A,FALSE,"Jahresumsätze"}</definedName>
    <definedName name="IIA">#REF!</definedName>
    <definedName name="Img_ML_5h6q3g8u" hidden="1">"IMG_10"</definedName>
    <definedName name="Img_ML_8b9j5t1p" hidden="1">"IMG_10"</definedName>
    <definedName name="Img_ML_8h7g3c9i" hidden="1">"IMG_6"</definedName>
    <definedName name="Img_ML_8h7g4d4d" hidden="1">"IMG_6"</definedName>
    <definedName name="imj" hidden="1">{#N/A,#N/A,FALSE,"Aging Summary";#N/A,#N/A,FALSE,"Ratio Analysis";#N/A,#N/A,FALSE,"Test 120 Day Accts";#N/A,#N/A,FALSE,"Tickmarks"}</definedName>
    <definedName name="Individual">#REF!</definedName>
    <definedName name="IndividualDisability">#REF!</definedName>
    <definedName name="IndividualLife">#REF!</definedName>
    <definedName name="IndividualLTC">#REF!</definedName>
    <definedName name="Institutional">#REF!</definedName>
    <definedName name="InsureTotal">#REF!</definedName>
    <definedName name="int_ext_sel" hidden="1">2</definedName>
    <definedName name="International">#REF!</definedName>
    <definedName name="intr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InvestCost">#REF!</definedName>
    <definedName name="INVESTED_CAPITAL">#REF!</definedName>
    <definedName name="InvestMarket">#REF!</definedName>
    <definedName name="Investments" hidden="1">{"MARCRD",#N/A,FALSE,"FORECAST";"MARMKT",#N/A,FALSE,"FORECAST";"MARSTO",#N/A,FALSE,"FORECAST";"q1cred",#N/A,FALSE,"FORECAST";"q1mkt",#N/A,FALSE,"FORECAST";"q1sto",#N/A,FALSE,"FORECAST";"SUMMARY",#N/A,FALSE,"FORECAST"}</definedName>
    <definedName name="InvestMngmnt">#REF!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HANGE_1" hidden="1">"c413"</definedName>
    <definedName name="IQ_ACCOUNT_CODE_INTEREST_PENALTIES" hidden="1">"c15741"</definedName>
    <definedName name="IQ_ACCOUNTING_FFIEC" hidden="1">"c13054"</definedName>
    <definedName name="IQ_ACCOUNTING_STANDARD" hidden="1">"c4539"</definedName>
    <definedName name="IQ_ACCOUNTING_STANDARD_CIQ" hidden="1">"c5092"</definedName>
    <definedName name="IQ_ACCOUNTS_PAY" hidden="1">"c1343"</definedName>
    <definedName name="IQ_ACCOUNTS_PAY_1"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1"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_DEP_1"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PAID_IN_1" hidden="1">"c39"</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CONST_1"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ATION_1"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CIQ" hidden="1">"c12103"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CIQ" hidden="1">"c12756"</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DUSTRY_REC_NO_CIQ" hidden="1">"c4983"</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VOLUME_1"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 hidden="1">"c4141"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 hidden="1">"c2154"</definedName>
    <definedName name="IQ_BENCHMARK_SPRD" hidden="1">"c2153"</definedName>
    <definedName name="IQ_BENCHMARK_YIELD" hidden="1">"c8955"</definedName>
    <definedName name="IQ_BETA" hidden="1">"c2133"</definedName>
    <definedName name="IQ_BETA_1"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EST" hidden="1">"c5624"</definedName>
    <definedName name="IQ_BV_EST_CIQ" hidden="1">"c4737"</definedName>
    <definedName name="IQ_BV_EST_REUT" hidden="1">"c5403"</definedName>
    <definedName name="IQ_BV_HIGH_EST" hidden="1">"c5626"</definedName>
    <definedName name="IQ_BV_HIGH_EST_CIQ" hidden="1">"c4739"</definedName>
    <definedName name="IQ_BV_HIGH_EST_REUT" hidden="1">"c5405"</definedName>
    <definedName name="IQ_BV_LOW_EST" hidden="1">"c5627"</definedName>
    <definedName name="IQ_BV_LOW_EST_CIQ" hidden="1">"c4740"</definedName>
    <definedName name="IQ_BV_LOW_EST_REUT" hidden="1">"c5406"</definedName>
    <definedName name="IQ_BV_MEDIAN_EST" hidden="1">"c5625"</definedName>
    <definedName name="IQ_BV_MEDIAN_EST_CIQ" hidden="1">"c4738"</definedName>
    <definedName name="IQ_BV_MEDIAN_EST_REUT" hidden="1">"c5404"</definedName>
    <definedName name="IQ_BV_NUM_EST" hidden="1">"c5628"</definedName>
    <definedName name="IQ_BV_NUM_EST_CIQ" hidden="1">"c4741"</definedName>
    <definedName name="IQ_BV_NUM_EST_REUT" hidden="1">"c5407"</definedName>
    <definedName name="IQ_BV_OVER_SHARES" hidden="1">"c1349"</definedName>
    <definedName name="IQ_BV_OVER_SHARES_1" hidden="1">"c100"</definedName>
    <definedName name="IQ_BV_SHARE" hidden="1">"c100"</definedName>
    <definedName name="IQ_BV_SHARE_ACT_OR_EST" hidden="1">"c3587"</definedName>
    <definedName name="IQ_BV_SHARE_ACT_OR_EST_CIQ" hidden="1">"c5072"</definedName>
    <definedName name="IQ_BV_SHARE_ACT_OR_EST_REUT" hidden="1">"c5477"</definedName>
    <definedName name="IQ_BV_SHARE_ACT_OR_EST_THOM" hidden="1">"c5312"</definedName>
    <definedName name="IQ_BV_SHARE_DET_EST" hidden="1">"c12047"</definedName>
    <definedName name="IQ_BV_SHARE_DET_EST_CIQ" hidden="1">"c12107"</definedName>
    <definedName name="IQ_BV_SHARE_DET_EST_CURRENCY" hidden="1">"c12456"</definedName>
    <definedName name="IQ_BV_SHARE_DET_EST_CURRENCY_CIQ" hidden="1">"c12500"</definedName>
    <definedName name="IQ_BV_SHARE_DET_EST_CURRENCY_THOM" hidden="1">"c12476"</definedName>
    <definedName name="IQ_BV_SHARE_DET_EST_DATE" hidden="1">"c12200"</definedName>
    <definedName name="IQ_BV_SHARE_DET_EST_DATE_CIQ" hidden="1">"c12253"</definedName>
    <definedName name="IQ_BV_SHARE_DET_EST_DATE_THOM" hidden="1">"c12225"</definedName>
    <definedName name="IQ_BV_SHARE_DET_EST_INCL" hidden="1">"c12339"</definedName>
    <definedName name="IQ_BV_SHARE_DET_EST_INCL_CIQ" hidden="1">"c12383"</definedName>
    <definedName name="IQ_BV_SHARE_DET_EST_INCL_THOM" hidden="1">"c12359"</definedName>
    <definedName name="IQ_BV_SHARE_DET_EST_ORIGIN" hidden="1">"c12573"</definedName>
    <definedName name="IQ_BV_SHARE_DET_EST_ORIGIN_CIQ" hidden="1">"c12622"</definedName>
    <definedName name="IQ_BV_SHARE_DET_EST_ORIGIN_THOM" hidden="1">"c12595"</definedName>
    <definedName name="IQ_BV_SHARE_DET_EST_THOM" hidden="1">"c12075"</definedName>
    <definedName name="IQ_BV_SHARE_EST" hidden="1">"c3541"</definedName>
    <definedName name="IQ_BV_SHARE_EST_CIQ" hidden="1">"c3800"</definedName>
    <definedName name="IQ_BV_SHARE_EST_REUT" hidden="1">"c5439"</definedName>
    <definedName name="IQ_BV_SHARE_EST_THOM" hidden="1">"c4020"</definedName>
    <definedName name="IQ_BV_SHARE_HIGH_EST" hidden="1">"c3542"</definedName>
    <definedName name="IQ_BV_SHARE_HIGH_EST_CIQ" hidden="1">"c3802"</definedName>
    <definedName name="IQ_BV_SHARE_HIGH_EST_REUT" hidden="1">"c5441"</definedName>
    <definedName name="IQ_BV_SHARE_HIGH_EST_THOM" hidden="1">"c4022"</definedName>
    <definedName name="IQ_BV_SHARE_LOW_EST" hidden="1">"c3543"</definedName>
    <definedName name="IQ_BV_SHARE_LOW_EST_CIQ" hidden="1">"c3803"</definedName>
    <definedName name="IQ_BV_SHARE_LOW_EST_REUT" hidden="1">"c5442"</definedName>
    <definedName name="IQ_BV_SHARE_LOW_EST_THOM" hidden="1">"c4023"</definedName>
    <definedName name="IQ_BV_SHARE_MEDIAN_EST" hidden="1">"c3544"</definedName>
    <definedName name="IQ_BV_SHARE_MEDIAN_EST_CIQ" hidden="1">"c3801"</definedName>
    <definedName name="IQ_BV_SHARE_MEDIAN_EST_REUT" hidden="1">"c5440"</definedName>
    <definedName name="IQ_BV_SHARE_MEDIAN_EST_THOM" hidden="1">"c4021"</definedName>
    <definedName name="IQ_BV_SHARE_NUM_EST" hidden="1">"c3539"</definedName>
    <definedName name="IQ_BV_SHARE_NUM_EST_CIQ" hidden="1">"c3804"</definedName>
    <definedName name="IQ_BV_SHARE_NUM_EST_REUT" hidden="1">"c5443"</definedName>
    <definedName name="IQ_BV_SHARE_NUM_EST_THOM" hidden="1">"c4024"</definedName>
    <definedName name="IQ_BV_SHARE_STDDEV_EST" hidden="1">"c3540"</definedName>
    <definedName name="IQ_BV_SHARE_STDDEV_EST_CIQ" hidden="1">"c3805"</definedName>
    <definedName name="IQ_BV_SHARE_STDDEV_EST_REUT" hidden="1">"c5444"</definedName>
    <definedName name="IQ_BV_SHARE_STDDEV_EST_THOM" hidden="1">"c4025"</definedName>
    <definedName name="IQ_BV_STDDEV_EST" hidden="1">"c5629"</definedName>
    <definedName name="IQ_BV_STDDEV_EST_CIQ" hidden="1">"c4742"</definedName>
    <definedName name="IQ_BV_STDDEV_EST_REUT" hidden="1">"c5408"</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REUT" hidden="1">"c5474"</definedName>
    <definedName name="IQ_CAPEX_ACT_OR_EST_THOM" hidden="1">"c5546"</definedName>
    <definedName name="IQ_CAPEX_BNK" hidden="1">"c110"</definedName>
    <definedName name="IQ_CAPEX_BR" hidden="1">"c111"</definedName>
    <definedName name="IQ_CAPEX_DET_EST" hidden="1">"c12048"</definedName>
    <definedName name="IQ_CAPEX_DET_EST_CIQ" hidden="1">"c12108"</definedName>
    <definedName name="IQ_CAPEX_DET_EST_CURRENCY" hidden="1">"c12457"</definedName>
    <definedName name="IQ_CAPEX_DET_EST_CURRENCY_CIQ" hidden="1">"c12501"</definedName>
    <definedName name="IQ_CAPEX_DET_EST_CURRENCY_THOM" hidden="1">"c12477"</definedName>
    <definedName name="IQ_CAPEX_DET_EST_DATE" hidden="1">"c12201"</definedName>
    <definedName name="IQ_CAPEX_DET_EST_DATE_CIQ" hidden="1">"c12254"</definedName>
    <definedName name="IQ_CAPEX_DET_EST_DATE_THOM" hidden="1">"c12226"</definedName>
    <definedName name="IQ_CAPEX_DET_EST_INCL" hidden="1">"c12340"</definedName>
    <definedName name="IQ_CAPEX_DET_EST_INCL_CIQ" hidden="1">"c12384"</definedName>
    <definedName name="IQ_CAPEX_DET_EST_INCL_THOM" hidden="1">"c12360"</definedName>
    <definedName name="IQ_CAPEX_DET_EST_ORIGIN" hidden="1">"c12765"</definedName>
    <definedName name="IQ_CAPEX_DET_EST_ORIGIN_CIQ" hidden="1">"c12766"</definedName>
    <definedName name="IQ_CAPEX_DET_EST_ORIGIN_CIQ_COL" hidden="1">"c12767"</definedName>
    <definedName name="IQ_CAPEX_DET_EST_ORIGIN_THOM" hidden="1">"c12596"</definedName>
    <definedName name="IQ_CAPEX_DET_EST_THOM" hidden="1">"c12076"</definedName>
    <definedName name="IQ_CAPEX_EST" hidden="1">"c3523"</definedName>
    <definedName name="IQ_CAPEX_EST_CIQ" hidden="1">"c3807"</definedName>
    <definedName name="IQ_CAPEX_EST_REUT" hidden="1">"c3969"</definedName>
    <definedName name="IQ_CAPEX_EST_THOM" hidden="1">"c5502"</definedName>
    <definedName name="IQ_CAPEX_FIN" hidden="1">"c112"</definedName>
    <definedName name="IQ_CAPEX_GUIDANCE" hidden="1">"c4150"</definedName>
    <definedName name="IQ_CAPEX_GUIDANCE_CIQ" hidden="1">"c4562"</definedName>
    <definedName name="IQ_CAPEX_HIGH_EST" hidden="1">"c3524"</definedName>
    <definedName name="IQ_CAPEX_HIGH_EST_CIQ" hidden="1">"c3809"</definedName>
    <definedName name="IQ_CAPEX_HIGH_EST_REUT" hidden="1">"c3971"</definedName>
    <definedName name="IQ_CAPEX_HIGH_EST_THOM" hidden="1">"c5504"</definedName>
    <definedName name="IQ_CAPEX_HIGH_GUIDANCE" hidden="1">"c4180"</definedName>
    <definedName name="IQ_CAPEX_HIGH_GUIDANCE_CIQ" hidden="1">"c4592"</definedName>
    <definedName name="IQ_CAPEX_INS" hidden="1">"c113"</definedName>
    <definedName name="IQ_CAPEX_LOW_EST" hidden="1">"c3525"</definedName>
    <definedName name="IQ_CAPEX_LOW_EST_CIQ" hidden="1">"c3810"</definedName>
    <definedName name="IQ_CAPEX_LOW_EST_REUT" hidden="1">"c3972"</definedName>
    <definedName name="IQ_CAPEX_LOW_EST_THOM" hidden="1">"c5505"</definedName>
    <definedName name="IQ_CAPEX_LOW_GUIDANCE" hidden="1">"c4220"</definedName>
    <definedName name="IQ_CAPEX_LOW_GUIDANCE_CIQ" hidden="1">"c4632"</definedName>
    <definedName name="IQ_CAPEX_MEDIAN_EST" hidden="1">"c3526"</definedName>
    <definedName name="IQ_CAPEX_MEDIAN_EST_CIQ" hidden="1">"c3808"</definedName>
    <definedName name="IQ_CAPEX_MEDIAN_EST_REUT" hidden="1">"c3970"</definedName>
    <definedName name="IQ_CAPEX_MEDIAN_EST_THOM" hidden="1">"c5503"</definedName>
    <definedName name="IQ_CAPEX_NUM_EST" hidden="1">"c3521"</definedName>
    <definedName name="IQ_CAPEX_NUM_EST_CIQ" hidden="1">"c3811"</definedName>
    <definedName name="IQ_CAPEX_NUM_EST_REUT" hidden="1">"c3973"</definedName>
    <definedName name="IQ_CAPEX_NUM_EST_THOM" hidden="1">"c5506"</definedName>
    <definedName name="IQ_CAPEX_STDDEV_EST" hidden="1">"c3522"</definedName>
    <definedName name="IQ_CAPEX_STDDEV_EST_CIQ" hidden="1">"c3812"</definedName>
    <definedName name="IQ_CAPEX_STDDEV_EST_REUT" hidden="1">"c3974"</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_1"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1" hidden="1">"c118"</definedName>
    <definedName name="IQ_CASH_ACQUIRE_CF" hidden="1">"c116"</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BANKS_1"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EST_CIQ" hidden="1">"c4565"</definedName>
    <definedName name="IQ_CASH_FLOW_GUIDANCE" hidden="1">"c4155"</definedName>
    <definedName name="IQ_CASH_FLOW_GUIDANCE_CIQ" hidden="1">"c4567"</definedName>
    <definedName name="IQ_CASH_FLOW_HIGH_EST" hidden="1">"c4156"</definedName>
    <definedName name="IQ_CASH_FLOW_HIGH_EST_CIQ" hidden="1">"c4568"</definedName>
    <definedName name="IQ_CASH_FLOW_HIGH_GUIDANCE" hidden="1">"c4201"</definedName>
    <definedName name="IQ_CASH_FLOW_HIGH_GUIDANCE_CIQ" hidden="1">"c4613"</definedName>
    <definedName name="IQ_CASH_FLOW_LOW_EST" hidden="1">"c4157"</definedName>
    <definedName name="IQ_CASH_FLOW_LOW_EST_CIQ" hidden="1">"c4569"</definedName>
    <definedName name="IQ_CASH_FLOW_LOW_GUIDANCE" hidden="1">"c4241"</definedName>
    <definedName name="IQ_CASH_FLOW_LOW_GUIDANCE_CIQ" hidden="1">"c4653"</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CIQ" hidden="1">"c4575"</definedName>
    <definedName name="IQ_CASH_OPER_GUIDANCE" hidden="1">"c4165"</definedName>
    <definedName name="IQ_CASH_OPER_GUIDANCE_CIQ" hidden="1">"c4577"</definedName>
    <definedName name="IQ_CASH_OPER_HIGH_EST" hidden="1">"c4166"</definedName>
    <definedName name="IQ_CASH_OPER_HIGH_EST_CIQ" hidden="1">"c4578"</definedName>
    <definedName name="IQ_CASH_OPER_HIGH_GUIDANCE" hidden="1">"c4185"</definedName>
    <definedName name="IQ_CASH_OPER_HIGH_GUIDANCE_CIQ" hidden="1">"c4597"</definedName>
    <definedName name="IQ_CASH_OPER_LOW_EST" hidden="1">"c4244"</definedName>
    <definedName name="IQ_CASH_OPER_LOW_EST_CIQ" hidden="1">"c4768"</definedName>
    <definedName name="IQ_CASH_OPER_LOW_GUIDANCE" hidden="1">"c4225"</definedName>
    <definedName name="IQ_CASH_OPER_LOW_GUIDANCE_CIQ" hidden="1">"c4637"</definedName>
    <definedName name="IQ_CASH_OPER_MEDIAN_EST" hidden="1">"c4245"</definedName>
    <definedName name="IQ_CASH_OPER_MEDIAN_EST_CIQ" hidden="1">"c4771"</definedName>
    <definedName name="IQ_CASH_OPER_NAME_AP" hidden="1">"c8926"</definedName>
    <definedName name="IQ_CASH_OPER_NAME_AP_ABS" hidden="1">"c8945"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1" hidden="1">"c124"</definedName>
    <definedName name="IQ_CASH_ST_INVEST" hidden="1">"c124"</definedName>
    <definedName name="IQ_CASH_ST_INVEST_EST" hidden="1">"c4249"</definedName>
    <definedName name="IQ_CASH_ST_INVEST_EST_CIQ" hidden="1">"c4775"</definedName>
    <definedName name="IQ_CASH_ST_INVEST_GUIDANCE" hidden="1">"c4250"</definedName>
    <definedName name="IQ_CASH_ST_INVEST_GUIDANCE_CIQ" hidden="1">"c4776"</definedName>
    <definedName name="IQ_CASH_ST_INVEST_HIGH_EST" hidden="1">"c4251"</definedName>
    <definedName name="IQ_CASH_ST_INVEST_HIGH_EST_CIQ" hidden="1">"c4777"</definedName>
    <definedName name="IQ_CASH_ST_INVEST_HIGH_GUIDANCE" hidden="1">"c4195"</definedName>
    <definedName name="IQ_CASH_ST_INVEST_HIGH_GUIDANCE_CIQ" hidden="1">"c4607"</definedName>
    <definedName name="IQ_CASH_ST_INVEST_LOW_EST" hidden="1">"c4252"</definedName>
    <definedName name="IQ_CASH_ST_INVEST_LOW_EST_CIQ" hidden="1">"c4778"</definedName>
    <definedName name="IQ_CASH_ST_INVEST_LOW_GUIDANCE" hidden="1">"c4235"</definedName>
    <definedName name="IQ_CASH_ST_INVEST_LOW_GUIDANCE_CIQ" hidden="1">"c4647"</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CIQ" hidden="1">"c5061"</definedName>
    <definedName name="IQ_CFPS_ACT_OR_EST_REUT" hidden="1">"c5463"</definedName>
    <definedName name="IQ_CFPS_ACT_OR_EST_THOM" hidden="1">"c5301"</definedName>
    <definedName name="IQ_CFPS_DET_EST" hidden="1">"c12049"</definedName>
    <definedName name="IQ_CFPS_DET_EST_CIQ" hidden="1">"c12109"</definedName>
    <definedName name="IQ_CFPS_DET_EST_CURRENCY" hidden="1">"c12458"</definedName>
    <definedName name="IQ_CFPS_DET_EST_CURRENCY_CIQ" hidden="1">"c12502"</definedName>
    <definedName name="IQ_CFPS_DET_EST_CURRENCY_THOM" hidden="1">"c12479"</definedName>
    <definedName name="IQ_CFPS_DET_EST_DATE" hidden="1">"c12202"</definedName>
    <definedName name="IQ_CFPS_DET_EST_DATE_CIQ" hidden="1">"c12255"</definedName>
    <definedName name="IQ_CFPS_DET_EST_DATE_THOM" hidden="1">"c12228"</definedName>
    <definedName name="IQ_CFPS_DET_EST_INCL" hidden="1">"c12341"</definedName>
    <definedName name="IQ_CFPS_DET_EST_INCL_CIQ" hidden="1">"c12385"</definedName>
    <definedName name="IQ_CFPS_DET_EST_INCL_THOM" hidden="1">"c12362"</definedName>
    <definedName name="IQ_CFPS_DET_EST_ORIGIN" hidden="1">"c12575"</definedName>
    <definedName name="IQ_CFPS_DET_EST_ORIGIN_CIQ" hidden="1">"c12624"</definedName>
    <definedName name="IQ_CFPS_DET_EST_ORIGIN_THOM" hidden="1">"c12598"</definedName>
    <definedName name="IQ_CFPS_DET_EST_THOM" hidden="1">"c12078"</definedName>
    <definedName name="IQ_CFPS_EST" hidden="1">"c1667"</definedName>
    <definedName name="IQ_CFPS_EST_CIQ" hidden="1">"c3675"</definedName>
    <definedName name="IQ_CFPS_EST_REUT" hidden="1">"c3844"</definedName>
    <definedName name="IQ_CFPS_EST_THOM" hidden="1">"c4006"</definedName>
    <definedName name="IQ_CFPS_GUIDANCE" hidden="1">"c4256"</definedName>
    <definedName name="IQ_CFPS_GUIDANCE_CIQ" hidden="1">"c4782"</definedName>
    <definedName name="IQ_CFPS_HIGH_EST" hidden="1">"c1669"</definedName>
    <definedName name="IQ_CFPS_HIGH_EST_CIQ" hidden="1">"c3677"</definedName>
    <definedName name="IQ_CFPS_HIGH_EST_REUT" hidden="1">"c3846"</definedName>
    <definedName name="IQ_CFPS_HIGH_EST_THOM" hidden="1">"c4008"</definedName>
    <definedName name="IQ_CFPS_HIGH_GUIDANCE" hidden="1">"c4167"</definedName>
    <definedName name="IQ_CFPS_HIGH_GUIDANCE_CIQ" hidden="1">"c4579"</definedName>
    <definedName name="IQ_CFPS_LOW_EST" hidden="1">"c1670"</definedName>
    <definedName name="IQ_CFPS_LOW_EST_CIQ" hidden="1">"c3678"</definedName>
    <definedName name="IQ_CFPS_LOW_EST_REUT" hidden="1">"c3847"</definedName>
    <definedName name="IQ_CFPS_LOW_EST_THOM" hidden="1">"c4009"</definedName>
    <definedName name="IQ_CFPS_LOW_GUIDANCE" hidden="1">"c4207"</definedName>
    <definedName name="IQ_CFPS_LOW_GUIDANCE_CIQ" hidden="1">"c4619"</definedName>
    <definedName name="IQ_CFPS_MEDIAN_EST" hidden="1">"c1668"</definedName>
    <definedName name="IQ_CFPS_MEDIAN_EST_CIQ" hidden="1">"c3676"</definedName>
    <definedName name="IQ_CFPS_MEDIAN_EST_REUT" hidden="1">"c3845"</definedName>
    <definedName name="IQ_CFPS_MEDIAN_EST_THOM" hidden="1">"c4007"</definedName>
    <definedName name="IQ_CFPS_NUM_EST" hidden="1">"c1671"</definedName>
    <definedName name="IQ_CFPS_NUM_EST_CIQ" hidden="1">"c3679"</definedName>
    <definedName name="IQ_CFPS_NUM_EST_REUT" hidden="1">"c3848"</definedName>
    <definedName name="IQ_CFPS_NUM_EST_THOM" hidden="1">"c4010"</definedName>
    <definedName name="IQ_CFPS_STDDEV_EST" hidden="1">"c1672"</definedName>
    <definedName name="IQ_CFPS_STDDEV_EST_CIQ" hidden="1">"c3680"</definedName>
    <definedName name="IQ_CFPS_STDDEV_EST_REUT" hidden="1">"c3849"</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NGES_WORK_CAP_1"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DET_EST" hidden="1">"c13610"</definedName>
    <definedName name="IQ_COM_TARGET_PRICE_DET_EST_CIQ" hidden="1">"c13603"</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1"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CIQ" hidden="1">"c12105"</definedName>
    <definedName name="IQ_CONTRIB_ID_DET_EST_THOM" hidden="1">"c12073"</definedName>
    <definedName name="IQ_CONTRIB_ID_NON_PER_DET_EST" hidden="1">"c13824"</definedName>
    <definedName name="IQ_CONTRIB_ID_NON_PER_DET_EST_CIQ" hidden="1">"c13825"</definedName>
    <definedName name="IQ_CONTRIB_NAME_DET_EST" hidden="1">"c12046"</definedName>
    <definedName name="IQ_CONTRIB_NAME_DET_EST_CIQ" hidden="1">"c12106"</definedName>
    <definedName name="IQ_CONTRIB_NAME_DET_EST_THOM" hidden="1">"c12074"</definedName>
    <definedName name="IQ_CONTRIB_NAME_NON_PER_DET_EST" hidden="1">"c12760"</definedName>
    <definedName name="IQ_CONTRIB_NAME_NON_PER_DET_EST_CIQ" hidden="1">"c12761"</definedName>
    <definedName name="IQ_CONTRIB_NAME_NON_PER_DET_EST_THOM" hidden="1">"c12764"</definedName>
    <definedName name="IQ_CONTRIB_REC_DET_EST" hidden="1">"c12051"</definedName>
    <definedName name="IQ_CONTRIB_REC_DET_EST_CIQ" hidden="1">"c12111"</definedName>
    <definedName name="IQ_CONTRIB_REC_DET_EST_DATE" hidden="1">"c12204"</definedName>
    <definedName name="IQ_CONTRIB_REC_DET_EST_DATE_CIQ" hidden="1">"c12257"</definedName>
    <definedName name="IQ_CONTRIB_REC_DET_EST_DATE_THOM" hidden="1">"c12230"</definedName>
    <definedName name="IQ_CONTRIB_REC_DET_EST_ORIGIN" hidden="1">"c12577"</definedName>
    <definedName name="IQ_CONTRIB_REC_DET_EST_ORIGIN_CIQ" hidden="1">"c12626"</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REVENUE_1" hidden="1">"c226"</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_OUTST_1" hidden="1">"c274"</definedName>
    <definedName name="IQ_DAYS_PAYABLE_OUT" hidden="1">"c274"</definedName>
    <definedName name="IQ_DAYS_SALES_OUT" hidden="1">"c275"</definedName>
    <definedName name="IQ_DAYS_SALES_OUTST" hidden="1">"c1363"</definedName>
    <definedName name="IQ_DAYS_SALES_OUTST_1" hidden="1">"c275"</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CQ_CST_1"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INC_TAX_1"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INC_TAX_1" hidden="1">"c315"</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1" hidden="1">"c147"</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1" hidden="1">"c247"</definedName>
    <definedName name="IQ_DEPRE_AMORT_SUPPL" hidden="1">"c1593"</definedName>
    <definedName name="IQ_DEPRE_DEPLE" hidden="1">"c1361"</definedName>
    <definedName name="IQ_DEPRE_DEPLE_1"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SCRIPTION_LONG_1" hidden="1">"c322"</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G_SUB_BASIC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 hidden="1">"c4270"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NT_OPER_1" hidden="1">"c333"</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GUIDANCE_CIQ" hidden="1">"c4804"</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 hidden="1">"c4610"</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 hidden="1">"c4650"</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 hidden="1">"c4812"</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 hidden="1">"c4611"</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 hidden="1">"c4651"</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 hidden="1">"c16189"</definedName>
    <definedName name="IQ_DISTRIBUTABLE_CASH_SHARES_DILUTED" hidden="1">"c16190"</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PAYMENT_DATE_1" hidden="1">"c2106"</definedName>
    <definedName name="IQ_DIV_PAYMENT_TYPE" hidden="1">"c12752"</definedName>
    <definedName name="IQ_DIV_RECORD_DATE" hidden="1">"c2204"</definedName>
    <definedName name="IQ_DIV_RECORD_DATE_1" hidden="1">"c2105"</definedName>
    <definedName name="IQ_DIV_SHARE" hidden="1">"c330"</definedName>
    <definedName name="IQ_DIVEST_CF" hidden="1">"c331"</definedName>
    <definedName name="IQ_DIVID_SHARE" hidden="1">"c1366"</definedName>
    <definedName name="IQ_DIVID_SHARE_1" hidden="1">"c330"</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REUT" hidden="1">"c5464"</definedName>
    <definedName name="IQ_DPS_ACT_OR_EST_THOM" hidden="1">"c5302"</definedName>
    <definedName name="IQ_DPS_DET_EST" hidden="1">"c12052"</definedName>
    <definedName name="IQ_DPS_DET_EST_CIQ" hidden="1">"c12112"</definedName>
    <definedName name="IQ_DPS_DET_EST_CURRENCY" hidden="1">"c12459"</definedName>
    <definedName name="IQ_DPS_DET_EST_CURRENCY_CIQ" hidden="1">"c12503"</definedName>
    <definedName name="IQ_DPS_DET_EST_CURRENCY_THOM" hidden="1">"c12480"</definedName>
    <definedName name="IQ_DPS_DET_EST_DATE" hidden="1">"c12205"</definedName>
    <definedName name="IQ_DPS_DET_EST_DATE_CIQ" hidden="1">"c12258"</definedName>
    <definedName name="IQ_DPS_DET_EST_DATE_THOM" hidden="1">"c12231"</definedName>
    <definedName name="IQ_DPS_DET_EST_INCL" hidden="1">"c12342"</definedName>
    <definedName name="IQ_DPS_DET_EST_INCL_CIQ" hidden="1">"c12386"</definedName>
    <definedName name="IQ_DPS_DET_EST_INCL_THOM" hidden="1">"c12363"</definedName>
    <definedName name="IQ_DPS_DET_EST_ORIGIN" hidden="1">"c12578"</definedName>
    <definedName name="IQ_DPS_DET_EST_ORIGIN_CIQ" hidden="1">"c12627"</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EST_THOM" hidden="1">"c4013"</definedName>
    <definedName name="IQ_DPS_GUIDANCE" hidden="1">"c4302"</definedName>
    <definedName name="IQ_DPS_GUIDANCE_CIQ" hidden="1">"c4827"</definedName>
    <definedName name="IQ_DPS_HIGH_EST" hidden="1">"c1676"</definedName>
    <definedName name="IQ_DPS_HIGH_EST_CIQ" hidden="1">"c3684"</definedName>
    <definedName name="IQ_DPS_HIGH_EST_REUT" hidden="1">"c3853"</definedName>
    <definedName name="IQ_DPS_HIGH_EST_THOM" hidden="1">"c4015"</definedName>
    <definedName name="IQ_DPS_HIGH_GUIDANCE" hidden="1">"c4168"</definedName>
    <definedName name="IQ_DPS_HIGH_GUIDANCE_CIQ" hidden="1">"c4580"</definedName>
    <definedName name="IQ_DPS_LOW_EST" hidden="1">"c1677"</definedName>
    <definedName name="IQ_DPS_LOW_EST_CIQ" hidden="1">"c3685"</definedName>
    <definedName name="IQ_DPS_LOW_EST_REUT" hidden="1">"c3854"</definedName>
    <definedName name="IQ_DPS_LOW_EST_THOM" hidden="1">"c4016"</definedName>
    <definedName name="IQ_DPS_LOW_GUIDANCE" hidden="1">"c4208"</definedName>
    <definedName name="IQ_DPS_LOW_GUIDANCE_CIQ" hidden="1">"c4620"</definedName>
    <definedName name="IQ_DPS_MEDIAN_EST" hidden="1">"c1675"</definedName>
    <definedName name="IQ_DPS_MEDIAN_EST_CIQ" hidden="1">"c3683"</definedName>
    <definedName name="IQ_DPS_MEDIAN_EST_REUT" hidden="1">"c3852"</definedName>
    <definedName name="IQ_DPS_MEDIAN_EST_THOM" hidden="1">"c4014"</definedName>
    <definedName name="IQ_DPS_NUM_EST" hidden="1">"c1678"</definedName>
    <definedName name="IQ_DPS_NUM_EST_CIQ" hidden="1">"c3686"</definedName>
    <definedName name="IQ_DPS_NUM_EST_REUT" hidden="1">"c3855"</definedName>
    <definedName name="IQ_DPS_NUM_EST_THOM" hidden="1">"c4017"</definedName>
    <definedName name="IQ_DPS_STDDEV_EST" hidden="1">"c1679"</definedName>
    <definedName name="IQ_DPS_STDDEV_EST_CIQ" hidden="1">"c3687"</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REUT" hidden="1">"c5465"</definedName>
    <definedName name="IQ_EBIT_ACT_OR_EST_THOM" hidden="1">"c5303"</definedName>
    <definedName name="IQ_EBIT_DET_EST" hidden="1">"c12053"</definedName>
    <definedName name="IQ_EBIT_DET_EST_CIQ" hidden="1">"c12113"</definedName>
    <definedName name="IQ_EBIT_DET_EST_CURRENCY" hidden="1">"c12460"</definedName>
    <definedName name="IQ_EBIT_DET_EST_CURRENCY_CIQ" hidden="1">"c12504"</definedName>
    <definedName name="IQ_EBIT_DET_EST_CURRENCY_THOM" hidden="1">"c12481"</definedName>
    <definedName name="IQ_EBIT_DET_EST_DATE" hidden="1">"c12206"</definedName>
    <definedName name="IQ_EBIT_DET_EST_DATE_CIQ" hidden="1">"c12259"</definedName>
    <definedName name="IQ_EBIT_DET_EST_DATE_THOM" hidden="1">"c12232"</definedName>
    <definedName name="IQ_EBIT_DET_EST_INCL" hidden="1">"c12343"</definedName>
    <definedName name="IQ_EBIT_DET_EST_INCL_CIQ" hidden="1">"c12387"</definedName>
    <definedName name="IQ_EBIT_DET_EST_INCL_THOM" hidden="1">"c12364"</definedName>
    <definedName name="IQ_EBIT_DET_EST_ORIGIN" hidden="1">"c12579"</definedName>
    <definedName name="IQ_EBIT_DET_EST_ORIGIN_CIQ" hidden="1">"c12628"</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ST_THOM" hidden="1">"c5105"</definedName>
    <definedName name="IQ_EBIT_EXCL_SBC" hidden="1">"c3082"</definedName>
    <definedName name="IQ_EBIT_GROWTH_1" hidden="1">"c157"</definedName>
    <definedName name="IQ_EBIT_GROWTH_2" hidden="1">"c161"</definedName>
    <definedName name="IQ_EBIT_GUIDANCE" hidden="1">"c4303"</definedName>
    <definedName name="IQ_EBIT_GUIDANCE_CIQ" hidden="1">"c4828"</definedName>
    <definedName name="IQ_EBIT_GW_ACT_OR_EST" hidden="1">"c4306"</definedName>
    <definedName name="IQ_EBIT_GW_ACT_OR_EST_CIQ" hidden="1">"c4831"</definedName>
    <definedName name="IQ_EBIT_GW_EST" hidden="1">"c4305"</definedName>
    <definedName name="IQ_EBIT_GW_EST_CIQ" hidden="1">"c4830"</definedName>
    <definedName name="IQ_EBIT_GW_GUIDANCE" hidden="1">"c4307"</definedName>
    <definedName name="IQ_EBIT_GW_GUIDANCE_CIQ" hidden="1">"c4832"</definedName>
    <definedName name="IQ_EBIT_GW_HIGH_EST" hidden="1">"c4308"</definedName>
    <definedName name="IQ_EBIT_GW_HIGH_EST_CIQ" hidden="1">"c4833"</definedName>
    <definedName name="IQ_EBIT_GW_HIGH_GUIDANCE" hidden="1">"c4171"</definedName>
    <definedName name="IQ_EBIT_GW_HIGH_GUIDANCE_CIQ" hidden="1">"c4583"</definedName>
    <definedName name="IQ_EBIT_GW_LOW_EST" hidden="1">"c4309"</definedName>
    <definedName name="IQ_EBIT_GW_LOW_EST_CIQ" hidden="1">"c4834"</definedName>
    <definedName name="IQ_EBIT_GW_LOW_GUIDANCE" hidden="1">"c4211"</definedName>
    <definedName name="IQ_EBIT_GW_LOW_GUIDANCE_CIQ" hidden="1">"c4623"</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EST_THOM" hidden="1">"c5107"</definedName>
    <definedName name="IQ_EBIT_HIGH_GUIDANCE" hidden="1">"c4172"</definedName>
    <definedName name="IQ_EBIT_HIGH_GUIDANCE_CIQ" hidden="1">"c4584"</definedName>
    <definedName name="IQ_EBIT_HOMEBUILDING_SALES" hidden="1">"c15815"</definedName>
    <definedName name="IQ_EBIT_INT" hidden="1">"c360"</definedName>
    <definedName name="IQ_EBIT_LOW_EST" hidden="1">"c1684"</definedName>
    <definedName name="IQ_EBIT_LOW_EST_CIQ" hidden="1">"c4677"</definedName>
    <definedName name="IQ_EBIT_LOW_EST_REUT" hidden="1">"c5336"</definedName>
    <definedName name="IQ_EBIT_LOW_EST_THOM" hidden="1">"c5108"</definedName>
    <definedName name="IQ_EBIT_LOW_GUIDANCE" hidden="1">"c4212"</definedName>
    <definedName name="IQ_EBIT_LOW_GUIDANCE_CIQ" hidden="1">"c4624"</definedName>
    <definedName name="IQ_EBIT_MARGIN" hidden="1">"c359"</definedName>
    <definedName name="IQ_EBIT_MEDIAN_EST" hidden="1">"c1682"</definedName>
    <definedName name="IQ_EBIT_MEDIAN_EST_CIQ" hidden="1">"c4675"</definedName>
    <definedName name="IQ_EBIT_MEDIAN_EST_REUT" hidden="1">"c5334"</definedName>
    <definedName name="IQ_EBIT_MEDIAN_EST_THOM" hidden="1">"c5106"</definedName>
    <definedName name="IQ_EBIT_NUM_EST" hidden="1">"c1685"</definedName>
    <definedName name="IQ_EBIT_NUM_EST_CIQ" hidden="1">"c4678"</definedName>
    <definedName name="IQ_EBIT_NUM_EST_REUT" hidden="1">"c5337"</definedName>
    <definedName name="IQ_EBIT_NUM_EST_THOM" hidden="1">"c5109"</definedName>
    <definedName name="IQ_EBIT_OVER_IE" hidden="1">"c1369"</definedName>
    <definedName name="IQ_EBIT_OVER_IE_1" hidden="1">"c360"</definedName>
    <definedName name="IQ_EBIT_SBC_ACT_OR_EST" hidden="1">"c4316"</definedName>
    <definedName name="IQ_EBIT_SBC_ACT_OR_EST_CIQ" hidden="1">"c4841"</definedName>
    <definedName name="IQ_EBIT_SBC_EST" hidden="1">"c4315"</definedName>
    <definedName name="IQ_EBIT_SBC_EST_CIQ" hidden="1">"c4840"</definedName>
    <definedName name="IQ_EBIT_SBC_GUIDANCE" hidden="1">"c4317"</definedName>
    <definedName name="IQ_EBIT_SBC_GUIDANCE_CIQ" hidden="1">"c4842"</definedName>
    <definedName name="IQ_EBIT_SBC_GW_ACT_OR_EST" hidden="1">"c4320"</definedName>
    <definedName name="IQ_EBIT_SBC_GW_ACT_OR_EST_CIQ" hidden="1">"c4845"</definedName>
    <definedName name="IQ_EBIT_SBC_GW_EST" hidden="1">"c4319"</definedName>
    <definedName name="IQ_EBIT_SBC_GW_EST_CIQ" hidden="1">"c4844"</definedName>
    <definedName name="IQ_EBIT_SBC_GW_GUIDANCE" hidden="1">"c4321"</definedName>
    <definedName name="IQ_EBIT_SBC_GW_GUIDANCE_CIQ" hidden="1">"c4846"</definedName>
    <definedName name="IQ_EBIT_SBC_GW_HIGH_EST" hidden="1">"c4322"</definedName>
    <definedName name="IQ_EBIT_SBC_GW_HIGH_EST_CIQ" hidden="1">"c4847"</definedName>
    <definedName name="IQ_EBIT_SBC_GW_HIGH_GUIDANCE" hidden="1">"c4193"</definedName>
    <definedName name="IQ_EBIT_SBC_GW_HIGH_GUIDANCE_CIQ" hidden="1">"c4605"</definedName>
    <definedName name="IQ_EBIT_SBC_GW_LOW_EST" hidden="1">"c4323"</definedName>
    <definedName name="IQ_EBIT_SBC_GW_LOW_EST_CIQ" hidden="1">"c4848"</definedName>
    <definedName name="IQ_EBIT_SBC_GW_LOW_GUIDANCE" hidden="1">"c4233"</definedName>
    <definedName name="IQ_EBIT_SBC_GW_LOW_GUIDANCE_CIQ" hidden="1">"c4645"</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 hidden="1">"c4192"</definedName>
    <definedName name="IQ_EBIT_SBC_HIGH_GUIDANCE_CIQ" hidden="1">"c4604"</definedName>
    <definedName name="IQ_EBIT_SBC_LOW_EST" hidden="1">"c4329"</definedName>
    <definedName name="IQ_EBIT_SBC_LOW_EST_CIQ" hidden="1">"c4854"</definedName>
    <definedName name="IQ_EBIT_SBC_LOW_GUIDANCE" hidden="1">"c4232"</definedName>
    <definedName name="IQ_EBIT_SBC_LOW_GUIDANCE_CIQ" hidden="1">"c4644"</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OVER_TOTAL_IE" hidden="1">"c1370"</definedName>
    <definedName name="IQ_EBITDA_CAPEX_OVER_TOTAL_IE_1" hidden="1">"c368"</definedName>
    <definedName name="IQ_EBITDA_DET_EST" hidden="1">"c12054"</definedName>
    <definedName name="IQ_EBITDA_DET_EST_CIQ" hidden="1">"c12114"</definedName>
    <definedName name="IQ_EBITDA_DET_EST_CURRENCY" hidden="1">"c12461"</definedName>
    <definedName name="IQ_EBITDA_DET_EST_CURRENCY_CIQ" hidden="1">"c12505"</definedName>
    <definedName name="IQ_EBITDA_DET_EST_CURRENCY_THOM" hidden="1">"c12482"</definedName>
    <definedName name="IQ_EBITDA_DET_EST_DATE" hidden="1">"c12207"</definedName>
    <definedName name="IQ_EBITDA_DET_EST_DATE_CIQ" hidden="1">"c12260"</definedName>
    <definedName name="IQ_EBITDA_DET_EST_DATE_THOM" hidden="1">"c12233"</definedName>
    <definedName name="IQ_EBITDA_DET_EST_INCL" hidden="1">"c12344"</definedName>
    <definedName name="IQ_EBITDA_DET_EST_INCL_CIQ" hidden="1">"c12388"</definedName>
    <definedName name="IQ_EBITDA_DET_EST_INCL_THOM" hidden="1">"c12365"</definedName>
    <definedName name="IQ_EBITDA_DET_EST_ORIGIN" hidden="1">"c12580"</definedName>
    <definedName name="IQ_EBITDA_DET_EST_ORIGIN_CIQ" hidden="1">"c12629"</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"c156"</definedName>
    <definedName name="IQ_EBITDA_GROWTH_2" hidden="1">"c160"</definedName>
    <definedName name="IQ_EBITDA_GUIDANCE" hidden="1">"c4334"</definedName>
    <definedName name="IQ_EBITDA_GUIDANCE_CIQ" hidden="1">"c4859"</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OVER_TOTAL_IE_1" hidden="1">"c373"</definedName>
    <definedName name="IQ_EBITDA_SBC_ACT_OR_EST" hidden="1">"c4337"</definedName>
    <definedName name="IQ_EBITDA_SBC_ACT_OR_EST_CIQ" hidden="1">"c4862"</definedName>
    <definedName name="IQ_EBITDA_SBC_EST" hidden="1">"c4336"</definedName>
    <definedName name="IQ_EBITDA_SBC_EST_CIQ" hidden="1">"c4861"</definedName>
    <definedName name="IQ_EBITDA_SBC_GUIDANCE" hidden="1">"c4338"</definedName>
    <definedName name="IQ_EBITDA_SBC_GUIDANCE_CIQ" hidden="1">"c4863"</definedName>
    <definedName name="IQ_EBITDA_SBC_HIGH_EST" hidden="1">"c4339"</definedName>
    <definedName name="IQ_EBITDA_SBC_HIGH_EST_CIQ" hidden="1">"c4864"</definedName>
    <definedName name="IQ_EBITDA_SBC_HIGH_GUIDANCE" hidden="1">"c4194"</definedName>
    <definedName name="IQ_EBITDA_SBC_HIGH_GUIDANCE_CIQ" hidden="1">"c4606"</definedName>
    <definedName name="IQ_EBITDA_SBC_LOW_EST" hidden="1">"c4340"</definedName>
    <definedName name="IQ_EBITDA_SBC_LOW_EST_CIQ" hidden="1">"c4865"</definedName>
    <definedName name="IQ_EBITDA_SBC_LOW_GUIDANCE" hidden="1">"c4234"</definedName>
    <definedName name="IQ_EBITDA_SBC_LOW_GUIDANCE_CIQ" hidden="1">"c4646"</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HIGH_GUIDANCE" hidden="1">"c4174"</definedName>
    <definedName name="IQ_EBT_GAAP_HIGH_GUIDANCE_CIQ" hidden="1">"c4586"</definedName>
    <definedName name="IQ_EBT_GAAP_LOW_GUIDANCE" hidden="1">"c4214"</definedName>
    <definedName name="IQ_EBT_GAAP_LOW_GUIDANCE_CIQ" hidden="1">"c4626"</definedName>
    <definedName name="IQ_EBT_GUIDANCE" hidden="1">"c4346"</definedName>
    <definedName name="IQ_EBT_GUIDANCE_CIQ" hidden="1">"c4871"</definedName>
    <definedName name="IQ_EBT_GW_GUIDANCE" hidden="1">"c4347"</definedName>
    <definedName name="IQ_EBT_GW_GUIDANCE_CIQ" hidden="1">"c4872"</definedName>
    <definedName name="IQ_EBT_GW_HIGH_GUIDANCE" hidden="1">"c4175"</definedName>
    <definedName name="IQ_EBT_GW_HIGH_GUIDANCE_CIQ" hidden="1">"c4587"</definedName>
    <definedName name="IQ_EBT_GW_LOW_GUIDANCE" hidden="1">"c4215"</definedName>
    <definedName name="IQ_EBT_GW_LOW_GUIDANCE_CIQ" hidden="1">"c4627"</definedName>
    <definedName name="IQ_EBT_HIGH_GUIDANCE" hidden="1">"c4173"</definedName>
    <definedName name="IQ_EBT_HIGH_GUIDANCE_CIQ" hidden="1">"c4585"</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EST_CIQ" hidden="1">"c4874"</definedName>
    <definedName name="IQ_EBT_SBC_GUIDANCE" hidden="1">"c4351"</definedName>
    <definedName name="IQ_EBT_SBC_GUIDANCE_CIQ" hidden="1">"c4876"</definedName>
    <definedName name="IQ_EBT_SBC_GW_ACT_OR_EST" hidden="1">"c4354"</definedName>
    <definedName name="IQ_EBT_SBC_GW_ACT_OR_EST_CIQ" hidden="1">"c4879"</definedName>
    <definedName name="IQ_EBT_SBC_GW_EST" hidden="1">"c4353"</definedName>
    <definedName name="IQ_EBT_SBC_GW_EST_CIQ" hidden="1">"c4878"</definedName>
    <definedName name="IQ_EBT_SBC_GW_GUIDANCE" hidden="1">"c4355"</definedName>
    <definedName name="IQ_EBT_SBC_GW_GUIDANCE_CIQ" hidden="1">"c4880"</definedName>
    <definedName name="IQ_EBT_SBC_GW_HIGH_EST" hidden="1">"c4356"</definedName>
    <definedName name="IQ_EBT_SBC_GW_HIGH_EST_CIQ" hidden="1">"c4881"</definedName>
    <definedName name="IQ_EBT_SBC_GW_HIGH_GUIDANCE" hidden="1">"c4191"</definedName>
    <definedName name="IQ_EBT_SBC_GW_HIGH_GUIDANCE_CIQ" hidden="1">"c4603"</definedName>
    <definedName name="IQ_EBT_SBC_GW_LOW_EST" hidden="1">"c4357"</definedName>
    <definedName name="IQ_EBT_SBC_GW_LOW_EST_CIQ" hidden="1">"c4882"</definedName>
    <definedName name="IQ_EBT_SBC_GW_LOW_GUIDANCE" hidden="1">"c4231"</definedName>
    <definedName name="IQ_EBT_SBC_GW_LOW_GUIDANCE_CIQ" hidden="1">"c4643"</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 hidden="1">"c4190"</definedName>
    <definedName name="IQ_EBT_SBC_HIGH_GUIDANCE_CIQ" hidden="1">"c4602"</definedName>
    <definedName name="IQ_EBT_SBC_LOW_EST" hidden="1">"c4363"</definedName>
    <definedName name="IQ_EBT_SBC_LOW_EST_CIQ" hidden="1">"c4888"</definedName>
    <definedName name="IQ_EBT_SBC_LOW_GUIDANCE" hidden="1">"c4230"</definedName>
    <definedName name="IQ_EBT_SBC_LOW_GUIDANCE_CIQ" hidden="1">"c4642"</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ERPRISE_VALUE_1" hidden="1">"c84"</definedName>
    <definedName name="IQ_ENTITLEMENT_DET_EST" hidden="1">"c12044"</definedName>
    <definedName name="IQ_ENTITLEMENT_DET_EST_CIQ" hidden="1">"c12104"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DET_EST" hidden="1">"c13571"</definedName>
    <definedName name="IQ_EPS_DET_EST_CIQ" hidden="1">"c13573"</definedName>
    <definedName name="IQ_EPS_DET_EST_CURRENCY" hidden="1">"c13583"</definedName>
    <definedName name="IQ_EPS_DET_EST_CURRENCY_CIQ" hidden="1">"c13585"</definedName>
    <definedName name="IQ_EPS_DET_EST_CURRENCY_THOM" hidden="1">"c12484"</definedName>
    <definedName name="IQ_EPS_DET_EST_DATE" hidden="1">"c13575"</definedName>
    <definedName name="IQ_EPS_DET_EST_DATE_CIQ" hidden="1">"c13577"</definedName>
    <definedName name="IQ_EPS_DET_EST_DATE_THOM" hidden="1">"c12235"</definedName>
    <definedName name="IQ_EPS_DET_EST_INCL" hidden="1">"c13587"</definedName>
    <definedName name="IQ_EPS_DET_EST_INCL_CIQ" hidden="1">"c13589"</definedName>
    <definedName name="IQ_EPS_DET_EST_INCL_THOM" hidden="1">"c12367"</definedName>
    <definedName name="IQ_EPS_DET_EST_ORIGIN" hidden="1">"c13579"</definedName>
    <definedName name="IQ_EPS_DET_EST_ORIGIN_CIQ" hidden="1">"c13581"</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HIGH_GUIDANCE" hidden="1">"c4369"</definedName>
    <definedName name="IQ_EPS_EXCL_HIGH_GUIDANCE_CIQ" hidden="1">"c4894"</definedName>
    <definedName name="IQ_EPS_EXCL_LOW_GUIDANCE" hidden="1">"c4204"</definedName>
    <definedName name="IQ_EPS_EXCL_LOW_GUIDANCE_CIQ" hidden="1">"c4616"</definedName>
    <definedName name="IQ_EPS_GAAP_GUIDANCE" hidden="1">"c4370"</definedName>
    <definedName name="IQ_EPS_GAAP_GUIDANCE_CIQ" hidden="1">"c4895"</definedName>
    <definedName name="IQ_EPS_GAAP_HIGH_GUIDANCE" hidden="1">"c4371"</definedName>
    <definedName name="IQ_EPS_GAAP_HIGH_GUIDANCE_CIQ" hidden="1">"c4896"</definedName>
    <definedName name="IQ_EPS_GAAP_LOW_GUIDANCE" hidden="1">"c4205"</definedName>
    <definedName name="IQ_EPS_GAAP_LOW_GUIDANCE_CIQ" hidden="1">"c4617"</definedName>
    <definedName name="IQ_EPS_GROWTH_GUIDANCE" hidden="1">"c13495"</definedName>
    <definedName name="IQ_EPS_GROWTH_HIGH_GUIDANCE" hidden="1">"c13496"</definedName>
    <definedName name="IQ_EPS_GROWTH_LOW_GUIDANCE" hidden="1">"c13497"</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IQ" hidden="1">"c12118"</definedName>
    <definedName name="IQ_EPS_GW_DET_EST_CURRENCY" hidden="1">"c12463"</definedName>
    <definedName name="IQ_EPS_GW_DET_EST_CURRENCY_CIQ" hidden="1">"c12509"</definedName>
    <definedName name="IQ_EPS_GW_DET_EST_CURRENCY_THOM" hidden="1">"c12485"</definedName>
    <definedName name="IQ_EPS_GW_DET_EST_DATE" hidden="1">"c12209"</definedName>
    <definedName name="IQ_EPS_GW_DET_EST_DATE_CIQ" hidden="1">"c12264"</definedName>
    <definedName name="IQ_EPS_GW_DET_EST_DATE_THOM" hidden="1">"c12236"</definedName>
    <definedName name="IQ_EPS_GW_DET_EST_INCL" hidden="1">"c12346"</definedName>
    <definedName name="IQ_EPS_GW_DET_EST_INCL_CIQ" hidden="1">"c12392"</definedName>
    <definedName name="IQ_EPS_GW_DET_EST_INCL_THOM" hidden="1">"c12368"</definedName>
    <definedName name="IQ_EPS_GW_DET_EST_ORIGIN" hidden="1">"c12582"</definedName>
    <definedName name="IQ_EPS_GW_DET_EST_ORIGIN_CIQ" hidden="1">"c12633"</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DET_EST" hidden="1">"c12058"</definedName>
    <definedName name="IQ_EPS_NORM_DET_EST_CIQ" hidden="1">"c12120"</definedName>
    <definedName name="IQ_EPS_NORM_DET_EST_CURRENCY" hidden="1">"c12465"</definedName>
    <definedName name="IQ_EPS_NORM_DET_EST_CURRENCY_CIQ" hidden="1">"c12511"</definedName>
    <definedName name="IQ_EPS_NORM_DET_EST_DATE" hidden="1">"c12211"</definedName>
    <definedName name="IQ_EPS_NORM_DET_EST_DATE_CIQ" hidden="1">"c12266"</definedName>
    <definedName name="IQ_EPS_NORM_DET_EST_INCL" hidden="1">"c12348"</definedName>
    <definedName name="IQ_EPS_NORM_DET_EST_INCL_CIQ" hidden="1">"c12394"</definedName>
    <definedName name="IQ_EPS_NORM_DET_EST_ORIGIN" hidden="1">"c12583"</definedName>
    <definedName name="IQ_EPS_NORM_DET_EST_ORIGIN_CIQ" hidden="1">"c12635"</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IQ" hidden="1">"c12119"</definedName>
    <definedName name="IQ_EPS_REPORTED_DET_EST_CURRENCY" hidden="1">"c12464"</definedName>
    <definedName name="IQ_EPS_REPORTED_DET_EST_CURRENCY_CIQ" hidden="1">"c12510"</definedName>
    <definedName name="IQ_EPS_REPORTED_DET_EST_CURRENCY_THOM" hidden="1">"c12486"</definedName>
    <definedName name="IQ_EPS_REPORTED_DET_EST_DATE" hidden="1">"c12210"</definedName>
    <definedName name="IQ_EPS_REPORTED_DET_EST_DATE_CIQ" hidden="1">"c12265"</definedName>
    <definedName name="IQ_EPS_REPORTED_DET_EST_DATE_THOM" hidden="1">"c12237"</definedName>
    <definedName name="IQ_EPS_REPORTED_DET_EST_INCL" hidden="1">"c12347"</definedName>
    <definedName name="IQ_EPS_REPORTED_DET_EST_INCL_CIQ" hidden="1">"c12393"</definedName>
    <definedName name="IQ_EPS_REPORTED_DET_EST_INCL_THOM" hidden="1">"c12369"</definedName>
    <definedName name="IQ_EPS_REPORTED_DET_EST_ORIGIN" hidden="1">"c12772"</definedName>
    <definedName name="IQ_EPS_REPORTED_DET_EST_ORIGIN_CIQ" hidden="1">"c12634"</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EST_CIQ" hidden="1">"c4900"</definedName>
    <definedName name="IQ_EPS_SBC_GUIDANCE" hidden="1">"c4377"</definedName>
    <definedName name="IQ_EPS_SBC_GUIDANCE_CIQ" hidden="1">"c4902"</definedName>
    <definedName name="IQ_EPS_SBC_GW_ACT_OR_EST" hidden="1">"c4380"</definedName>
    <definedName name="IQ_EPS_SBC_GW_ACT_OR_EST_CIQ" hidden="1">"c4905"</definedName>
    <definedName name="IQ_EPS_SBC_GW_EST" hidden="1">"c4379"</definedName>
    <definedName name="IQ_EPS_SBC_GW_EST_CIQ" hidden="1">"c4904"</definedName>
    <definedName name="IQ_EPS_SBC_GW_GUIDANCE" hidden="1">"c4381"</definedName>
    <definedName name="IQ_EPS_SBC_GW_GUIDANCE_CIQ" hidden="1">"c4906"</definedName>
    <definedName name="IQ_EPS_SBC_GW_HIGH_EST" hidden="1">"c4382"</definedName>
    <definedName name="IQ_EPS_SBC_GW_HIGH_EST_CIQ" hidden="1">"c4907"</definedName>
    <definedName name="IQ_EPS_SBC_GW_HIGH_GUIDANCE" hidden="1">"c4189"</definedName>
    <definedName name="IQ_EPS_SBC_GW_HIGH_GUIDANCE_CIQ" hidden="1">"c4601"</definedName>
    <definedName name="IQ_EPS_SBC_GW_LOW_EST" hidden="1">"c4383"</definedName>
    <definedName name="IQ_EPS_SBC_GW_LOW_EST_CIQ" hidden="1">"c4908"</definedName>
    <definedName name="IQ_EPS_SBC_GW_LOW_GUIDANCE" hidden="1">"c4229"</definedName>
    <definedName name="IQ_EPS_SBC_GW_LOW_GUIDANCE_CIQ" hidden="1">"c4641"</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 hidden="1">"c4188"</definedName>
    <definedName name="IQ_EPS_SBC_HIGH_GUIDANCE_CIQ" hidden="1">"c4600"</definedName>
    <definedName name="IQ_EPS_SBC_LOW_EST" hidden="1">"c4389"</definedName>
    <definedName name="IQ_EPS_SBC_LOW_EST_CIQ" hidden="1">"c4914"</definedName>
    <definedName name="IQ_EPS_SBC_LOW_GUIDANCE" hidden="1">"c4228"</definedName>
    <definedName name="IQ_EPS_SBC_LOW_GUIDANCE_CIQ" hidden="1">"c4640"</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FFIL_1"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QV_OVER_LTM_PRETAX_INC_1" hidden="1">"c739"</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SHARE_THOM" hidden="1">"c4026"</definedName>
    <definedName name="IQ_EST_ACT_CAPEX" hidden="1">"c3546"</definedName>
    <definedName name="IQ_EST_ACT_CAPEX_CIQ" hidden="1">"c3813"</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CFPS_THOM" hidden="1">"c4012"</definedName>
    <definedName name="IQ_EST_ACT_DISTRIBUTABLE_CASH" hidden="1">"c4396"</definedName>
    <definedName name="IQ_EST_ACT_DISTRIBUTABLE_CASH_CIQ" hidden="1">"c4921"</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DPS_THOM" hidden="1">"c4019"</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_THOM" hidden="1">"c5111"</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ITDA_THOM" hidden="1">"c3998"</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EPS_THOM" hidden="1">"c5294"</definedName>
    <definedName name="IQ_EST_ACT_FFO" hidden="1">"c4407"</definedName>
    <definedName name="IQ_EST_ACT_FFO_ADJ" hidden="1">"c4406"</definedName>
    <definedName name="IQ_EST_ACT_FFO_ADJ_CIQ" hidden="1">"c4931"</definedName>
    <definedName name="IQ_EST_ACT_FFO_CIQ" hidden="1">"c4932"</definedName>
    <definedName name="IQ_EST_ACT_FFO_REUT" hidden="1">"c3843"</definedName>
    <definedName name="IQ_EST_ACT_FFO_SHARE" hidden="1">"c1666"</definedName>
    <definedName name="IQ_EST_ACT_FFO_SHARE_CIQ" hidden="1">"c3674"</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THOM" hidden="1">"c5600"</definedName>
    <definedName name="IQ_EST_ACT_NET_DEBT" hidden="1">"c3545"</definedName>
    <definedName name="IQ_EST_ACT_NET_DEBT_CIQ" hidden="1">"c3820"</definedName>
    <definedName name="IQ_EST_ACT_NET_DEBT_REUT" hidden="1">"c5446"</definedName>
    <definedName name="IQ_EST_ACT_NET_DEBT_THOM" hidden="1">"c4033"</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NI_THOM" hidden="1">"c5132"</definedName>
    <definedName name="IQ_EST_ACT_OPER_INC" hidden="1">"c1694"</definedName>
    <definedName name="IQ_EST_ACT_OPER_INC_CIQ" hidden="1">"c12016"</definedName>
    <definedName name="IQ_EST_ACT_OPER_INC_REUT" hidden="1">"c5346"</definedName>
    <definedName name="IQ_EST_ACT_OPER_INC_THOM" hidden="1">"c5118"</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INC_THOM" hidden="1">"c5125"</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CIQ" hidden="1">"c3666"</definedName>
    <definedName name="IQ_EST_ACT_REV_REUT" hidden="1">"c3835"</definedName>
    <definedName name="IQ_EST_ACT_REV_THOM" hidden="1">"c3997"</definedName>
    <definedName name="IQ_EST_BV_DIFF_REUT" hidden="1">"c5433"</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REUT" hidden="1">"c5434"</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1YR_THOM" hidden="1">"c5542"</definedName>
    <definedName name="IQ_EST_CAPEX_GROWTH_2YR" hidden="1">"c3589"</definedName>
    <definedName name="IQ_EST_CAPEX_GROWTH_2YR_CIQ" hidden="1">"c4973"</definedName>
    <definedName name="IQ_EST_CAPEX_GROWTH_2YR_REUT" hidden="1">"c5448"</definedName>
    <definedName name="IQ_EST_CAPEX_GROWTH_2YR_THOM" hidden="1">"c5543"</definedName>
    <definedName name="IQ_EST_CAPEX_GROWTH_Q_1YR" hidden="1">"c3590"</definedName>
    <definedName name="IQ_EST_CAPEX_GROWTH_Q_1YR_CIQ" hidden="1">"c4974"</definedName>
    <definedName name="IQ_EST_CAPEX_GROWTH_Q_1YR_REUT" hidden="1">"c5449"</definedName>
    <definedName name="IQ_EST_CAPEX_GROWTH_Q_1YR_THOM" hidden="1">"c5544"</definedName>
    <definedName name="IQ_EST_CAPEX_SEQ_GROWTH_Q" hidden="1">"c3591"</definedName>
    <definedName name="IQ_EST_CAPEX_SEQ_GROWTH_Q_CIQ" hidden="1">"c4975"</definedName>
    <definedName name="IQ_EST_CAPEX_SEQ_GROWTH_Q_REUT" hidden="1">"c5450"</definedName>
    <definedName name="IQ_EST_CAPEX_SEQ_GROWTH_Q_THOM" hidden="1">"c5545"</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SURPRISE_PERCENT" hidden="1">"c4161"</definedName>
    <definedName name="IQ_EST_CASH_FLOW_SURPRISE_PERCENT_CIQ" hidden="1">"c4573"</definedName>
    <definedName name="IQ_EST_CASH_OPER_DIFF" hidden="1">"c4162"</definedName>
    <definedName name="IQ_EST_CASH_OPER_DIFF_CIQ" hidden="1">"c4574"</definedName>
    <definedName name="IQ_EST_CASH_OPER_SURPRISE_PERCENT" hidden="1">"c4248"</definedName>
    <definedName name="IQ_EST_CASH_OPER_SURPRISE_PERCENT_CIQ" hidden="1">"c4774"</definedName>
    <definedName name="IQ_EST_CFPS_DIFF" hidden="1">"c1871"</definedName>
    <definedName name="IQ_EST_CFPS_DIFF_CIQ" hidden="1">"c3723"</definedName>
    <definedName name="IQ_EST_CFPS_DIFF_REUT" hidden="1">"c3892"</definedName>
    <definedName name="IQ_EST_CFPS_DIFF_THOM" hidden="1">"c5188"</definedName>
    <definedName name="IQ_EST_CFPS_GROWTH_1YR" hidden="1">"c1774"</definedName>
    <definedName name="IQ_EST_CFPS_GROWTH_1YR_CIQ" hidden="1">"c3709"</definedName>
    <definedName name="IQ_EST_CFPS_GROWTH_1YR_REUT" hidden="1">"c3878"</definedName>
    <definedName name="IQ_EST_CFPS_GROWTH_1YR_THOM" hidden="1">"c5174"</definedName>
    <definedName name="IQ_EST_CFPS_GROWTH_2YR" hidden="1">"c1775"</definedName>
    <definedName name="IQ_EST_CFPS_GROWTH_2YR_CIQ" hidden="1">"c3710"</definedName>
    <definedName name="IQ_EST_CFPS_GROWTH_2YR_REUT" hidden="1">"c3879"</definedName>
    <definedName name="IQ_EST_CFPS_GROWTH_2YR_THOM" hidden="1">"c5175"</definedName>
    <definedName name="IQ_EST_CFPS_GROWTH_Q_1YR" hidden="1">"c1776"</definedName>
    <definedName name="IQ_EST_CFPS_GROWTH_Q_1YR_CIQ" hidden="1">"c3711"</definedName>
    <definedName name="IQ_EST_CFPS_GROWTH_Q_1YR_REUT" hidden="1">"c3880"</definedName>
    <definedName name="IQ_EST_CFPS_GROWTH_Q_1YR_THOM" hidden="1">"c5176"</definedName>
    <definedName name="IQ_EST_CFPS_SEQ_GROWTH_Q" hidden="1">"c1777"</definedName>
    <definedName name="IQ_EST_CFPS_SEQ_GROWTH_Q_CIQ" hidden="1">"c3712"</definedName>
    <definedName name="IQ_EST_CFPS_SEQ_GROWTH_Q_REUT" hidden="1">"c3881"</definedName>
    <definedName name="IQ_EST_CFPS_SEQ_GROWTH_Q_THOM" hidden="1">"c5177"</definedName>
    <definedName name="IQ_EST_CFPS_SURPRISE_PERCENT" hidden="1">"c1872"</definedName>
    <definedName name="IQ_EST_CFPS_SURPRISE_PERCENT_CIQ" hidden="1">"c3724"</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DIFF_CIQ" hidden="1">"c4801"</definedName>
    <definedName name="IQ_EST_DISTRIBUTABLE_CASH_GROWTH_1YR" hidden="1">"c4413"</definedName>
    <definedName name="IQ_EST_DISTRIBUTABLE_CASH_GROWTH_1YR_CIQ" hidden="1">"c4938"</definedName>
    <definedName name="IQ_EST_DISTRIBUTABLE_CASH_GROWTH_2YR" hidden="1">"c4414"</definedName>
    <definedName name="IQ_EST_DISTRIBUTABLE_CASH_GROWTH_2YR_CIQ" hidden="1">"c4939"</definedName>
    <definedName name="IQ_EST_DISTRIBUTABLE_CASH_GROWTH_Q_1YR" hidden="1">"c4415"</definedName>
    <definedName name="IQ_EST_DISTRIBUTABLE_CASH_GROWTH_Q_1YR_CIQ" hidden="1">"c4940"</definedName>
    <definedName name="IQ_EST_DISTRIBUTABLE_CASH_SEQ_GROWTH_Q" hidden="1">"c4416"</definedName>
    <definedName name="IQ_EST_DISTRIBUTABLE_CASH_SEQ_GROWTH_Q_CIQ" hidden="1">"c4941"</definedName>
    <definedName name="IQ_EST_DISTRIBUTABLE_CASH_SHARE_DIFF" hidden="1">"c4284"</definedName>
    <definedName name="IQ_EST_DISTRIBUTABLE_CASH_SHARE_DIFF_CIQ" hidden="1">"c4809"</definedName>
    <definedName name="IQ_EST_DISTRIBUTABLE_CASH_SHARE_GROWTH_1YR" hidden="1">"c4417"</definedName>
    <definedName name="IQ_EST_DISTRIBUTABLE_CASH_SHARE_GROWTH_1YR_CIQ" hidden="1">"c4942"</definedName>
    <definedName name="IQ_EST_DISTRIBUTABLE_CASH_SHARE_GROWTH_2YR" hidden="1">"c4418"</definedName>
    <definedName name="IQ_EST_DISTRIBUTABLE_CASH_SHARE_GROWTH_2YR_CIQ" hidden="1">"c4943"</definedName>
    <definedName name="IQ_EST_DISTRIBUTABLE_CASH_SHARE_GROWTH_Q_1YR" hidden="1">"c4419"</definedName>
    <definedName name="IQ_EST_DISTRIBUTABLE_CASH_SHARE_GROWTH_Q_1YR_CIQ" hidden="1">"c4944"</definedName>
    <definedName name="IQ_EST_DISTRIBUTABLE_CASH_SHARE_SEQ_GROWTH_Q" hidden="1">"c4420"</definedName>
    <definedName name="IQ_EST_DISTRIBUTABLE_CASH_SHARE_SEQ_GROWTH_Q_CIQ" hidden="1">"c4945"</definedName>
    <definedName name="IQ_EST_DISTRIBUTABLE_CASH_SHARE_SURPRISE_PERCENT" hidden="1">"c4293"</definedName>
    <definedName name="IQ_EST_DISTRIBUTABLE_CASH_SHARE_SURPRISE_PERCENT_CIQ" hidden="1">"c4818"</definedName>
    <definedName name="IQ_EST_DISTRIBUTABLE_CASH_SURPRISE_PERCENT" hidden="1">"c4295"</definedName>
    <definedName name="IQ_EST_DISTRIBUTABLE_CASH_SURPRISE_PERCENT_CIQ" hidden="1">"c4820"</definedName>
    <definedName name="IQ_EST_DPS_DIFF" hidden="1">"c1873"</definedName>
    <definedName name="IQ_EST_DPS_DIFF_CIQ" hidden="1">"c3725"</definedName>
    <definedName name="IQ_EST_DPS_DIFF_REUT" hidden="1">"c3894"</definedName>
    <definedName name="IQ_EST_DPS_DIFF_THOM" hidden="1">"c5190"</definedName>
    <definedName name="IQ_EST_DPS_GROWTH_1YR" hidden="1">"c1778"</definedName>
    <definedName name="IQ_EST_DPS_GROWTH_1YR_CIQ" hidden="1">"c3713"</definedName>
    <definedName name="IQ_EST_DPS_GROWTH_1YR_REUT" hidden="1">"c3882"</definedName>
    <definedName name="IQ_EST_DPS_GROWTH_1YR_THOM" hidden="1">"c5178"</definedName>
    <definedName name="IQ_EST_DPS_GROWTH_2YR" hidden="1">"c1779"</definedName>
    <definedName name="IQ_EST_DPS_GROWTH_2YR_CIQ" hidden="1">"c3714"</definedName>
    <definedName name="IQ_EST_DPS_GROWTH_2YR_REUT" hidden="1">"c3883"</definedName>
    <definedName name="IQ_EST_DPS_GROWTH_2YR_THOM" hidden="1">"c5179"</definedName>
    <definedName name="IQ_EST_DPS_GROWTH_Q_1YR" hidden="1">"c1780"</definedName>
    <definedName name="IQ_EST_DPS_GROWTH_Q_1YR_CIQ" hidden="1">"c3715"</definedName>
    <definedName name="IQ_EST_DPS_GROWTH_Q_1YR_REUT" hidden="1">"c3884"</definedName>
    <definedName name="IQ_EST_DPS_GROWTH_Q_1YR_THOM" hidden="1">"c5180"</definedName>
    <definedName name="IQ_EST_DPS_SEQ_GROWTH_Q" hidden="1">"c1781"</definedName>
    <definedName name="IQ_EST_DPS_SEQ_GROWTH_Q_CIQ" hidden="1">"c3716"</definedName>
    <definedName name="IQ_EST_DPS_SEQ_GROWTH_Q_REUT" hidden="1">"c3885"</definedName>
    <definedName name="IQ_EST_DPS_SEQ_GROWTH_Q_THOM" hidden="1">"c5181"</definedName>
    <definedName name="IQ_EST_DPS_SURPRISE_PERCENT" hidden="1">"c1874"</definedName>
    <definedName name="IQ_EST_DPS_SURPRISE_PERCENT_CIQ" hidden="1">"c3726"</definedName>
    <definedName name="IQ_EST_DPS_SURPRISE_PERCENT_REUT" hidden="1">"c3895"</definedName>
    <definedName name="IQ_EST_DPS_SURPRISE_PERCENT_THOM" hidden="1">"c5191"</definedName>
    <definedName name="IQ_EST_EBIT_DIFF" hidden="1">"c1875"</definedName>
    <definedName name="IQ_EST_EBIT_DIFF_CIQ" hidden="1">"c4747"</definedName>
    <definedName name="IQ_EST_EBIT_DIFF_REUT" hidden="1">"c5413"</definedName>
    <definedName name="IQ_EST_EBIT_DIFF_THOM" hidden="1">"c5192"</definedName>
    <definedName name="IQ_EST_EBIT_GW_DIFF" hidden="1">"c4304"</definedName>
    <definedName name="IQ_EST_EBIT_GW_DIFF_CIQ" hidden="1">"c4829"</definedName>
    <definedName name="IQ_EST_EBIT_GW_SURPRISE_PERCENT" hidden="1">"c4313"</definedName>
    <definedName name="IQ_EST_EBIT_GW_SURPRISE_PERCENT_CIQ" hidden="1">"c4838"</definedName>
    <definedName name="IQ_EST_EBIT_SBC_DIFF" hidden="1">"c4314"</definedName>
    <definedName name="IQ_EST_EBIT_SBC_DIFF_CIQ" hidden="1">"c4839"</definedName>
    <definedName name="IQ_EST_EBIT_SBC_GW_DIFF" hidden="1">"c4318"</definedName>
    <definedName name="IQ_EST_EBIT_SBC_GW_DIFF_CIQ" hidden="1">"c4843"</definedName>
    <definedName name="IQ_EST_EBIT_SBC_GW_SURPRISE_PERCENT" hidden="1">"c4327"</definedName>
    <definedName name="IQ_EST_EBIT_SBC_GW_SURPRISE_PERCENT_CIQ" hidden="1">"c4852"</definedName>
    <definedName name="IQ_EST_EBIT_SBC_SURPRISE_PERCENT" hidden="1">"c4333"</definedName>
    <definedName name="IQ_EST_EBIT_SBC_SURPRISE_PERCENT_CIQ" hidden="1">"c4858"</definedName>
    <definedName name="IQ_EST_EBIT_SURPRISE_PERCENT" hidden="1">"c1876"</definedName>
    <definedName name="IQ_EST_EBIT_SURPRISE_PERCENT_CIQ" hidden="1">"c4748"</definedName>
    <definedName name="IQ_EST_EBIT_SURPRISE_PERCENT_REUT" hidden="1">"c5414"</definedName>
    <definedName name="IQ_EST_EBIT_SURPRISE_PERCENT_THOM" hidden="1">"c5193"</definedName>
    <definedName name="IQ_EST_EBITDA_DIFF" hidden="1">"c1867"</definedName>
    <definedName name="IQ_EST_EBITDA_DIFF_CIQ" hidden="1">"c3719"</definedName>
    <definedName name="IQ_EST_EBITDA_DIFF_REUT" hidden="1">"c3888"</definedName>
    <definedName name="IQ_EST_EBITDA_DIFF_THOM" hidden="1">"c5184"</definedName>
    <definedName name="IQ_EST_EBITDA_GROWTH_1YR" hidden="1">"c1766"</definedName>
    <definedName name="IQ_EST_EBITDA_GROWTH_1YR_CIQ" hidden="1">"c3695"</definedName>
    <definedName name="IQ_EST_EBITDA_GROWTH_1YR_REUT" hidden="1">"c3864"</definedName>
    <definedName name="IQ_EST_EBITDA_GROWTH_1YR_THOM" hidden="1">"c5161"</definedName>
    <definedName name="IQ_EST_EBITDA_GROWTH_2YR" hidden="1">"c1767"</definedName>
    <definedName name="IQ_EST_EBITDA_GROWTH_2YR_CIQ" hidden="1">"c3696"</definedName>
    <definedName name="IQ_EST_EBITDA_GROWTH_2YR_REUT" hidden="1">"c3865"</definedName>
    <definedName name="IQ_EST_EBITDA_GROWTH_2YR_THOM" hidden="1">"c5162"</definedName>
    <definedName name="IQ_EST_EBITDA_GROWTH_Q_1YR" hidden="1">"c1768"</definedName>
    <definedName name="IQ_EST_EBITDA_GROWTH_Q_1YR_CIQ" hidden="1">"c3697"</definedName>
    <definedName name="IQ_EST_EBITDA_GROWTH_Q_1YR_REUT" hidden="1">"c3866"</definedName>
    <definedName name="IQ_EST_EBITDA_GROWTH_Q_1YR_THOM" hidden="1">"c5163"</definedName>
    <definedName name="IQ_EST_EBITDA_SBC_DIFF" hidden="1">"c4335"</definedName>
    <definedName name="IQ_EST_EBITDA_SBC_DIFF_CIQ" hidden="1">"c4860"</definedName>
    <definedName name="IQ_EST_EBITDA_SBC_SURPRISE_PERCENT" hidden="1">"c4344"</definedName>
    <definedName name="IQ_EST_EBITDA_SBC_SURPRISE_PERCENT_CIQ" hidden="1">"c4869"</definedName>
    <definedName name="IQ_EST_EBITDA_SEQ_GROWTH_Q" hidden="1">"c1769"</definedName>
    <definedName name="IQ_EST_EBITDA_SEQ_GROWTH_Q_CIQ" hidden="1">"c3698"</definedName>
    <definedName name="IQ_EST_EBITDA_SEQ_GROWTH_Q_REUT" hidden="1">"c3867"</definedName>
    <definedName name="IQ_EST_EBITDA_SEQ_GROWTH_Q_THOM" hidden="1">"c5164"</definedName>
    <definedName name="IQ_EST_EBITDA_SURPRISE_PERCENT" hidden="1">"c1868"</definedName>
    <definedName name="IQ_EST_EBITDA_SURPRISE_PERCENT_CIQ" hidden="1">"c3720"</definedName>
    <definedName name="IQ_EST_EBITDA_SURPRISE_PERCENT_REUT" hidden="1">"c3889"</definedName>
    <definedName name="IQ_EST_EBITDA_SURPRISE_PERCENT_THOM" hidden="1">"c5185"</definedName>
    <definedName name="IQ_EST_EBT_SBC_DIFF" hidden="1">"c4348"</definedName>
    <definedName name="IQ_EST_EBT_SBC_DIFF_CIQ" hidden="1">"c4873"</definedName>
    <definedName name="IQ_EST_EBT_SBC_GW_DIFF" hidden="1">"c4352"</definedName>
    <definedName name="IQ_EST_EBT_SBC_GW_DIFF_CIQ" hidden="1">"c4877"</definedName>
    <definedName name="IQ_EST_EBT_SBC_GW_SURPRISE_PERCENT" hidden="1">"c4361"</definedName>
    <definedName name="IQ_EST_EBT_SBC_GW_SURPRISE_PERCENT_CIQ" hidden="1">"c4886"</definedName>
    <definedName name="IQ_EST_EBT_SBC_SURPRISE_PERCENT" hidden="1">"c4367"</definedName>
    <definedName name="IQ_EST_EBT_SBC_SURPRISE_PERCENT_CIQ" hidden="1">"c4892"</definedName>
    <definedName name="IQ_EST_EPS_DIFF" hidden="1">"c1864"</definedName>
    <definedName name="IQ_EST_EPS_DIFF_CIQ" hidden="1">"c4999"</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DIFF_CIQ" hidden="1">"c4899"</definedName>
    <definedName name="IQ_EST_EPS_SBC_GW_DIFF" hidden="1">"c4378"</definedName>
    <definedName name="IQ_EST_EPS_SBC_GW_DIFF_CIQ" hidden="1">"c4903"</definedName>
    <definedName name="IQ_EST_EPS_SBC_GW_SURPRISE_PERCENT" hidden="1">"c4387"</definedName>
    <definedName name="IQ_EST_EPS_SBC_GW_SURPRISE_PERCENT_CIQ" hidden="1">"c4912"</definedName>
    <definedName name="IQ_EST_EPS_SBC_SURPRISE_PERCENT" hidden="1">"c4393"</definedName>
    <definedName name="IQ_EST_EPS_SBC_SURPRISE_PERCENT_CIQ" hidden="1">"c4918"</definedName>
    <definedName name="IQ_EST_EPS_SEQ_GROWTH_Q" hidden="1">"c1764"</definedName>
    <definedName name="IQ_EST_EPS_SEQ_GROWTH_Q_CIQ" hidden="1">"c3690"</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EPS_SURPRISE_PERCENT_THOM" hidden="1">"c5296"</definedName>
    <definedName name="IQ_EST_FAIR_VALUE_MORT_SERVICING_ASSETS_FFIEC" hidden="1">"c12956"</definedName>
    <definedName name="IQ_EST_FFO_ADJ_DIFF" hidden="1">"c4433"</definedName>
    <definedName name="IQ_EST_FFO_ADJ_DIFF_CIQ" hidden="1">"c4958"</definedName>
    <definedName name="IQ_EST_FFO_ADJ_GROWTH_1YR" hidden="1">"c4421"</definedName>
    <definedName name="IQ_EST_FFO_ADJ_GROWTH_1YR_CIQ" hidden="1">"c4946"</definedName>
    <definedName name="IQ_EST_FFO_ADJ_GROWTH_2YR" hidden="1">"c4422"</definedName>
    <definedName name="IQ_EST_FFO_ADJ_GROWTH_2YR_CIQ" hidden="1">"c4947"</definedName>
    <definedName name="IQ_EST_FFO_ADJ_GROWTH_Q_1YR" hidden="1">"c4423"</definedName>
    <definedName name="IQ_EST_FFO_ADJ_GROWTH_Q_1YR_CIQ" hidden="1">"c4948"</definedName>
    <definedName name="IQ_EST_FFO_ADJ_SEQ_GROWTH_Q" hidden="1">"c4424"</definedName>
    <definedName name="IQ_EST_FFO_ADJ_SEQ_GROWTH_Q_CIQ" hidden="1">"c4949"</definedName>
    <definedName name="IQ_EST_FFO_ADJ_SURPRISE_PERCENT" hidden="1">"c4442"</definedName>
    <definedName name="IQ_EST_FFO_ADJ_SURPRISE_PERCENT_CIQ" hidden="1">"c4967"</definedName>
    <definedName name="IQ_EST_FFO_DIFF" hidden="1">"c4444"</definedName>
    <definedName name="IQ_EST_FFO_DIFF_CIQ" hidden="1">"c4969"</definedName>
    <definedName name="IQ_EST_FFO_DIFF_REUT" hidden="1">"c3890"</definedName>
    <definedName name="IQ_EST_FFO_DIFF_THOM" hidden="1">"c5186"</definedName>
    <definedName name="IQ_EST_FFO_GROWTH_1YR" hidden="1">"c4425"</definedName>
    <definedName name="IQ_EST_FFO_GROWTH_1YR_CIQ" hidden="1">"c4950"</definedName>
    <definedName name="IQ_EST_FFO_GROWTH_1YR_REUT" hidden="1">"c3874"</definedName>
    <definedName name="IQ_EST_FFO_GROWTH_1YR_THOM" hidden="1">"c5170"</definedName>
    <definedName name="IQ_EST_FFO_GROWTH_2YR" hidden="1">"c4426"</definedName>
    <definedName name="IQ_EST_FFO_GROWTH_2YR_CIQ" hidden="1">"c4951"</definedName>
    <definedName name="IQ_EST_FFO_GROWTH_2YR_REUT" hidden="1">"c3875"</definedName>
    <definedName name="IQ_EST_FFO_GROWTH_2YR_THOM" hidden="1">"c5171"</definedName>
    <definedName name="IQ_EST_FFO_GROWTH_Q_1YR" hidden="1">"c4427"</definedName>
    <definedName name="IQ_EST_FFO_GROWTH_Q_1YR_CIQ" hidden="1">"c4952"</definedName>
    <definedName name="IQ_EST_FFO_GROWTH_Q_1YR_REUT" hidden="1">"c3876"</definedName>
    <definedName name="IQ_EST_FFO_GROWTH_Q_1YR_THOM" hidden="1">"c5172"</definedName>
    <definedName name="IQ_EST_FFO_SEQ_GROWTH_Q" hidden="1">"c4428"</definedName>
    <definedName name="IQ_EST_FFO_SEQ_GROWTH_Q_CIQ" hidden="1">"c4953"</definedName>
    <definedName name="IQ_EST_FFO_SEQ_GROWTH_Q_REUT" hidden="1">"c3877"</definedName>
    <definedName name="IQ_EST_FFO_SEQ_GROWTH_Q_THOM" hidden="1">"c5173"</definedName>
    <definedName name="IQ_EST_FFO_SHARE_DIFF" hidden="1">"c1869"</definedName>
    <definedName name="IQ_EST_FFO_SHARE_DIFF_CIQ" hidden="1">"c3721"</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URPRISE_PERCENT" hidden="1">"c1870"</definedName>
    <definedName name="IQ_EST_FFO_SHARE_SURPRISE_PERCENT_CIQ" hidden="1">"c3722"</definedName>
    <definedName name="IQ_EST_FFO_SURPRISE_PERCENT" hidden="1">"c4453"</definedName>
    <definedName name="IQ_EST_FFO_SURPRISE_PERCENT_CIQ" hidden="1">"c4982"</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DIFF_CIQ" hidden="1">"c4985"</definedName>
    <definedName name="IQ_EST_MAINT_CAPEX_GROWTH_1YR" hidden="1">"c4429"</definedName>
    <definedName name="IQ_EST_MAINT_CAPEX_GROWTH_1YR_CIQ" hidden="1">"c4954"</definedName>
    <definedName name="IQ_EST_MAINT_CAPEX_GROWTH_2YR" hidden="1">"c4430"</definedName>
    <definedName name="IQ_EST_MAINT_CAPEX_GROWTH_2YR_CIQ" hidden="1">"c4955"</definedName>
    <definedName name="IQ_EST_MAINT_CAPEX_GROWTH_Q_1YR" hidden="1">"c4431"</definedName>
    <definedName name="IQ_EST_MAINT_CAPEX_GROWTH_Q_1YR_CIQ" hidden="1">"c4956"</definedName>
    <definedName name="IQ_EST_MAINT_CAPEX_SEQ_GROWTH_Q" hidden="1">"c4432"</definedName>
    <definedName name="IQ_EST_MAINT_CAPEX_SEQ_GROWTH_Q_CIQ" hidden="1">"c4957"</definedName>
    <definedName name="IQ_EST_MAINT_CAPEX_SURPRISE_PERCENT" hidden="1">"c4465"</definedName>
    <definedName name="IQ_EST_MAINT_CAPEX_SURPRISE_PERCENT_CIQ" hidden="1">"c5003"</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DIFF_THOM" hidden="1">"c5198"</definedName>
    <definedName name="IQ_EST_NI_GW_DIFF" hidden="1">"c1887"</definedName>
    <definedName name="IQ_EST_NI_GW_DIFF_CIQ" hidden="1">"c4757"</definedName>
    <definedName name="IQ_EST_NI_GW_DIFF_REUT" hidden="1">"c5425"</definedName>
    <definedName name="IQ_EST_NI_GW_SURPRISE_PERCENT" hidden="1">"c1888"</definedName>
    <definedName name="IQ_EST_NI_GW_SURPRISE_PERCENT_CIQ" hidden="1">"c4758"</definedName>
    <definedName name="IQ_EST_NI_GW_SURPRISE_PERCENT_REUT" hidden="1">"c5426"</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GW_DIFF" hidden="1">"c4476"</definedName>
    <definedName name="IQ_EST_NI_SBC_GW_DIFF_CIQ" hidden="1">"c5014"</definedName>
    <definedName name="IQ_EST_NI_SBC_GW_SURPRISE_PERCENT" hidden="1">"c4485"</definedName>
    <definedName name="IQ_EST_NI_SBC_GW_SURPRISE_PERCENT_CIQ" hidden="1">"c5023"</definedName>
    <definedName name="IQ_EST_NI_SBC_SURPRISE_PERCENT" hidden="1">"c4491"</definedName>
    <definedName name="IQ_EST_NI_SBC_SURPRISE_PERCENT_CIQ" hidden="1">"c5029"</definedName>
    <definedName name="IQ_EST_NI_SURPRISE_PERCENT" hidden="1">"c1886"</definedName>
    <definedName name="IQ_EST_NI_SURPRISE_PERCENT_CIQ" hidden="1">"c4756"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DIFF_THOM" hidden="1">"c5194"</definedName>
    <definedName name="IQ_EST_OPER_INC_SURPRISE_PERCENT" hidden="1">"c1878"</definedName>
    <definedName name="IQ_EST_OPER_INC_SURPRISE_PERCENT_CIQ" hidden="1">"c12018"</definedName>
    <definedName name="IQ_EST_OPER_INC_SURPRISE_PERCENT_REUT" hidden="1">"c5416"</definedName>
    <definedName name="IQ_EST_OPER_INC_SURPRISE_PERCENT_THOM" hidden="1">"c5195"</definedName>
    <definedName name="IQ_EST_PRE_TAX_DIFF" hidden="1">"c1879"</definedName>
    <definedName name="IQ_EST_PRE_TAX_DIFF_CIQ" hidden="1">"c4749"</definedName>
    <definedName name="IQ_EST_PRE_TAX_DIFF_REUT" hidden="1">"c5417"</definedName>
    <definedName name="IQ_EST_PRE_TAX_DIFF_THOM" hidden="1">"c5196"</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DIFF_CIQ" hidden="1">"c5043"</definedName>
    <definedName name="IQ_EST_RECURRING_PROFIT_SHARE_SURPRISE_PERCENT" hidden="1">"c4515"</definedName>
    <definedName name="IQ_EST_RECURRING_PROFIT_SHARE_SURPRISE_PERCENT_CIQ" hidden="1">"c5053"</definedName>
    <definedName name="IQ_EST_REV_DIFF" hidden="1">"c1865"</definedName>
    <definedName name="IQ_EST_REV_DIFF_CIQ" hidden="1">"c3717"</definedName>
    <definedName name="IQ_EST_REV_DIFF_REUT" hidden="1">"c3886"</definedName>
    <definedName name="IQ_EST_REV_DIFF_THOM" hidden="1">"c5182"</definedName>
    <definedName name="IQ_EST_REV_GROWTH_1YR" hidden="1">"c1638"</definedName>
    <definedName name="IQ_EST_REV_GROWTH_1YR_CIQ" hidden="1">"c3691"</definedName>
    <definedName name="IQ_EST_REV_GROWTH_1YR_REUT" hidden="1">"c3860"</definedName>
    <definedName name="IQ_EST_REV_GROWTH_1YR_THOM" hidden="1">"c5157"</definedName>
    <definedName name="IQ_EST_REV_GROWTH_2YR" hidden="1">"c1639"</definedName>
    <definedName name="IQ_EST_REV_GROWTH_2YR_CIQ" hidden="1">"c3692"</definedName>
    <definedName name="IQ_EST_REV_GROWTH_2YR_REUT" hidden="1">"c3861"</definedName>
    <definedName name="IQ_EST_REV_GROWTH_2YR_THOM" hidden="1">"c5158"</definedName>
    <definedName name="IQ_EST_REV_GROWTH_Q_1YR" hidden="1">"c1640"</definedName>
    <definedName name="IQ_EST_REV_GROWTH_Q_1YR_CIQ" hidden="1">"c3693"</definedName>
    <definedName name="IQ_EST_REV_GROWTH_Q_1YR_REUT" hidden="1">"c3862"</definedName>
    <definedName name="IQ_EST_REV_GROWTH_Q_1YR_THOM" hidden="1">"c5159"</definedName>
    <definedName name="IQ_EST_REV_SEQ_GROWTH_Q" hidden="1">"c1765"</definedName>
    <definedName name="IQ_EST_REV_SEQ_GROWTH_Q_CIQ" hidden="1">"c3694"</definedName>
    <definedName name="IQ_EST_REV_SEQ_GROWTH_Q_REUT" hidden="1">"c3863"</definedName>
    <definedName name="IQ_EST_REV_SEQ_GROWTH_Q_THOM" hidden="1">"c5160"</definedName>
    <definedName name="IQ_EST_REV_SURPRISE_PERCENT" hidden="1">"c1866"</definedName>
    <definedName name="IQ_EST_REV_SURPRISE_PERCENT_CIQ" hidden="1">"c3718"</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EMPLOYEE_1" hidden="1">"c1225"</definedName>
    <definedName name="IQ_EV_OVER_LTM_EBIT" hidden="1">"c1426"</definedName>
    <definedName name="IQ_EV_OVER_LTM_EBIT_1" hidden="1">"c1221"</definedName>
    <definedName name="IQ_EV_OVER_LTM_EBITDA" hidden="1">"c1427"</definedName>
    <definedName name="IQ_EV_OVER_LTM_EBITDA_1" hidden="1">"c1223"</definedName>
    <definedName name="IQ_EV_OVER_LTM_REVENUE" hidden="1">"c1429"</definedName>
    <definedName name="IQ_EV_OVER_LTM_REVENUE_1" hidden="1">"c1227"</definedName>
    <definedName name="IQ_EV_OVER_REVENUE_EST" hidden="1">"c165"</definedName>
    <definedName name="IQ_EV_OVER_REVENUE_EST_1" hidden="1">"c166"</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_PRICE_1" hidden="1">"c406"</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CODE_" hidden="1">"ZWY939"</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1"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GUIDANCE_CIQ" hidden="1">"c4961"</definedName>
    <definedName name="IQ_FFO_ADJ_HIGH_EST" hidden="1">"c4437"</definedName>
    <definedName name="IQ_FFO_ADJ_HIGH_EST_CIQ" hidden="1">"c4962"</definedName>
    <definedName name="IQ_FFO_ADJ_HIGH_GUIDANCE" hidden="1">"c4202"</definedName>
    <definedName name="IQ_FFO_ADJ_HIGH_GUIDANCE_CIQ" hidden="1">"c4614"</definedName>
    <definedName name="IQ_FFO_ADJ_LOW_EST" hidden="1">"c4438"</definedName>
    <definedName name="IQ_FFO_ADJ_LOW_EST_CIQ" hidden="1">"c4963"</definedName>
    <definedName name="IQ_FFO_ADJ_LOW_GUIDANCE" hidden="1">"c4242"</definedName>
    <definedName name="IQ_FFO_ADJ_LOW_GUIDANCE_CIQ" hidden="1">"c4654"</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 hidden="1">"c16186"</definedName>
    <definedName name="IQ_FFO_EST" hidden="1">"c4445"</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 hidden="1">"c4968"</definedName>
    <definedName name="IQ_FFO_HIGH_EST" hidden="1">"c4448"</definedName>
    <definedName name="IQ_FFO_HIGH_EST_CIQ" hidden="1">"c4977"</definedName>
    <definedName name="IQ_FFO_HIGH_EST_REUT" hidden="1">"c3839"</definedName>
    <definedName name="IQ_FFO_HIGH_EST_THOM" hidden="1">"c4001"</definedName>
    <definedName name="IQ_FFO_HIGH_GUIDANCE" hidden="1">"c4184"</definedName>
    <definedName name="IQ_FFO_HIGH_GUIDANCE_CIQ" hidden="1">"c4596"</definedName>
    <definedName name="IQ_FFO_LOW_EST" hidden="1">"c4449"</definedName>
    <definedName name="IQ_FFO_LOW_EST_CIQ" hidden="1">"c4978"</definedName>
    <definedName name="IQ_FFO_LOW_EST_REUT" hidden="1">"c3840"</definedName>
    <definedName name="IQ_FFO_LOW_EST_THOM" hidden="1">"c4002"</definedName>
    <definedName name="IQ_FFO_LOW_GUIDANCE" hidden="1">"c4224"</definedName>
    <definedName name="IQ_FFO_LOW_GUIDANCE_CIQ" hidden="1">"c4636"</definedName>
    <definedName name="IQ_FFO_MEDIAN_EST" hidden="1">"c4450"</definedName>
    <definedName name="IQ_FFO_MEDIAN_EST_CIQ" hidden="1">"c4979"</definedName>
    <definedName name="IQ_FFO_MEDIAN_EST_REUT" hidden="1">"c3838"</definedName>
    <definedName name="IQ_FFO_MEDIAN_EST_THOM" hidden="1">"c4000"</definedName>
    <definedName name="IQ_FFO_NO_EST" hidden="1">"c276"</definedName>
    <definedName name="IQ_FFO_NUM_EST" hidden="1">"c4451"</definedName>
    <definedName name="IQ_FFO_NUM_EST_CIQ" hidden="1">"c4980"</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"c2216"</definedName>
    <definedName name="IQ_FFO_SHARE_ACT_OR_EST_CIQ" hidden="1">"c4971"</definedName>
    <definedName name="IQ_FFO_SHARE_EST" hidden="1">"c418"</definedName>
    <definedName name="IQ_FFO_SHARE_EST_CIQ" hidden="1">"c3668"</definedName>
    <definedName name="IQ_FFO_SHARE_EST_DET_EST" hidden="1">"c12059"</definedName>
    <definedName name="IQ_FFO_SHARE_EST_DET_EST_CIQ" hidden="1">"c12121"</definedName>
    <definedName name="IQ_FFO_SHARE_EST_DET_EST_CURRENCY" hidden="1">"c12466"</definedName>
    <definedName name="IQ_FFO_SHARE_EST_DET_EST_CURRENCY_CIQ" hidden="1">"c12512"</definedName>
    <definedName name="IQ_FFO_SHARE_EST_DET_EST_DATE" hidden="1">"c12212"</definedName>
    <definedName name="IQ_FFO_SHARE_EST_DET_EST_DATE_CIQ" hidden="1">"c12267"</definedName>
    <definedName name="IQ_FFO_SHARE_EST_DET_EST_INCL" hidden="1">"c12349"</definedName>
    <definedName name="IQ_FFO_SHARE_EST_DET_EST_INCL_CIQ" hidden="1">"c12395"</definedName>
    <definedName name="IQ_FFO_SHARE_EST_DET_EST_ORIGIN" hidden="1">"c12722"</definedName>
    <definedName name="IQ_FFO_SHARE_EST_DET_EST_ORIGIN_CIQ" hidden="1">"c12720"</definedName>
    <definedName name="IQ_FFO_SHARE_GUIDANCE" hidden="1">"c4447"</definedName>
    <definedName name="IQ_FFO_SHARE_GUIDANCE_CIQ" hidden="1">"c4976"</definedName>
    <definedName name="IQ_FFO_SHARE_HIGH_EST" hidden="1">"c419"</definedName>
    <definedName name="IQ_FFO_SHARE_HIGH_EST_CIQ" hidden="1">"c3670"</definedName>
    <definedName name="IQ_FFO_SHARE_HIGH_GUIDANCE" hidden="1">"c4203"</definedName>
    <definedName name="IQ_FFO_SHARE_HIGH_GUIDANCE_CIQ" hidden="1">"c4615"</definedName>
    <definedName name="IQ_FFO_SHARE_LOW_EST" hidden="1">"c420"</definedName>
    <definedName name="IQ_FFO_SHARE_LOW_EST_CIQ" hidden="1">"c3671"</definedName>
    <definedName name="IQ_FFO_SHARE_LOW_GUIDANCE" hidden="1">"c4243"</definedName>
    <definedName name="IQ_FFO_SHARE_LOW_GUIDANCE_CIQ" hidden="1">"c4655"</definedName>
    <definedName name="IQ_FFO_SHARE_MEDIAN_EST" hidden="1">"c1665"</definedName>
    <definedName name="IQ_FFO_SHARE_MEDIAN_EST_CIQ" hidden="1">"c3669"</definedName>
    <definedName name="IQ_FFO_SHARE_NUM_EST" hidden="1">"c421"</definedName>
    <definedName name="IQ_FFO_SHARE_NUM_EST_CIQ" hidden="1">"c3672"</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TDDEV_EST" hidden="1">"c422"</definedName>
    <definedName name="IQ_FFO_SHARE_STDDEV_EST_CIQ" hidden="1">"c3673"</definedName>
    <definedName name="IQ_FFO_SHARES_BASIC" hidden="1">"c16185"</definedName>
    <definedName name="IQ_FFO_SHARES_DILUTED" hidden="1">"c16187"</definedName>
    <definedName name="IQ_FFO_STDDEV_EST" hidden="1">"c4452"</definedName>
    <definedName name="IQ_FFO_STDDEV_EST_CIQ" hidden="1">"c4981"</definedName>
    <definedName name="IQ_FFO_STDDEV_EST_REUT" hidden="1">"c3842"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1" hidden="1">"c893"</definedName>
    <definedName name="IQ_FINANCING_CASH_SUPPL" hidden="1">"c1406"</definedName>
    <definedName name="IQ_FINANCING_CASH_SUPPL_1"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1"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ASSETS_1"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ODWILL_NET_1"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DIVID_1"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PROFIT_1"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EXCL_1" hidden="1">"c789"</definedName>
    <definedName name="IQ_INC_AVAIL_INCL" hidden="1">"c1396"</definedName>
    <definedName name="IQ_INC_AVAIL_INCL_1" hidden="1">"c791"</definedName>
    <definedName name="IQ_INC_BEFORE_TAX" hidden="1">"c1375"</definedName>
    <definedName name="IQ_INC_BEFORE_TAX_1"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ANGIBLES_NET_1" hidden="1">"c907"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NON_1" hidden="1">"c618"</definedName>
    <definedName name="IQ_INTEREST_EXP_SUPPL" hidden="1">"c1460"</definedName>
    <definedName name="IQ_INTEREST_INC" hidden="1">"c1393"</definedName>
    <definedName name="IQ_INTEREST_INC_1"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C_NON_1" hidden="1">"c619"</definedName>
    <definedName name="IQ_INTEREST_INVEST_INC" hidden="1">"c619"</definedName>
    <definedName name="IQ_INTEREST_LT_DEBT" hidden="1">"c2086"</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DEBT_NET_1"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1"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1" hidden="1">"c674"</definedName>
    <definedName name="IQ_LONG_TERM_DEBT_OVER_TOTAL_CAP" hidden="1">"c1388"</definedName>
    <definedName name="IQ_LONG_TERM_DEBT_OVER_TOTAL_CAP_1" hidden="1">"c677"</definedName>
    <definedName name="IQ_LONG_TERM_GROWTH" hidden="1">"c671"</definedName>
    <definedName name="IQ_LONG_TERM_INV" hidden="1">"c1389"</definedName>
    <definedName name="IQ_LONG_TERM_INV_1"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CIQ" hidden="1">"c12122"</definedName>
    <definedName name="IQ_LT_GROWTH_DET_EST_DATE" hidden="1">"c12213"</definedName>
    <definedName name="IQ_LT_GROWTH_DET_EST_DATE_CIQ" hidden="1">"c12268"</definedName>
    <definedName name="IQ_LT_GROWTH_DET_EST_DATE_THOM" hidden="1">"c12240"</definedName>
    <definedName name="IQ_LT_GROWTH_DET_EST_INCL" hidden="1">"c12350"</definedName>
    <definedName name="IQ_LT_GROWTH_DET_EST_INCL_CIQ" hidden="1">"c12396"</definedName>
    <definedName name="IQ_LT_GROWTH_DET_EST_INCL_THOM" hidden="1">"c12372"</definedName>
    <definedName name="IQ_LT_GROWTH_DET_EST_ORIGIN" hidden="1">"c12725"</definedName>
    <definedName name="IQ_LT_GROWTH_DET_EST_ORIGIN_CIQ" hidden="1">"c12721"</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_REVENUE_OVER_EMPLOYEES_1"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CIQ" hidden="1">"c4986"</definedName>
    <definedName name="IQ_MAINT_CAPEX_GUIDANCE" hidden="1">"c4459"</definedName>
    <definedName name="IQ_MAINT_CAPEX_GUIDANCE_CIQ" hidden="1">"c4988"</definedName>
    <definedName name="IQ_MAINT_CAPEX_HIGH_EST" hidden="1">"c4460"</definedName>
    <definedName name="IQ_MAINT_CAPEX_HIGH_EST_CIQ" hidden="1">"c4989"</definedName>
    <definedName name="IQ_MAINT_CAPEX_HIGH_GUIDANCE" hidden="1">"c4197"</definedName>
    <definedName name="IQ_MAINT_CAPEX_HIGH_GUIDANCE_CIQ" hidden="1">"c4609"</definedName>
    <definedName name="IQ_MAINT_CAPEX_LOW_EST" hidden="1">"c4461"</definedName>
    <definedName name="IQ_MAINT_CAPEX_LOW_EST_CIQ" hidden="1">"c4990"</definedName>
    <definedName name="IQ_MAINT_CAPEX_LOW_GUIDANCE" hidden="1">"c4237"</definedName>
    <definedName name="IQ_MAINT_CAPEX_LOW_GUIDANCE_CIQ" hidden="1">"c4649"</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RKTCAP" hidden="1">"c258"</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GA_MARGIN" hidden="1">"c9930"</definedName>
    <definedName name="IQ_MC_GA_OPERATING_REV" hidden="1">"c9929"</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L_EXPENSE_RATIO" hidden="1">"c9927"</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JR_SUB_ACTION_LT" hidden="1">"c13537"</definedName>
    <definedName name="IQ_MOODYS_JR_SUB_DATE_LT" hidden="1">"c13536"</definedName>
    <definedName name="IQ_MOODYS_JR_SUB_LT" hidden="1">"c13535"</definedName>
    <definedName name="IQ_MOODYS_JR_SUB_TYPE_LT" hidden="1">"c13538"</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THER_ACTION_LT" hidden="1">"c13545"</definedName>
    <definedName name="IQ_MOODYS_OTHER_ACTION_ST" hidden="1">"c13569"</definedName>
    <definedName name="IQ_MOODYS_OTHER_DATE_LT" hidden="1">"c13544"</definedName>
    <definedName name="IQ_MOODYS_OTHER_DATE_ST" hidden="1">"c13568"</definedName>
    <definedName name="IQ_MOODYS_OTHER_LT" hidden="1">"c13543"</definedName>
    <definedName name="IQ_MOODYS_OTHER_ST" hidden="1">"c13567"</definedName>
    <definedName name="IQ_MOODYS_OTHER_TYPE_LT" hidden="1">"c13546"</definedName>
    <definedName name="IQ_MOODYS_OTHER_TYPE_ST" hidden="1">"c13570"</definedName>
    <definedName name="IQ_MOODYS_OUTLOOK" hidden="1">"c5678"</definedName>
    <definedName name="IQ_MOODYS_OUTLOOK_DATE" hidden="1">"c5677"</definedName>
    <definedName name="IQ_MOODYS_PREF_ACTION_LT" hidden="1">"c13541"</definedName>
    <definedName name="IQ_MOODYS_PREF_DATE_LT" hidden="1">"c13540"</definedName>
    <definedName name="IQ_MOODYS_PREF_LT" hidden="1">"c13539"</definedName>
    <definedName name="IQ_MOODYS_PREF_TYPE_LT" hidden="1">"c13542"</definedName>
    <definedName name="IQ_MOODYS_SERVICER_QUALITY_ACTION_LT" hidden="1">"c13549"</definedName>
    <definedName name="IQ_MOODYS_SERVICER_QUALITY_DATE_LT" hidden="1">"c13548"</definedName>
    <definedName name="IQ_MOODYS_SERVICER_QUALITY_LT" hidden="1">"c13547"</definedName>
    <definedName name="IQ_MOODYS_SERVICER_QUALITY_TYPE_LT" hidden="1">"c13550"</definedName>
    <definedName name="IQ_MOODYS_SR_SECURED_ACTION_LT" hidden="1">"c13521"</definedName>
    <definedName name="IQ_MOODYS_SR_SECURED_ACTION_ST" hidden="1">"c13553"</definedName>
    <definedName name="IQ_MOODYS_SR_SECURED_DATE_LT" hidden="1">"c13520"</definedName>
    <definedName name="IQ_MOODYS_SR_SECURED_DATE_ST" hidden="1">"c13552"</definedName>
    <definedName name="IQ_MOODYS_SR_SECURED_LT" hidden="1">"c13519"</definedName>
    <definedName name="IQ_MOODYS_SR_SECURED_ST" hidden="1">"c13551"</definedName>
    <definedName name="IQ_MOODYS_SR_SECURED_TYPE_LT" hidden="1">"c13522"</definedName>
    <definedName name="IQ_MOODYS_SR_SECURED_TYPE_ST" hidden="1">"c13554"</definedName>
    <definedName name="IQ_MOODYS_SR_SUB_ACTION_LT" hidden="1">"c13529"</definedName>
    <definedName name="IQ_MOODYS_SR_SUB_ACTION_ST" hidden="1">"c13561"</definedName>
    <definedName name="IQ_MOODYS_SR_SUB_DATE_LT" hidden="1">"c13528"</definedName>
    <definedName name="IQ_MOODYS_SR_SUB_DATE_ST" hidden="1">"c13560"</definedName>
    <definedName name="IQ_MOODYS_SR_SUB_LT" hidden="1">"c13527"</definedName>
    <definedName name="IQ_MOODYS_SR_SUB_ST" hidden="1">"c13559"</definedName>
    <definedName name="IQ_MOODYS_SR_SUB_TYPE_LT" hidden="1">"c13530"</definedName>
    <definedName name="IQ_MOODYS_SR_SUB_TYPE_ST" hidden="1">"c13562"</definedName>
    <definedName name="IQ_MOODYS_SR_UNSECURED_ACTION_LT" hidden="1">"c13525"</definedName>
    <definedName name="IQ_MOODYS_SR_UNSECURED_ACTION_ST" hidden="1">"c13557"</definedName>
    <definedName name="IQ_MOODYS_SR_UNSECURED_DATE_LT" hidden="1">"c13524"</definedName>
    <definedName name="IQ_MOODYS_SR_UNSECURED_DATE_ST" hidden="1">"c13556"</definedName>
    <definedName name="IQ_MOODYS_SR_UNSECURED_LT" hidden="1">"c13523"</definedName>
    <definedName name="IQ_MOODYS_SR_UNSECURED_ST" hidden="1">"c13555"</definedName>
    <definedName name="IQ_MOODYS_SR_UNSECURED_TYPE_LT" hidden="1">"c13526"</definedName>
    <definedName name="IQ_MOODYS_SR_UNSECURED_TYPE_ST" hidden="1">"c13558"</definedName>
    <definedName name="IQ_MOODYS_ST" hidden="1">"c5664"</definedName>
    <definedName name="IQ_MOODYS_SUB_ACTION_LT" hidden="1">"c13533"</definedName>
    <definedName name="IQ_MOODYS_SUB_ACTION_ST" hidden="1">"c13565"</definedName>
    <definedName name="IQ_MOODYS_SUB_DATE_LT" hidden="1">"c13532"</definedName>
    <definedName name="IQ_MOODYS_SUB_DATE_ST" hidden="1">"c13564"</definedName>
    <definedName name="IQ_MOODYS_SUB_LT" hidden="1">"c13531"</definedName>
    <definedName name="IQ_MOODYS_SUB_ST" hidden="1">"c13563"</definedName>
    <definedName name="IQ_MOODYS_SUB_TYPE_LT" hidden="1">"c13534"</definedName>
    <definedName name="IQ_MOODYS_SUB_TYPE_ST" hidden="1">"c13566"</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40736.7574652777</definedName>
    <definedName name="IQ_NAMES_REVISION_DATE__1" hidden="1">43039.3630092593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ACT_OR_EST_CIQ" hidden="1">"c12038"</definedName>
    <definedName name="IQ_NAV_SHARE_DET_EST_CIQ" hidden="1">"c12123"</definedName>
    <definedName name="IQ_NAV_SHARE_DET_EST_CURRENCY_CIQ" hidden="1">"c12514"</definedName>
    <definedName name="IQ_NAV_SHARE_DET_EST_DATE_CIQ" hidden="1">"c12269"</definedName>
    <definedName name="IQ_NAV_SHARE_DET_EST_INCL_CIQ" hidden="1">"c12397"</definedName>
    <definedName name="IQ_NAV_SHARE_DET_EST_ORIGIN" hidden="1">"c12585"</definedName>
    <definedName name="IQ_NAV_SHARE_DET_EST_ORIGIN_CIQ" hidden="1">"c12638"</definedName>
    <definedName name="IQ_NAV_SHARE_DET_EST_ORIGIN_THOM" hidden="1">"c12611"</definedName>
    <definedName name="IQ_NAV_SHARE_EST" hidden="1">"c5609"</definedName>
    <definedName name="IQ_NAV_SHARE_EST_CIQ" hidden="1">"c12032"</definedName>
    <definedName name="IQ_NAV_SHARE_HIGH_EST" hidden="1">"c5612"</definedName>
    <definedName name="IQ_NAV_SHARE_HIGH_EST_CIQ" hidden="1">"c12035"</definedName>
    <definedName name="IQ_NAV_SHARE_LOW_EST" hidden="1">"c5613"</definedName>
    <definedName name="IQ_NAV_SHARE_LOW_EST_CIQ" hidden="1">"c12036"</definedName>
    <definedName name="IQ_NAV_SHARE_MEDIAN_EST" hidden="1">"c5610"</definedName>
    <definedName name="IQ_NAV_SHARE_MEDIAN_EST_CIQ" hidden="1">"c12033"</definedName>
    <definedName name="IQ_NAV_SHARE_NUM_EST" hidden="1">"c5614"</definedName>
    <definedName name="IQ_NAV_SHARE_NUM_EST_CIQ" hidden="1">"c12037"</definedName>
    <definedName name="IQ_NAV_SHARE_RE" hidden="1">"c16011"</definedName>
    <definedName name="IQ_NAV_SHARE_STDDEV_EST" hidden="1">"c5611"</definedName>
    <definedName name="IQ_NAV_SHARE_STDDEV_EST_CIQ" hidden="1">"c12034"</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REUT" hidden="1">"c5473"</definedName>
    <definedName name="IQ_NET_DEBT_ACT_OR_EST_THOM" hidden="1">"c5309"</definedName>
    <definedName name="IQ_NET_DEBT_DET_EST" hidden="1">"c12061"</definedName>
    <definedName name="IQ_NET_DEBT_DET_EST_CIQ" hidden="1">"c12124"</definedName>
    <definedName name="IQ_NET_DEBT_DET_EST_CURRENCY" hidden="1">"c12468"</definedName>
    <definedName name="IQ_NET_DEBT_DET_EST_CURRENCY_CIQ" hidden="1">"c12515"</definedName>
    <definedName name="IQ_NET_DEBT_DET_EST_CURRENCY_THOM" hidden="1">"c12491"</definedName>
    <definedName name="IQ_NET_DEBT_DET_EST_DATE" hidden="1">"c12214"</definedName>
    <definedName name="IQ_NET_DEBT_DET_EST_DATE_CIQ" hidden="1">"c12270"</definedName>
    <definedName name="IQ_NET_DEBT_DET_EST_DATE_THOM" hidden="1">"c12242"</definedName>
    <definedName name="IQ_NET_DEBT_DET_EST_INCL" hidden="1">"c12351"</definedName>
    <definedName name="IQ_NET_DEBT_DET_EST_INCL_CIQ" hidden="1">"c12398"</definedName>
    <definedName name="IQ_NET_DEBT_DET_EST_INCL_THOM" hidden="1">"c12374"</definedName>
    <definedName name="IQ_NET_DEBT_DET_EST_ORIGIN" hidden="1">"c12586"</definedName>
    <definedName name="IQ_NET_DEBT_DET_EST_ORIGIN_CIQ" hidden="1">"c12639"</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EST_THOM" hidden="1">"c4027"</definedName>
    <definedName name="IQ_NET_DEBT_GUIDANCE" hidden="1">"c4467"</definedName>
    <definedName name="IQ_NET_DEBT_GUIDANCE_CIQ" hidden="1">"c5005"</definedName>
    <definedName name="IQ_NET_DEBT_HIGH_EST" hidden="1">"c3518"</definedName>
    <definedName name="IQ_NET_DEBT_HIGH_EST_CIQ" hidden="1">"c3816"</definedName>
    <definedName name="IQ_NET_DEBT_HIGH_EST_REUT" hidden="1">"c3978"</definedName>
    <definedName name="IQ_NET_DEBT_HIGH_EST_THOM" hidden="1">"c4029"</definedName>
    <definedName name="IQ_NET_DEBT_HIGH_GUIDANCE" hidden="1">"c4181"</definedName>
    <definedName name="IQ_NET_DEBT_HIGH_GUIDANCE_CIQ" hidden="1">"c4593"</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EST_THOM" hidden="1">"c4030"</definedName>
    <definedName name="IQ_NET_DEBT_LOW_GUIDANCE" hidden="1">"c4221"</definedName>
    <definedName name="IQ_NET_DEBT_LOW_GUIDANCE_CIQ" hidden="1">"c4633"</definedName>
    <definedName name="IQ_NET_DEBT_MEDIAN_EST" hidden="1">"c3520"</definedName>
    <definedName name="IQ_NET_DEBT_MEDIAN_EST_CIQ" hidden="1">"c3815"</definedName>
    <definedName name="IQ_NET_DEBT_MEDIAN_EST_REUT" hidden="1">"c3977"</definedName>
    <definedName name="IQ_NET_DEBT_MEDIAN_EST_THOM" hidden="1">"c4028"</definedName>
    <definedName name="IQ_NET_DEBT_NUM_EST" hidden="1">"c3515"</definedName>
    <definedName name="IQ_NET_DEBT_NUM_EST_CIQ" hidden="1">"c3818"</definedName>
    <definedName name="IQ_NET_DEBT_NUM_EST_REUT" hidden="1">"c3980"</definedName>
    <definedName name="IQ_NET_DEBT_NUM_EST_THOM" hidden="1">"c4031"</definedName>
    <definedName name="IQ_NET_DEBT_STDDEV_EST" hidden="1">"c3516"</definedName>
    <definedName name="IQ_NET_DEBT_STDDEV_EST_CIQ" hidden="1">"c3819"</definedName>
    <definedName name="IQ_NET_DEBT_STDDEV_EST_REUT" hidden="1">"c3981"</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 hidden="1">"c781"</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BEFORE_1" hidden="1">"c344"</definedName>
    <definedName name="IQ_NET_INC_CF" hidden="1">"c1397"</definedName>
    <definedName name="IQ_NET_INC_CF_1" hidden="1">"c793"</definedName>
    <definedName name="IQ_NET_INC_GROWTH_1" hidden="1">"c158"</definedName>
    <definedName name="IQ_NET_INC_GROWTH_2" hidden="1">"c162"</definedName>
    <definedName name="IQ_NET_INC_MARGIN" hidden="1">"c1398"</definedName>
    <definedName name="IQ_NET_INC_MARGIN_1" hidden="1">"c794"</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1"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IQ" hidden="1">"c12125"</definedName>
    <definedName name="IQ_NI_DET_EST_CURRENCY" hidden="1">"c12469"</definedName>
    <definedName name="IQ_NI_DET_EST_CURRENCY_CIQ" hidden="1">"c12516"</definedName>
    <definedName name="IQ_NI_DET_EST_CURRENCY_THOM" hidden="1">"c12492"</definedName>
    <definedName name="IQ_NI_DET_EST_DATE" hidden="1">"c12215"</definedName>
    <definedName name="IQ_NI_DET_EST_DATE_CIQ" hidden="1">"c12271"</definedName>
    <definedName name="IQ_NI_DET_EST_DATE_THOM" hidden="1">"c12243"</definedName>
    <definedName name="IQ_NI_DET_EST_INCL" hidden="1">"c12352"</definedName>
    <definedName name="IQ_NI_DET_EST_INCL_CIQ" hidden="1">"c12399"</definedName>
    <definedName name="IQ_NI_DET_EST_INCL_THOM" hidden="1">"c12375"</definedName>
    <definedName name="IQ_NI_DET_EST_ORIGIN" hidden="1">"c12587"</definedName>
    <definedName name="IQ_NI_DET_EST_ORIGIN_CIQ" hidden="1">"c12640"</definedName>
    <definedName name="IQ_NI_DET_EST_ORIGIN_THOM" hidden="1">"c12613"</definedName>
    <definedName name="IQ_NI_DET_EST_THOM" hidden="1">"c12093"</definedName>
    <definedName name="IQ_NI_EST" hidden="1">"c1716"</definedName>
    <definedName name="IQ_NI_EST_CIQ" hidden="1">"c4702"</definedName>
    <definedName name="IQ_NI_EST_REUT" hidden="1">"c5368"</definedName>
    <definedName name="IQ_NI_EST_THOM" hidden="1">"c5126"</definedName>
    <definedName name="IQ_NI_FFIEC" hidden="1">"c13034"</definedName>
    <definedName name="IQ_NI_GAAP_GUIDANCE" hidden="1">"c4470"</definedName>
    <definedName name="IQ_NI_GAAP_GUIDANCE_CIQ" hidden="1">"c5008"</definedName>
    <definedName name="IQ_NI_GAAP_HIGH_GUIDANCE" hidden="1">"c4177"</definedName>
    <definedName name="IQ_NI_GAAP_HIGH_GUIDANCE_CIQ" hidden="1">"c4589"</definedName>
    <definedName name="IQ_NI_GAAP_LOW_GUIDANCE" hidden="1">"c4217"</definedName>
    <definedName name="IQ_NI_GAAP_LOW_GUIDANCE_CIQ" hidden="1">"c4629"</definedName>
    <definedName name="IQ_NI_GUIDANCE" hidden="1">"c4469"</definedName>
    <definedName name="IQ_NI_GUIDANCE_CIQ" hidden="1">"c5007"</definedName>
    <definedName name="IQ_NI_GW_DET_EST" hidden="1">"c12063"</definedName>
    <definedName name="IQ_NI_GW_DET_EST_CIQ" hidden="1">"c12126"</definedName>
    <definedName name="IQ_NI_GW_DET_EST_CURRENCY" hidden="1">"c12470"</definedName>
    <definedName name="IQ_NI_GW_DET_EST_CURRENCY_CIQ" hidden="1">"c12517"</definedName>
    <definedName name="IQ_NI_GW_DET_EST_DATE" hidden="1">"c12216"</definedName>
    <definedName name="IQ_NI_GW_DET_EST_DATE_CIQ" hidden="1">"c12272"</definedName>
    <definedName name="IQ_NI_GW_DET_EST_INCL" hidden="1">"c12353"</definedName>
    <definedName name="IQ_NI_GW_DET_EST_INCL_CIQ" hidden="1">"c12400"</definedName>
    <definedName name="IQ_NI_GW_DET_EST_ORIGIN_CIQ" hidden="1">"c12641"</definedName>
    <definedName name="IQ_NI_GW_EST" hidden="1">"c1723"</definedName>
    <definedName name="IQ_NI_GW_EST_CIQ" hidden="1">"c4709"</definedName>
    <definedName name="IQ_NI_GW_EST_REUT" hidden="1">"c5375"</definedName>
    <definedName name="IQ_NI_GW_GUIDANCE" hidden="1">"c4471"</definedName>
    <definedName name="IQ_NI_GW_GUIDANCE_CIQ" hidden="1">"c5009"</definedName>
    <definedName name="IQ_NI_GW_HIGH_EST" hidden="1">"c1725"</definedName>
    <definedName name="IQ_NI_GW_HIGH_EST_CIQ" hidden="1">"c4711"</definedName>
    <definedName name="IQ_NI_GW_HIGH_EST_REUT" hidden="1">"c5377"</definedName>
    <definedName name="IQ_NI_GW_HIGH_GUIDANCE" hidden="1">"c4178"</definedName>
    <definedName name="IQ_NI_GW_HIGH_GUIDANCE_CIQ" hidden="1">"c4590"</definedName>
    <definedName name="IQ_NI_GW_LOW_EST" hidden="1">"c1726"</definedName>
    <definedName name="IQ_NI_GW_LOW_EST_CIQ" hidden="1">"c4712"</definedName>
    <definedName name="IQ_NI_GW_LOW_EST_REUT" hidden="1">"c5378"</definedName>
    <definedName name="IQ_NI_GW_LOW_GUIDANCE" hidden="1">"c4218"</definedName>
    <definedName name="IQ_NI_GW_LOW_GUIDANCE_CIQ" hidden="1">"c4630"</definedName>
    <definedName name="IQ_NI_GW_MEDIAN_EST" hidden="1">"c1724"</definedName>
    <definedName name="IQ_NI_GW_MEDIAN_EST_CIQ" hidden="1">"c4710"</definedName>
    <definedName name="IQ_NI_GW_MEDIAN_EST_REUT" hidden="1">"c5376"</definedName>
    <definedName name="IQ_NI_GW_NUM_EST" hidden="1">"c1727"</definedName>
    <definedName name="IQ_NI_GW_NUM_EST_CIQ" hidden="1">"c4713"</definedName>
    <definedName name="IQ_NI_GW_NUM_EST_REUT" hidden="1">"c5379"</definedName>
    <definedName name="IQ_NI_GW_STDDEV_EST" hidden="1">"c1728"</definedName>
    <definedName name="IQ_NI_GW_STDDEV_EST_CIQ" hidden="1">"c4714"</definedName>
    <definedName name="IQ_NI_GW_STDDEV_EST_REUT" hidden="1">"c5380"</definedName>
    <definedName name="IQ_NI_HIGH_EST" hidden="1">"c1718"</definedName>
    <definedName name="IQ_NI_HIGH_EST_CIQ" hidden="1">"c4704"</definedName>
    <definedName name="IQ_NI_HIGH_EST_REUT" hidden="1">"c5370"</definedName>
    <definedName name="IQ_NI_HIGH_EST_THOM" hidden="1">"c5128"</definedName>
    <definedName name="IQ_NI_HIGH_GUIDANCE" hidden="1">"c4176"</definedName>
    <definedName name="IQ_NI_HIGH_GUIDANCE_CIQ" hidden="1">"c4588"</definedName>
    <definedName name="IQ_NI_LOW_EST" hidden="1">"c1719"</definedName>
    <definedName name="IQ_NI_LOW_EST_CIQ" hidden="1">"c4705"</definedName>
    <definedName name="IQ_NI_LOW_EST_REUT" hidden="1">"c5371"</definedName>
    <definedName name="IQ_NI_LOW_EST_THOM" hidden="1">"c5129"</definedName>
    <definedName name="IQ_NI_LOW_GUIDANCE" hidden="1">"c4216"</definedName>
    <definedName name="IQ_NI_LOW_GUIDANCE_CIQ" hidden="1">"c4628"</definedName>
    <definedName name="IQ_NI_MARGIN" hidden="1">"c794"</definedName>
    <definedName name="IQ_NI_MEDIAN_EST" hidden="1">"c1717"</definedName>
    <definedName name="IQ_NI_MEDIAN_EST_CIQ" hidden="1">"c4703"</definedName>
    <definedName name="IQ_NI_MEDIAN_EST_REUT" hidden="1">"c5369"</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NUM_EST_THOM" hidden="1">"c5130"</definedName>
    <definedName name="IQ_NI_REPORTED_DET_EST_CIQ" hidden="1">"c12127"</definedName>
    <definedName name="IQ_NI_REPORTED_DET_EST_CURRENCY_CIQ" hidden="1">"c12518"</definedName>
    <definedName name="IQ_NI_REPORTED_DET_EST_DATE_CIQ" hidden="1">"c12273"</definedName>
    <definedName name="IQ_NI_REPORTED_DET_EST_INCL_CIQ" hidden="1">"c12401"</definedName>
    <definedName name="IQ_NI_REPORTED_DET_EST_ORIGIN" hidden="1">"c12588"</definedName>
    <definedName name="IQ_NI_REPORTED_DET_EST_ORIGIN_CIQ" hidden="1">"c12642"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EST_CIQ" hidden="1">"c5011"</definedName>
    <definedName name="IQ_NI_SBC_GUIDANCE" hidden="1">"c4475"</definedName>
    <definedName name="IQ_NI_SBC_GUIDANCE_CIQ" hidden="1">"c5013"</definedName>
    <definedName name="IQ_NI_SBC_GW_ACT_OR_EST" hidden="1">"c4478"</definedName>
    <definedName name="IQ_NI_SBC_GW_ACT_OR_EST_CIQ" hidden="1">"c5016"</definedName>
    <definedName name="IQ_NI_SBC_GW_EST" hidden="1">"c4477"</definedName>
    <definedName name="IQ_NI_SBC_GW_EST_CIQ" hidden="1">"c5015"</definedName>
    <definedName name="IQ_NI_SBC_GW_GUIDANCE" hidden="1">"c4479"</definedName>
    <definedName name="IQ_NI_SBC_GW_GUIDANCE_CIQ" hidden="1">"c5017"</definedName>
    <definedName name="IQ_NI_SBC_GW_HIGH_EST" hidden="1">"c4480"</definedName>
    <definedName name="IQ_NI_SBC_GW_HIGH_EST_CIQ" hidden="1">"c5018"</definedName>
    <definedName name="IQ_NI_SBC_GW_HIGH_GUIDANCE" hidden="1">"c4187"</definedName>
    <definedName name="IQ_NI_SBC_GW_HIGH_GUIDANCE_CIQ" hidden="1">"c4599"</definedName>
    <definedName name="IQ_NI_SBC_GW_LOW_EST" hidden="1">"c4481"</definedName>
    <definedName name="IQ_NI_SBC_GW_LOW_EST_CIQ" hidden="1">"c5019"</definedName>
    <definedName name="IQ_NI_SBC_GW_LOW_GUIDANCE" hidden="1">"c4227"</definedName>
    <definedName name="IQ_NI_SBC_GW_LOW_GUIDANCE_CIQ" hidden="1">"c4639"</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 hidden="1">"c4186"</definedName>
    <definedName name="IQ_NI_SBC_HIGH_GUIDANCE_CIQ" hidden="1">"c4598"</definedName>
    <definedName name="IQ_NI_SBC_LOW_EST" hidden="1">"c4487"</definedName>
    <definedName name="IQ_NI_SBC_LOW_EST_CIQ" hidden="1">"c5025"</definedName>
    <definedName name="IQ_NI_SBC_LOW_GUIDANCE" hidden="1">"c4226"</definedName>
    <definedName name="IQ_NI_SBC_LOW_GUIDANCE_CIQ" hidden="1">"c4638"</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1" hidden="1">"c797"</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EXP_1" hidden="1">"c801"</definedName>
    <definedName name="IQ_NON_INTEREST_INC" hidden="1">"c1401"</definedName>
    <definedName name="IQ_NON_INTEREST_INC_1"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ES_PAY_1"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ACT_OR_EST_THOM" hidden="1">"c5304"</definedName>
    <definedName name="IQ_OPER_INC_BR" hidden="1">"c850"</definedName>
    <definedName name="IQ_OPER_INC_DET_EST" hidden="1">"c12064"</definedName>
    <definedName name="IQ_OPER_INC_DET_EST_CIQ" hidden="1">"c12128"</definedName>
    <definedName name="IQ_OPER_INC_DET_EST_CIQ_CURRENCY_CIQ" hidden="1">"c12519"</definedName>
    <definedName name="IQ_OPER_INC_DET_EST_CIQ_INCL_INCL_CIQ" hidden="1">"c12402"</definedName>
    <definedName name="IQ_OPER_INC_DET_EST_CURRENCY" hidden="1">"c12471"</definedName>
    <definedName name="IQ_OPER_INC_DET_EST_CURRENCY_THOM" hidden="1">"c12494"</definedName>
    <definedName name="IQ_OPER_INC_DET_EST_DATE" hidden="1">"c12217"</definedName>
    <definedName name="IQ_OPER_INC_DET_EST_DATE_CIQ" hidden="1">"c12274"</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CIQ" hidden="1">"c12643"</definedName>
    <definedName name="IQ_OPER_INC_DET_EST_ORIGIN_THOM" hidden="1">"c12615"</definedName>
    <definedName name="IQ_OPER_INC_DET_EST_THOM" hidden="1">"c12095"</definedName>
    <definedName name="IQ_OPER_INC_EST" hidden="1">"c1688"</definedName>
    <definedName name="IQ_OPER_INC_EST_CIQ" hidden="1">"c12010"</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LOW_EST_THOM" hidden="1">"c5115"</definedName>
    <definedName name="IQ_OPER_INC_MARGIN" hidden="1">"c1448"</definedName>
    <definedName name="IQ_OPER_INC_MARGIN_1" hidden="1">"c362"</definedName>
    <definedName name="IQ_OPER_INC_MEDIAN_EST" hidden="1">"c1689"</definedName>
    <definedName name="IQ_OPER_INC_MEDIAN_EST_CIQ" hidden="1">"c12011"</definedName>
    <definedName name="IQ_OPER_INC_MEDIAN_EST_REUT" hidden="1">"c5341"</definedName>
    <definedName name="IQ_OPER_INC_MEDIAN_EST_THOM" hidden="1">"c5113"</definedName>
    <definedName name="IQ_OPER_INC_NUM_EST" hidden="1">"c1692"</definedName>
    <definedName name="IQ_OPER_INC_NUM_EST_CIQ" hidden="1">"c12014"</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ASSETS_1" hidden="1">"c868"</definedName>
    <definedName name="IQ_OTHER_CURRENT_LIAB" hidden="1">"c1404"</definedName>
    <definedName name="IQ_OTHER_CURRENT_LIAB_1"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INVESTING_1"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ONG_TERM_1"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ET_1"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ENUE_1"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BS_DATE_1" hidden="1">"c1022"</definedName>
    <definedName name="IQ_OUTSTANDING_FILING_DATE" hidden="1">"c1023"</definedName>
    <definedName name="IQ_OUTSTANDING_FILING_DATE_1"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_ACCRUED_1" hidden="1">"c8"</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"c2850"</definedName>
    <definedName name="IQ_PENETRATION_BBAND" hidden="1">"c2852"</definedName>
    <definedName name="IQ_PENETRATION_BBAND_THP" hidden="1">"c2851"</definedName>
    <definedName name="IQ_PENETRATION_PHONE" hidden="1">"c2853"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CIQ" hidden="1">"c3750"</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CIQ" hidden="1">"c3793"</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CIQ" hidden="1">"c3757"</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CIQ" hidden="1">"c3794"</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8MONTHS" hidden="1">"c1829"</definedName>
    <definedName name="IQ_PERCENT_CHANGE_EST_FFO_SHARE_18MONTHS_CIQ" hidden="1">"c3770"</definedName>
    <definedName name="IQ_PERCENT_CHANGE_EST_FFO_SHARE_3MONTHS" hidden="1">"c1825"</definedName>
    <definedName name="IQ_PERCENT_CHANGE_EST_FFO_SHARE_3MONTHS_CIQ" hidden="1">"c3766"</definedName>
    <definedName name="IQ_PERCENT_CHANGE_EST_FFO_SHARE_6MONTHS" hidden="1">"c1826"</definedName>
    <definedName name="IQ_PERCENT_CHANGE_EST_FFO_SHARE_6MONTHS_CIQ" hidden="1">"c3767"</definedName>
    <definedName name="IQ_PERCENT_CHANGE_EST_FFO_SHARE_9MONTHS" hidden="1">"c1827"</definedName>
    <definedName name="IQ_PERCENT_CHANGE_EST_FFO_SHARE_9MONTHS_CIQ" hidden="1">"c3768"</definedName>
    <definedName name="IQ_PERCENT_CHANGE_EST_FFO_SHARE_DAY" hidden="1">"c1822"</definedName>
    <definedName name="IQ_PERCENT_CHANGE_EST_FFO_SHARE_DAY_CIQ" hidden="1">"c3764"</definedName>
    <definedName name="IQ_PERCENT_CHANGE_EST_FFO_SHARE_MONTH" hidden="1">"c1824"</definedName>
    <definedName name="IQ_PERCENT_CHANGE_EST_FFO_SHARE_MONTH_CIQ" hidden="1">"c3765"</definedName>
    <definedName name="IQ_PERCENT_CHANGE_EST_FFO_SHARE_SHARE_12MONTHS" hidden="1">"c1828"</definedName>
    <definedName name="IQ_PERCENT_CHANGE_EST_FFO_SHARE_SHARE_12MONTHS_CIQ" hidden="1">"c3769"</definedName>
    <definedName name="IQ_PERCENT_CHANGE_EST_FFO_SHARE_SHARE_18MONTHS" hidden="1">"c1829"</definedName>
    <definedName name="IQ_PERCENT_CHANGE_EST_FFO_SHARE_SHARE_18MONTHS_CIQ" hidden="1">"c3770"</definedName>
    <definedName name="IQ_PERCENT_CHANGE_EST_FFO_SHARE_SHARE_3MONTHS" hidden="1">"c1825"</definedName>
    <definedName name="IQ_PERCENT_CHANGE_EST_FFO_SHARE_SHARE_3MONTHS_CIQ" hidden="1">"c3766"</definedName>
    <definedName name="IQ_PERCENT_CHANGE_EST_FFO_SHARE_SHARE_6MONTHS" hidden="1">"c1826"</definedName>
    <definedName name="IQ_PERCENT_CHANGE_EST_FFO_SHARE_SHARE_6MONTHS_CIQ" hidden="1">"c3767"</definedName>
    <definedName name="IQ_PERCENT_CHANGE_EST_FFO_SHARE_SHARE_9MONTHS" hidden="1">"c1827"</definedName>
    <definedName name="IQ_PERCENT_CHANGE_EST_FFO_SHARE_SHARE_9MONTHS_CIQ" hidden="1">"c3768"</definedName>
    <definedName name="IQ_PERCENT_CHANGE_EST_FFO_SHARE_SHARE_DAY" hidden="1">"c1822"</definedName>
    <definedName name="IQ_PERCENT_CHANGE_EST_FFO_SHARE_SHARE_DAY_CIQ" hidden="1">"c3764"</definedName>
    <definedName name="IQ_PERCENT_CHANGE_EST_FFO_SHARE_SHARE_MONTH" hidden="1">"c1824"</definedName>
    <definedName name="IQ_PERCENT_CHANGE_EST_FFO_SHARE_SHARE_MONTH_CIQ" hidden="1">"c3765"</definedName>
    <definedName name="IQ_PERCENT_CHANGE_EST_FFO_SHARE_SHARE_WEEK" hidden="1">"c1823"</definedName>
    <definedName name="IQ_PERCENT_CHANGE_EST_FFO_SHARE_SHARE_WEEK_CIQ" hidden="1">"c3795"</definedName>
    <definedName name="IQ_PERCENT_CHANGE_EST_FFO_SHARE_WEEK" hidden="1">"c1823"</definedName>
    <definedName name="IQ_PERCENT_CHANGE_EST_FFO_SHARE_WEEK_CIQ" hidden="1">"c3795"</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"c3965"</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1"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CIQ" hidden="1">"c5064"</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1" hidden="1">"c1052"</definedName>
    <definedName name="IQ_PREF_STOCK_FFIEC" hidden="1">"c12875"</definedName>
    <definedName name="IQ_PREF_TOT" hidden="1">"c1415"</definedName>
    <definedName name="IQ_PREF_TOT_1"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EXPEN_1" hidden="1">"c1068"</definedName>
    <definedName name="IQ_PREPAID_SUBS" hidden="1">"c2117"</definedName>
    <definedName name="IQ_PRESIDENT_ID" hidden="1">"c15216"</definedName>
    <definedName name="IQ_PRESIDENT_NAME" hidden="1">"c15215"</definedName>
    <definedName name="IQ_PRETAX_GW_INC_DET_EST_CIQ" hidden="1">"c12116"</definedName>
    <definedName name="IQ_PRETAX_GW_INC_DET_EST_CURRENCY_CIQ" hidden="1">"c12507"</definedName>
    <definedName name="IQ_PRETAX_GW_INC_DET_EST_DATE_CIQ" hidden="1">"c12262"</definedName>
    <definedName name="IQ_PRETAX_GW_INC_DET_EST_INCL_CIQ" hidden="1">"c12390"</definedName>
    <definedName name="IQ_PRETAX_GW_INC_DET_EST_ORIGIN_CIQ" hidden="1">"c12631"</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IQ" hidden="1">"c12115"</definedName>
    <definedName name="IQ_PRETAX_INC_DET_EST_CURRENCY" hidden="1">"c12462"</definedName>
    <definedName name="IQ_PRETAX_INC_DET_EST_CURRENCY_CIQ" hidden="1">"c12506"</definedName>
    <definedName name="IQ_PRETAX_INC_DET_EST_CURRENCY_THOM" hidden="1">"c12483"</definedName>
    <definedName name="IQ_PRETAX_INC_DET_EST_DATE" hidden="1">"c12208"</definedName>
    <definedName name="IQ_PRETAX_INC_DET_EST_DATE_CIQ" hidden="1">"c12261"</definedName>
    <definedName name="IQ_PRETAX_INC_DET_EST_DATE_THOM" hidden="1">"c12234"</definedName>
    <definedName name="IQ_PRETAX_INC_DET_EST_INCL" hidden="1">"c12345"</definedName>
    <definedName name="IQ_PRETAX_INC_DET_EST_INCL_CIQ" hidden="1">"c12389"</definedName>
    <definedName name="IQ_PRETAX_INC_DET_EST_INCL_THOM" hidden="1">"c12366"</definedName>
    <definedName name="IQ_PRETAX_INC_DET_EST_ORIGIN" hidden="1">"c12771"</definedName>
    <definedName name="IQ_PRETAX_INC_DET_EST_ORIGIN_CIQ" hidden="1">"c12630"</definedName>
    <definedName name="IQ_PRETAX_INC_DET_EST_ORIGIN_THOM" hidden="1">"c12604"</definedName>
    <definedName name="IQ_PRETAX_INC_DET_EST_THOM" hidden="1">"c12084"</definedName>
    <definedName name="IQ_PRETAX_INC_EST" hidden="1">"c1695"</definedName>
    <definedName name="IQ_PRETAX_INC_EST_CIQ" hidden="1">"c4681"</definedName>
    <definedName name="IQ_PRETAX_INC_EST_REUT" hidden="1">"c5347"</definedName>
    <definedName name="IQ_PRETAX_INC_EST_THOM" hidden="1">"c5119"</definedName>
    <definedName name="IQ_PRETAX_INC_HIGH_EST" hidden="1">"c1697"</definedName>
    <definedName name="IQ_PRETAX_INC_HIGH_EST_CIQ" hidden="1">"c4683"</definedName>
    <definedName name="IQ_PRETAX_INC_HIGH_EST_REUT" hidden="1">"c5349"</definedName>
    <definedName name="IQ_PRETAX_INC_HIGH_EST_THOM" hidden="1">"c5121"</definedName>
    <definedName name="IQ_PRETAX_INC_LOW_EST" hidden="1">"c1698"</definedName>
    <definedName name="IQ_PRETAX_INC_LOW_EST_CIQ" hidden="1">"c4684"</definedName>
    <definedName name="IQ_PRETAX_INC_LOW_EST_REUT" hidden="1">"c5350"</definedName>
    <definedName name="IQ_PRETAX_INC_LOW_EST_THOM" hidden="1">"c5122"</definedName>
    <definedName name="IQ_PRETAX_INC_MEDIAN_EST" hidden="1">"c1696"</definedName>
    <definedName name="IQ_PRETAX_INC_MEDIAN_EST_CIQ" hidden="1">"c4682"</definedName>
    <definedName name="IQ_PRETAX_INC_MEDIAN_EST_REUT" hidden="1">"c5348"</definedName>
    <definedName name="IQ_PRETAX_INC_MEDIAN_EST_THOM" hidden="1">"c5120"</definedName>
    <definedName name="IQ_PRETAX_INC_NUM_EST" hidden="1">"c1699"</definedName>
    <definedName name="IQ_PRETAX_INC_NUM_EST_CIQ" hidden="1">"c4685"</definedName>
    <definedName name="IQ_PRETAX_INC_NUM_EST_REUT" hidden="1">"c5351"</definedName>
    <definedName name="IQ_PRETAX_INC_NUM_EST_THOM" hidden="1">"c5123"</definedName>
    <definedName name="IQ_PRETAX_INC_STDDEV_EST" hidden="1">"c1700"</definedName>
    <definedName name="IQ_PRETAX_INC_STDDEV_EST_CIQ" hidden="1">"c4686"</definedName>
    <definedName name="IQ_PRETAX_INC_STDDEV_EST_REUT" hidden="1">"c5352"</definedName>
    <definedName name="IQ_PRETAX_INC_STDDEV_EST_THOM" hidden="1">"c5124"</definedName>
    <definedName name="IQ_PRETAX_OPERATING_INC_AVG_ASSETS_FFIEC" hidden="1">"c13365"</definedName>
    <definedName name="IQ_PRETAX_REPORT_INC_DET_EST_CIQ" hidden="1">"c12117"</definedName>
    <definedName name="IQ_PRETAX_REPORT_INC_DET_EST_CURRENCY_CIQ" hidden="1">"c12508"</definedName>
    <definedName name="IQ_PRETAX_REPORT_INC_DET_EST_DATE_CIQ" hidden="1">"c12263"</definedName>
    <definedName name="IQ_PRETAX_REPORT_INC_DET_EST_INCL_CIQ" hidden="1">"c12391"</definedName>
    <definedName name="IQ_PRETAX_REPORT_INC_DET_EST_ORIGIN_CIQ" hidden="1">"c12719"</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CIQ" hidden="1">"c4046"</definedName>
    <definedName name="IQ_PRICE_CFPS_FWD_REUT" hidden="1">"c4053"</definedName>
    <definedName name="IQ_PRICE_CFPS_FWD_THOM" hidden="1">"c4060"</definedName>
    <definedName name="IQ_PRICE_OVER_BVPS" hidden="1">"c1412"</definedName>
    <definedName name="IQ_PRICE_OVER_BVPS_1" hidden="1">"c1026"</definedName>
    <definedName name="IQ_PRICE_OVER_EPS_EST" hidden="1">"c174"</definedName>
    <definedName name="IQ_PRICE_OVER_EPS_EST_1" hidden="1">"c175"</definedName>
    <definedName name="IQ_PRICE_OVER_LTM_EPS" hidden="1">"c1413"</definedName>
    <definedName name="IQ_PRICE_OVER_LTM_EPS_1"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EST_CIQ" hidden="1">"c5030"</definedName>
    <definedName name="IQ_PRICE_VOLATILITY_HIGH" hidden="1">"c4493"</definedName>
    <definedName name="IQ_PRICE_VOLATILITY_HIGH_CIQ" hidden="1">"c5031"</definedName>
    <definedName name="IQ_PRICE_VOLATILITY_LOW" hidden="1">"c4494"</definedName>
    <definedName name="IQ_PRICE_VOLATILITY_LOW_CIQ" hidden="1">"c5032"</definedName>
    <definedName name="IQ_PRICE_VOLATILITY_MEDIAN" hidden="1">"c4495"</definedName>
    <definedName name="IQ_PRICE_VOLATILITY_MEDIAN_CIQ" hidden="1">"c5033"</definedName>
    <definedName name="IQ_PRICE_VOLATILITY_NUM" hidden="1">"c4496"</definedName>
    <definedName name="IQ_PRICE_VOLATILITY_NUM_CIQ" hidden="1">"c5034"</definedName>
    <definedName name="IQ_PRICE_VOLATILITY_STDDEV" hidden="1">"c4497"</definedName>
    <definedName name="IQ_PRICE_VOLATILITY_STDDEV_CIQ" hidden="1">"c5035"</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_FORMA_NET_INC_1"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GROSS_1" hidden="1">"c518"</definedName>
    <definedName name="IQ_PROPERTY_MGMT_FEE" hidden="1">"c1074"</definedName>
    <definedName name="IQ_PROPERTY_NET" hidden="1">"c1402"</definedName>
    <definedName name="IQ_PROPERTY_NET_1" hidden="1">"c829"</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EST_CIQ" hidden="1">"c5037"</definedName>
    <definedName name="IQ_RECURRING_PROFIT_GUIDANCE" hidden="1">"c4500"</definedName>
    <definedName name="IQ_RECURRING_PROFIT_GUIDANCE_CIQ" hidden="1">"c5038"</definedName>
    <definedName name="IQ_RECURRING_PROFIT_HIGH_EST" hidden="1">"c4501"</definedName>
    <definedName name="IQ_RECURRING_PROFIT_HIGH_EST_CIQ" hidden="1">"c5039"</definedName>
    <definedName name="IQ_RECURRING_PROFIT_HIGH_GUIDANCE" hidden="1">"c4179"</definedName>
    <definedName name="IQ_RECURRING_PROFIT_HIGH_GUIDANCE_CIQ" hidden="1">"c4591"</definedName>
    <definedName name="IQ_RECURRING_PROFIT_LOW_EST" hidden="1">"c4502"</definedName>
    <definedName name="IQ_RECURRING_PROFIT_LOW_EST_CIQ" hidden="1">"c5040"</definedName>
    <definedName name="IQ_RECURRING_PROFIT_LOW_GUIDANCE" hidden="1">"c4219"</definedName>
    <definedName name="IQ_RECURRING_PROFIT_LOW_GUIDANCE_CIQ" hidden="1">"c4631"</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EST_CIQ" hidden="1">"c5044"</definedName>
    <definedName name="IQ_RECURRING_PROFIT_SHARE_GUIDANCE" hidden="1">"c4509"</definedName>
    <definedName name="IQ_RECURRING_PROFIT_SHARE_GUIDANCE_CIQ" hidden="1">"c5047"</definedName>
    <definedName name="IQ_RECURRING_PROFIT_SHARE_HIGH_EST" hidden="1">"c4510"</definedName>
    <definedName name="IQ_RECURRING_PROFIT_SHARE_HIGH_EST_CIQ" hidden="1">"c5048"</definedName>
    <definedName name="IQ_RECURRING_PROFIT_SHARE_HIGH_GUIDANCE" hidden="1">"c4200"</definedName>
    <definedName name="IQ_RECURRING_PROFIT_SHARE_HIGH_GUIDANCE_CIQ" hidden="1">"c4612"</definedName>
    <definedName name="IQ_RECURRING_PROFIT_SHARE_LOW_EST" hidden="1">"c4511"</definedName>
    <definedName name="IQ_RECURRING_PROFIT_SHARE_LOW_EST_CIQ" hidden="1">"c5049"</definedName>
    <definedName name="IQ_RECURRING_PROFIT_SHARE_LOW_GUIDANCE" hidden="1">"c4240"</definedName>
    <definedName name="IQ_RECURRING_PROFIT_SHARE_LOW_GUIDANCE_CIQ" hidden="1">"c4652"</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EEM_PREF_STOCK_1" hidden="1">"c1059"</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EARCH_DEV_1"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_1"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CIQ" hidden="1">"c12130"</definedName>
    <definedName name="IQ_RETURN_ASSETS_DET_EST_DATE" hidden="1">"c12219"</definedName>
    <definedName name="IQ_RETURN_ASSETS_DET_EST_DATE_CIQ" hidden="1">"c12276"</definedName>
    <definedName name="IQ_RETURN_ASSETS_DET_EST_DATE_THOM" hidden="1">"c12247"</definedName>
    <definedName name="IQ_RETURN_ASSETS_DET_EST_INCL" hidden="1">"c12356"</definedName>
    <definedName name="IQ_RETURN_ASSETS_DET_EST_INCL_CIQ" hidden="1">"c12404"</definedName>
    <definedName name="IQ_RETURN_ASSETS_DET_EST_INCL_THOM" hidden="1">"c12379"</definedName>
    <definedName name="IQ_RETURN_ASSETS_DET_EST_ORIGIN" hidden="1">"c12591"</definedName>
    <definedName name="IQ_RETURN_ASSETS_DET_EST_ORIGIN_CIQ" hidden="1">"c12645"</definedName>
    <definedName name="IQ_RETURN_ASSETS_DET_EST_ORIGIN_THOM" hidden="1">"c12617"</definedName>
    <definedName name="IQ_RETURN_ASSETS_DET_EST_THOM" hidden="1">"c12097"</definedName>
    <definedName name="IQ_RETURN_ASSETS_EST" hidden="1">"c3529"</definedName>
    <definedName name="IQ_RETURN_ASSETS_EST_CIQ" hidden="1">"c3828"</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HIGH_EST" hidden="1">"c3530"</definedName>
    <definedName name="IQ_RETURN_ASSETS_HIGH_EST_CIQ" hidden="1">"c3830"</definedName>
    <definedName name="IQ_RETURN_ASSETS_HIGH_EST_REUT" hidden="1">"c3992"</definedName>
    <definedName name="IQ_RETURN_ASSETS_HIGH_EST_THOM" hidden="1">"c4036"</definedName>
    <definedName name="IQ_RETURN_ASSETS_HIGH_GUIDANCE" hidden="1">"c4183"</definedName>
    <definedName name="IQ_RETURN_ASSETS_HIGH_GUIDANCE_CIQ" hidden="1">"c4595"</definedName>
    <definedName name="IQ_RETURN_ASSETS_LOW_EST" hidden="1">"c3531"</definedName>
    <definedName name="IQ_RETURN_ASSETS_LOW_EST_CIQ" hidden="1">"c3831"</definedName>
    <definedName name="IQ_RETURN_ASSETS_LOW_EST_REUT" hidden="1">"c3993"</definedName>
    <definedName name="IQ_RETURN_ASSETS_LOW_EST_THOM" hidden="1">"c4037"</definedName>
    <definedName name="IQ_RETURN_ASSETS_LOW_GUIDANCE" hidden="1">"c4223"</definedName>
    <definedName name="IQ_RETURN_ASSETS_LOW_GUIDANCE_CIQ" hidden="1">"c4635"</definedName>
    <definedName name="IQ_RETURN_ASSETS_MEDIAN_EST" hidden="1">"c3532"</definedName>
    <definedName name="IQ_RETURN_ASSETS_MEDIAN_EST_CIQ" hidden="1">"c3829"</definedName>
    <definedName name="IQ_RETURN_ASSETS_MEDIAN_EST_REUT" hidden="1">"c3991"</definedName>
    <definedName name="IQ_RETURN_ASSETS_MEDIAN_EST_THOM" hidden="1">"c4035"</definedName>
    <definedName name="IQ_RETURN_ASSETS_NUM_EST" hidden="1">"c3527"</definedName>
    <definedName name="IQ_RETURN_ASSETS_NUM_EST_CIQ" hidden="1">"c3832"</definedName>
    <definedName name="IQ_RETURN_ASSETS_NUM_EST_REUT" hidden="1">"c3994"</definedName>
    <definedName name="IQ_RETURN_ASSETS_NUM_EST_THOM" hidden="1">"c4038"</definedName>
    <definedName name="IQ_RETURN_ASSETS_STDDEV_EST" hidden="1">"c3528"</definedName>
    <definedName name="IQ_RETURN_ASSETS_STDDEV_EST_CIQ" hidden="1">"c3833"</definedName>
    <definedName name="IQ_RETURN_ASSETS_STDDEV_EST_REUT" hidden="1">"c3995"</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CIQ" hidden="1">"c12131"</definedName>
    <definedName name="IQ_RETURN_EQUITY_DET_EST_DATE" hidden="1">"c12220"</definedName>
    <definedName name="IQ_RETURN_EQUITY_DET_EST_DATE_CIQ" hidden="1">"c12277"</definedName>
    <definedName name="IQ_RETURN_EQUITY_DET_EST_DATE_THOM" hidden="1">"c12248"</definedName>
    <definedName name="IQ_RETURN_EQUITY_DET_EST_INCL" hidden="1">"c12357"</definedName>
    <definedName name="IQ_RETURN_EQUITY_DET_EST_INCL_CIQ" hidden="1">"c12405"</definedName>
    <definedName name="IQ_RETURN_EQUITY_DET_EST_INCL_THOM" hidden="1">"c12380"</definedName>
    <definedName name="IQ_RETURN_EQUITY_DET_EST_ORIGIN" hidden="1">"c12592"</definedName>
    <definedName name="IQ_RETURN_EQUITY_DET_EST_ORIGIN_CIQ" hidden="1">"c12646"</definedName>
    <definedName name="IQ_RETURN_EQUITY_DET_EST_ORIGIN_THOM" hidden="1">"c12618"</definedName>
    <definedName name="IQ_RETURN_EQUITY_DET_EST_THOM" hidden="1">"c12098"</definedName>
    <definedName name="IQ_RETURN_EQUITY_EST" hidden="1">"c3535"</definedName>
    <definedName name="IQ_RETURN_EQUITY_EST_CIQ" hidden="1">"c3821"</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HIGH_EST" hidden="1">"c3536"</definedName>
    <definedName name="IQ_RETURN_EQUITY_HIGH_EST_CIQ" hidden="1">"c3823"</definedName>
    <definedName name="IQ_RETURN_EQUITY_HIGH_EST_REUT" hidden="1">"c3985"</definedName>
    <definedName name="IQ_RETURN_EQUITY_HIGH_EST_THOM" hidden="1">"c5283"</definedName>
    <definedName name="IQ_RETURN_EQUITY_HIGH_GUIDANCE" hidden="1">"c4182"</definedName>
    <definedName name="IQ_RETURN_EQUITY_HIGH_GUIDANCE_CIQ" hidden="1">"c4594"</definedName>
    <definedName name="IQ_RETURN_EQUITY_LOW_EST" hidden="1">"c3537"</definedName>
    <definedName name="IQ_RETURN_EQUITY_LOW_EST_CIQ" hidden="1">"c3824"</definedName>
    <definedName name="IQ_RETURN_EQUITY_LOW_EST_REUT" hidden="1">"c3986"</definedName>
    <definedName name="IQ_RETURN_EQUITY_LOW_EST_THOM" hidden="1">"c5284"</definedName>
    <definedName name="IQ_RETURN_EQUITY_LOW_GUIDANCE" hidden="1">"c4222"</definedName>
    <definedName name="IQ_RETURN_EQUITY_LOW_GUIDANCE_CIQ" hidden="1">"c4634"</definedName>
    <definedName name="IQ_RETURN_EQUITY_MEDIAN_EST" hidden="1">"c3538"</definedName>
    <definedName name="IQ_RETURN_EQUITY_MEDIAN_EST_CIQ" hidden="1">"c3822"</definedName>
    <definedName name="IQ_RETURN_EQUITY_MEDIAN_EST_REUT" hidden="1">"c3984"</definedName>
    <definedName name="IQ_RETURN_EQUITY_MEDIAN_EST_THOM" hidden="1">"c5282"</definedName>
    <definedName name="IQ_RETURN_EQUITY_NUM_EST" hidden="1">"c3533"</definedName>
    <definedName name="IQ_RETURN_EQUITY_NUM_EST_CIQ" hidden="1">"c3825"</definedName>
    <definedName name="IQ_RETURN_EQUITY_NUM_EST_REUT" hidden="1">"c3987"</definedName>
    <definedName name="IQ_RETURN_EQUITY_NUM_EST_THOM" hidden="1">"c5285"</definedName>
    <definedName name="IQ_RETURN_EQUITY_STDDEV_EST" hidden="1">"c3534"</definedName>
    <definedName name="IQ_RETURN_EQUITY_STDDEV_EST_CIQ" hidden="1">"c3826"</definedName>
    <definedName name="IQ_RETURN_EQUITY_STDDEV_EST_REUT" hidden="1">"c3988"</definedName>
    <definedName name="IQ_RETURN_EQUITY_STDDEV_EST_THOM" hidden="1">"c5286"</definedName>
    <definedName name="IQ_RETURN_INVESTMENT" hidden="1">"c1421"</definedName>
    <definedName name="IQ_RETURN_INVESTMENT_1"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IQ" hidden="1">"c12129"</definedName>
    <definedName name="IQ_REV_DET_EST_CURRENCY" hidden="1">"c12472"</definedName>
    <definedName name="IQ_REV_DET_EST_CURRENCY_CIQ" hidden="1">"c12520"</definedName>
    <definedName name="IQ_REV_DET_EST_CURRENCY_THOM" hidden="1">"c12495"</definedName>
    <definedName name="IQ_REV_DET_EST_DATE" hidden="1">"c12218"</definedName>
    <definedName name="IQ_REV_DET_EST_DATE_CIQ" hidden="1">"c12275"</definedName>
    <definedName name="IQ_REV_DET_EST_DATE_THOM" hidden="1">"c12246"</definedName>
    <definedName name="IQ_REV_DET_EST_INCL" hidden="1">"c12355"</definedName>
    <definedName name="IQ_REV_DET_EST_INCL_CIQ" hidden="1">"c12403"</definedName>
    <definedName name="IQ_REV_DET_EST_INCL_THOM" hidden="1">"c12378"</definedName>
    <definedName name="IQ_REV_DET_EST_ORIGIN" hidden="1">"c12590"</definedName>
    <definedName name="IQ_REV_DET_EST_ORIGIN_CIQ" hidden="1">"c12644"</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1"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"c155"</definedName>
    <definedName name="IQ_REVENUE_GROWTH_2" hidden="1">"c159"</definedName>
    <definedName name="IQ_REVENUE_GUIDANCE" hidden="1">"c4519"</definedName>
    <definedName name="IQ_REVENUE_GUIDANCE_CIQ" hidden="1">"c5057"</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ISION_DATE_" hidden="1">39922.7264351852</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"c1425"</definedName>
    <definedName name="IQ_SHORT_TERM_INVEST_1" hidden="1">"c1197"</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CIQ" hidden="1">"c12133"</definedName>
    <definedName name="IQ_STAND_REC_DET_EST_DATE" hidden="1">"c12222"</definedName>
    <definedName name="IQ_STAND_REC_DET_EST_DATE_CIQ" hidden="1">"c12279"</definedName>
    <definedName name="IQ_STAND_REC_DET_EST_DATE_THOM" hidden="1">"c12250"</definedName>
    <definedName name="IQ_STAND_REC_DET_EST_ORIGIN" hidden="1">"c12594"</definedName>
    <definedName name="IQ_STAND_REC_DET_EST_ORIGIN_CIQ" hidden="1">"c12648"</definedName>
    <definedName name="IQ_STAND_REC_DET_EST_ORIGIN_THOM" hidden="1">"c12620"</definedName>
    <definedName name="IQ_STAND_REC_DET_EST_THOM" hidden="1">"c12100"</definedName>
    <definedName name="IQ_STAND_REC_NUM_DET_EST" hidden="1">"c12068"</definedName>
    <definedName name="IQ_STAND_REC_NUM_DET_EST_CIQ" hidden="1">"c12132"</definedName>
    <definedName name="IQ_STAND_REC_NUM_DET_EST_DATE" hidden="1">"c12221"</definedName>
    <definedName name="IQ_STAND_REC_NUM_DET_EST_DATE_CIQ" hidden="1">"c12278"</definedName>
    <definedName name="IQ_STAND_REC_NUM_DET_EST_DATE_THOM" hidden="1">"c12249"</definedName>
    <definedName name="IQ_STAND_REC_NUM_DET_EST_ORIGIN" hidden="1">"c12593"</definedName>
    <definedName name="IQ_STAND_REC_NUM_DET_EST_ORIGIN_CIQ" hidden="1">"c12647"</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"c2857"</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IQ" hidden="1">"c12134"</definedName>
    <definedName name="IQ_TARGET_PRICE_DET_EST_CURRENCY" hidden="1">"c12475"</definedName>
    <definedName name="IQ_TARGET_PRICE_DET_EST_CURRENCY_CIQ" hidden="1">"c12523"</definedName>
    <definedName name="IQ_TARGET_PRICE_DET_EST_CURRENCY_THOM" hidden="1">"c12498"</definedName>
    <definedName name="IQ_TARGET_PRICE_DET_EST_DATE" hidden="1">"c12223"</definedName>
    <definedName name="IQ_TARGET_PRICE_DET_EST_DATE_CIQ" hidden="1">"c12280"</definedName>
    <definedName name="IQ_TARGET_PRICE_DET_EST_DATE_THOM" hidden="1">"c12251"</definedName>
    <definedName name="IQ_TARGET_PRICE_DET_EST_INCL" hidden="1">"c12358"</definedName>
    <definedName name="IQ_TARGET_PRICE_DET_EST_INCL_CIQ" hidden="1">"c12406"</definedName>
    <definedName name="IQ_TARGET_PRICE_DET_EST_INCL_THOM" hidden="1">"c12381"</definedName>
    <definedName name="IQ_TARGET_PRICE_DET_EST_ORIGIN" hidden="1">"c12729"</definedName>
    <definedName name="IQ_TARGET_PRICE_DET_EST_ORIGIN_CIQ" hidden="1">"c12730"</definedName>
    <definedName name="IQ_TARGET_PRICE_DET_EST_ORIGIN_THOM" hidden="1">"c12621"</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CIQ" hidden="1">"c5079"</definedName>
    <definedName name="IQ_TEV_EST_THOM" hidden="1">"c5529"</definedName>
    <definedName name="IQ_TEV_HIGH_EST" hidden="1">"c4527"</definedName>
    <definedName name="IQ_TEV_HIGH_EST_CIQ" hidden="1">"c5080"</definedName>
    <definedName name="IQ_TEV_HIGH_EST_THOM" hidden="1">"c5530"</definedName>
    <definedName name="IQ_TEV_LOW_EST" hidden="1">"c4528"</definedName>
    <definedName name="IQ_TEV_LOW_EST_CIQ" hidden="1">"c5081"</definedName>
    <definedName name="IQ_TEV_LOW_EST_THOM" hidden="1">"c5531"</definedName>
    <definedName name="IQ_TEV_MEDIAN_EST" hidden="1">"c4529"</definedName>
    <definedName name="IQ_TEV_MEDIAN_EST_CIQ" hidden="1">"c5082"</definedName>
    <definedName name="IQ_TEV_MEDIAN_EST_THOM" hidden="1">"c5532"</definedName>
    <definedName name="IQ_TEV_NUM_EST" hidden="1">"c4530"</definedName>
    <definedName name="IQ_TEV_NUM_EST_CIQ" hidden="1">"c5083"</definedName>
    <definedName name="IQ_TEV_NUM_EST_THOM" hidden="1">"c5533"</definedName>
    <definedName name="IQ_TEV_STDDEV_EST" hidden="1">"c4531"</definedName>
    <definedName name="IQ_TEV_STDDEV_EST_CIQ" hidden="1">"c5084"</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IVID_1" hidden="1">"c1266"</definedName>
    <definedName name="IQ_TOTAL_CASH_DUE_DEPOSITORY_INSTIT_DOM_FFIEC" hidden="1">"c15291"</definedName>
    <definedName name="IQ_TOTAL_CASH_DUE_DEPOSITORY_INSTIT_FFIEC" hidden="1">"c15285"</definedName>
    <definedName name="IQ_TOTAL_CASH_FINAN" hidden="1">"c1352"</definedName>
    <definedName name="IQ_TOTAL_CASH_FINAN_1" hidden="1">"c119"</definedName>
    <definedName name="IQ_TOTAL_CASH_INVEST" hidden="1">"c1353"</definedName>
    <definedName name="IQ_TOTAL_CASH_INVEST_1" hidden="1">"c121"</definedName>
    <definedName name="IQ_TOTAL_CASH_OPER" hidden="1">"c1354"</definedName>
    <definedName name="IQ_TOTAL_CASH_OPER_1"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1"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ASSETS_1" hidden="1">"c1243"</definedName>
    <definedName name="IQ_TOTAL_CURRENT_LIAB" hidden="1">"c1431"</definedName>
    <definedName name="IQ_TOTAL_CURRENT_LIAB_1" hidden="1">"c1245"</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 hidden="1">"c4533"</definedName>
    <definedName name="IQ_TOTAL_DEBT_GUIDANCE_CIQ" hidden="1">"c5086"</definedName>
    <definedName name="IQ_TOTAL_DEBT_HIGH_EST" hidden="1">"c4534"</definedName>
    <definedName name="IQ_TOTAL_DEBT_HIGH_EST_CIQ" hidden="1">"c5087"</definedName>
    <definedName name="IQ_TOTAL_DEBT_HIGH_GUIDANCE" hidden="1">"c4196"</definedName>
    <definedName name="IQ_TOTAL_DEBT_HIGH_GUIDANCE_CIQ" hidden="1">"c4608"</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 hidden="1">"c4236"</definedName>
    <definedName name="IQ_TOTAL_DEBT_LOW_GUIDANCE_CIQ" hidden="1">"c4648"</definedName>
    <definedName name="IQ_TOTAL_DEBT_MEDIAN_EST" hidden="1">"c4536"</definedName>
    <definedName name="IQ_TOTAL_DEBT_MEDIAN_EST_CIQ" hidden="1">"c5089"</definedName>
    <definedName name="IQ_TOTAL_DEBT_NON_CURRENT" hidden="1">"c6191"</definedName>
    <definedName name="IQ_TOTAL_DEBT_NUM_EST" hidden="1">"c4537"</definedName>
    <definedName name="IQ_TOTAL_DEBT_NUM_EST_CIQ" hidden="1">"c5090"</definedName>
    <definedName name="IQ_TOTAL_DEBT_OVER_EBITDA" hidden="1">"c1433"</definedName>
    <definedName name="IQ_TOTAL_DEBT_OVER_EBITDA_1" hidden="1">"c1249"</definedName>
    <definedName name="IQ_TOTAL_DEBT_OVER_TOTAL_BV" hidden="1">"c1434"</definedName>
    <definedName name="IQ_TOTAL_DEBT_OVER_TOTAL_BV_1" hidden="1">"c1250"</definedName>
    <definedName name="IQ_TOTAL_DEBT_OVER_TOTAL_CAP" hidden="1">"c1432"</definedName>
    <definedName name="IQ_TOTAL_DEBT_OVER_TOTAL_CAP_1"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_1"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1" hidden="1">"c591"</definedName>
    <definedName name="IQ_TOTAL_INTEREST_EXP_FOREIGN_FFIEC" hidden="1">"c15374"</definedName>
    <definedName name="IQ_TOTAL_INTEREST_INC_FOREIGN_FFIEC" hidden="1">"c15373"</definedName>
    <definedName name="IQ_TOTAL_INVENTORY" hidden="1">"c1385"</definedName>
    <definedName name="IQ_TOTAL_INVENTORY_1"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SHAREHOLD_1"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1"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T_BORROW_1"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AR_1"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1"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"c15789"</definedName>
    <definedName name="IQ_VOICE_SUB_TOTAL_HOMES_PASSED" hidden="1">"c15770"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1"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CURRENT_BOOKMARK" hidden="1">0</definedName>
    <definedName name="IQRA15" hidden="1">"$A$16:$A$23"</definedName>
    <definedName name="IQRA245" hidden="1">"$A$246"</definedName>
    <definedName name="IQRA26" hidden="1">"$A$27:$A$36"</definedName>
    <definedName name="IQRA3" hidden="1">"$A$4:$A$8"</definedName>
    <definedName name="IQRA311" hidden="1">"$A$312:$A$316"</definedName>
    <definedName name="IQRA7" hidden="1">"$A$8:$A$12"</definedName>
    <definedName name="IQRA8" hidden="1">"$A$9:$A$275"</definedName>
    <definedName name="IQRAA260" hidden="1">"$AA$261:$AA$265"</definedName>
    <definedName name="IQRAA261" hidden="1">"$AA$262:$AA$266"</definedName>
    <definedName name="IQRAA263" hidden="1">"$AA$264:$AA$268"</definedName>
    <definedName name="IQRAA264" hidden="1">"$AA$265:$AA$269"</definedName>
    <definedName name="IQRAA265" hidden="1">"$AA$266:$AA$270"</definedName>
    <definedName name="IQRAA266" hidden="1">"$AA$267:$AA$271"</definedName>
    <definedName name="IQRAA267" hidden="1">"$AA$268:$AA$272"</definedName>
    <definedName name="IQRAA530" hidden="1">"$AA$531:$AA$535"</definedName>
    <definedName name="IQRAA534" hidden="1">"$AA$535:$AA$539"</definedName>
    <definedName name="IQRAA536" hidden="1">"$AA$537:$AA$541"</definedName>
    <definedName name="IQRAA539" hidden="1">"$AA$540:$AA$544"</definedName>
    <definedName name="IQRAA549" hidden="1">"$AA$550:$AA$554"</definedName>
    <definedName name="IQRAA576" hidden="1">"$AA$577:$AA$581"</definedName>
    <definedName name="IQRAA577" hidden="1">"$AA$578:$AA$582"</definedName>
    <definedName name="IQRAA581" hidden="1">"$AA$582:$AA$586"</definedName>
    <definedName name="IQRAA582" hidden="1">"$AA$583:$AA$587"</definedName>
    <definedName name="IQRAA583" hidden="1">"$AA$584:$AA$588"</definedName>
    <definedName name="IQRAA591" hidden="1">"$AA$592:$AA$596"</definedName>
    <definedName name="IQRAA627" hidden="1">"$AA$628:$AA$632"</definedName>
    <definedName name="IQRAA684" hidden="1">"$AA$685:$AA$689"</definedName>
    <definedName name="IQRAA685" hidden="1">"$AA$686:$AA$690"</definedName>
    <definedName name="IQRAA686" hidden="1">"$AA$687:$AA$691"</definedName>
    <definedName name="IQRAA687" hidden="1">"$AA$688:$AA$692"</definedName>
    <definedName name="IQRAA688" hidden="1">"$AA$689:$AA$693"</definedName>
    <definedName name="IQRAA689" hidden="1">"$AA$690:$AA$694"</definedName>
    <definedName name="IQRAA690" hidden="1">"$AA$691:$AA$695"</definedName>
    <definedName name="IQRAA691" hidden="1">"$AA$692:$AA$696"</definedName>
    <definedName name="IQRAA692" hidden="1">"$AA$693:$AA$697"</definedName>
    <definedName name="IQRAA694" hidden="1">"$AA$695:$AA$699"</definedName>
    <definedName name="IQRAA695" hidden="1">"$AA$696:$AA$700"</definedName>
    <definedName name="IQRAA701" hidden="1">"$AA$702:$AA$706"</definedName>
    <definedName name="IQRAB260" hidden="1">"$AB$261:$AB$265"</definedName>
    <definedName name="IQRAB261" hidden="1">"$AB$262:$AB$266"</definedName>
    <definedName name="IQRAB263" hidden="1">"$AB$264:$AB$268"</definedName>
    <definedName name="IQRAB267" hidden="1">"$AB$268:$AB$272"</definedName>
    <definedName name="IQRAB270" hidden="1">"$AB$271:$AB$275"</definedName>
    <definedName name="IQRAB271" hidden="1">"$AB$272:$AB$276"</definedName>
    <definedName name="IQRAB272" hidden="1">"$AB$273:$AB$277"</definedName>
    <definedName name="IQRAB274" hidden="1">"$AB$275:$AB$279"</definedName>
    <definedName name="IQRAB275" hidden="1">"$AB$276:$AB$280"</definedName>
    <definedName name="IQRAB276" hidden="1">"$AB$277:$AB$281"</definedName>
    <definedName name="IQRAB277" hidden="1">"$AB$278:$AB$282"</definedName>
    <definedName name="IQRAB278" hidden="1">"$AB$279:$AB$283"</definedName>
    <definedName name="IQRAB279" hidden="1">"$AB$280:$AB$284"</definedName>
    <definedName name="IQRAD192" hidden="1">"$AD$193:$AD$197"</definedName>
    <definedName name="IQRAD193" hidden="1">"$AD$194:$AD$198"</definedName>
    <definedName name="IQRAD195" hidden="1">"$AD$196:$AD$200"</definedName>
    <definedName name="IQRAD198" hidden="1">"$AD$199:$AD$208"</definedName>
    <definedName name="IQRAD199" hidden="1">"$AD$200:$AD$204"</definedName>
    <definedName name="IQRAD200" hidden="1">"$AD$201:$AD$205"</definedName>
    <definedName name="IQRAD201" hidden="1">"$AD$202:$AD$206"</definedName>
    <definedName name="IQRAD202" hidden="1">"$AD$203:$AD$207"</definedName>
    <definedName name="IQRAD210" hidden="1">"$AD$211:$AD$213"</definedName>
    <definedName name="IQRAD211" hidden="1">"$AD$212:$AD$213"</definedName>
    <definedName name="IQRAD212" hidden="1">"$AD$213:$AD$214"</definedName>
    <definedName name="IQRAD213" hidden="1">"$AD$214:$AD$215"</definedName>
    <definedName name="IQRAD214" hidden="1">"$AD$215:$AD$216"</definedName>
    <definedName name="IQRAD215" hidden="1">"$AD$216:$AD$217"</definedName>
    <definedName name="IQRAD216" hidden="1">"$AD$217"</definedName>
    <definedName name="IQRAD217" hidden="1">"$AD$218:$AD$219"</definedName>
    <definedName name="IQRAD218" hidden="1">"$AD$219:$AD$221"</definedName>
    <definedName name="IQRAD219" hidden="1">"$AD$220:$AD$224"</definedName>
    <definedName name="IQRAD220" hidden="1">"$AD$221:$AD$228"</definedName>
    <definedName name="IQRAD221" hidden="1">"$AD$222:$AD$229"</definedName>
    <definedName name="IQRAD222" hidden="1">"$AD$223:$AD$224"</definedName>
    <definedName name="IQRAD223" hidden="1">"$AD$224:$AD$231"</definedName>
    <definedName name="IQRAD224" hidden="1">"$AD$225:$AD$232"</definedName>
    <definedName name="IQRAD225" hidden="1">"$AD$226:$AD$233"</definedName>
    <definedName name="IQRAD226" hidden="1">"$AD$227:$AD$234"</definedName>
    <definedName name="IQRAD227" hidden="1">"$AD$228:$AD$235"</definedName>
    <definedName name="IQRAD228" hidden="1">"$AD$229:$AD$236"</definedName>
    <definedName name="IQRAD229" hidden="1">"$AD$230:$AD$238"</definedName>
    <definedName name="IQRAD230" hidden="1">"$AD$231:$AD$232"</definedName>
    <definedName name="IQRAD231" hidden="1">"$AD$232:$AD$233"</definedName>
    <definedName name="IQRAD232" hidden="1">"$AD$233:$AD$234"</definedName>
    <definedName name="IQRAD233" hidden="1">"$AD$234:$AD$235"</definedName>
    <definedName name="IQRAD234" hidden="1">"$AD$235:$AD$236"</definedName>
    <definedName name="IQRAD235" hidden="1">"$AD$236:$AD$237"</definedName>
    <definedName name="IQRAD236" hidden="1">"$AD$237:$AD$238"</definedName>
    <definedName name="IQRAD237" hidden="1">"$AD$238:$AD$239"</definedName>
    <definedName name="IQRAD238" hidden="1">"$AD$239:$AD$240"</definedName>
    <definedName name="IQRAD239" hidden="1">"$AD$240:$AD$241"</definedName>
    <definedName name="IQRAD240" hidden="1">"$AD$241:$AD$242"</definedName>
    <definedName name="IQRAD241" hidden="1">"$AD$242:$AD$243"</definedName>
    <definedName name="IQRAD242" hidden="1">"$AD$243:$AD$244"</definedName>
    <definedName name="IQRAD243" hidden="1">"$AD$244:$AD$245"</definedName>
    <definedName name="IQRAD244" hidden="1">"$AD$245:$AD$246"</definedName>
    <definedName name="IQRAD245" hidden="1">"$AD$246:$AD$247"</definedName>
    <definedName name="IQRAD246" hidden="1">"$AD$247:$AD$248"</definedName>
    <definedName name="IQRAD247" hidden="1">"$AD$248:$AD$249"</definedName>
    <definedName name="IQRAD249" hidden="1">"$AD$250:$AD$251"</definedName>
    <definedName name="IQRAD250" hidden="1">"$AD$251:$AD$252"</definedName>
    <definedName name="IQRAD251" hidden="1">"$AD$252:$AD$253"</definedName>
    <definedName name="IQRAD252" hidden="1">"$AD$253:$AD$254"</definedName>
    <definedName name="IQRAD253" hidden="1">"$AD$254:$AD$255"</definedName>
    <definedName name="IQRAD254" hidden="1">"$AD$255:$AD$256"</definedName>
    <definedName name="IQRAD255" hidden="1">"$AD$256:$AD$257"</definedName>
    <definedName name="IQRAD256" hidden="1">"$AD$257:$AD$258"</definedName>
    <definedName name="IQRAD257" hidden="1">"$AD$258:$AD$259"</definedName>
    <definedName name="IQRAD258" hidden="1">"$AD$259:$AD$260"</definedName>
    <definedName name="IQRAD259" hidden="1">"$AD$260:$AD$261"</definedName>
    <definedName name="IQRAE248" hidden="1">"$AE$249:$AE$258"</definedName>
    <definedName name="IQRAE251" hidden="1">"$AE$252:$AE$261"</definedName>
    <definedName name="IQRAE261" hidden="1">"$AE$262:$AE$271"</definedName>
    <definedName name="IQRAF17" hidden="1">"$AF$18:$AF$270"</definedName>
    <definedName name="IQRAL3" hidden="1">"$AL$4:$AL$6"</definedName>
    <definedName name="IQRAP83" hidden="1">"$AP$84:$AP$808"</definedName>
    <definedName name="IQRAP84" hidden="1">"$AP$85:$AP$809"</definedName>
    <definedName name="IQRAV83" hidden="1">"$AV$84:$AV$1334"</definedName>
    <definedName name="IQRAW83" hidden="1">"$AW$84:$AW$1334"</definedName>
    <definedName name="IQRAZ83" hidden="1">"$AZ$84:$AZ$331"</definedName>
    <definedName name="IQRB36" hidden="1">"$B$37"</definedName>
    <definedName name="IQRB5" hidden="1">"$B$6:$B$15"</definedName>
    <definedName name="IQRB6" hidden="1">"$B$7:$B$511"</definedName>
    <definedName name="IQRB8" hidden="1">"$B$9:$B$275"</definedName>
    <definedName name="IQRBA83" hidden="1">"$BA$84:$BA$331"</definedName>
    <definedName name="IQRBB40" hidden="1">"$BB$41:$BB$45"</definedName>
    <definedName name="IQRBB83" hidden="1">"$BB$84:$BB$331"</definedName>
    <definedName name="IQRBD120" hidden="1">"$BD$121"</definedName>
    <definedName name="IQRBE120" hidden="1">"$BE$121"</definedName>
    <definedName name="IQRBF116" hidden="1">"$BF$117:$BF$123"</definedName>
    <definedName name="IQRBG110" hidden="1">"$BG$111"</definedName>
    <definedName name="IQRBG116" hidden="1">"$BG$117:$BG$124"</definedName>
    <definedName name="IQRBH110" hidden="1">"$BH$111"</definedName>
    <definedName name="IQRBH120" hidden="1">"$BH$121:$BH$135"</definedName>
    <definedName name="IQRC15" hidden="1">"$C$16:$C$23"</definedName>
    <definedName name="IQRC163" hidden="1">"$C$164:$C$168"</definedName>
    <definedName name="IQRC20" hidden="1">"$C$21:$C$30"</definedName>
    <definedName name="IQRC3" hidden="1">"$C$4:$C$8"</definedName>
    <definedName name="IQRC5" hidden="1">"$C$6:$C$15"</definedName>
    <definedName name="IQRC6" hidden="1">"$C$7:$C$259"</definedName>
    <definedName name="IQRC8" hidden="1">"$C$9:$C$275"</definedName>
    <definedName name="IQRD14" hidden="1">"$D$15:$D$16"</definedName>
    <definedName name="IQRD163" hidden="1">"$D$164:$D$168"</definedName>
    <definedName name="IQRD5" hidden="1">"$D$6:$D$15"</definedName>
    <definedName name="IQRD6" hidden="1">"$D$7:$D$259"</definedName>
    <definedName name="IQRE109" hidden="1">"$E$110:$E$114"</definedName>
    <definedName name="IQRE5" hidden="1">"$E$6:$E$15"</definedName>
    <definedName name="IQRE6" hidden="1">"$E$7:$E$259"</definedName>
    <definedName name="IQRF5" hidden="1">"$F$6:$F$15"</definedName>
    <definedName name="IQRG5" hidden="1">"$G$6:$G$15"</definedName>
    <definedName name="IQRH5" hidden="1">"$H$6:$H$15"</definedName>
    <definedName name="IQRI5" hidden="1">"$I$6:$I$15"</definedName>
    <definedName name="IQRI6" hidden="1">"$I$7:$I$511"</definedName>
    <definedName name="IQRJ201" hidden="1">"$J$202:$J$206"</definedName>
    <definedName name="IQRJ203" hidden="1">"$J$204:$J$207"</definedName>
    <definedName name="IQRJ235" hidden="1">"$J$236:$J$240"</definedName>
    <definedName name="IQRJ247" hidden="1">"$J$248:$J$252"</definedName>
    <definedName name="IQRJ264" hidden="1">"$J$265:$J$269"</definedName>
    <definedName name="IQRJ265" hidden="1">"$J$266:$J$270"</definedName>
    <definedName name="IQRJ266" hidden="1">"$J$267:$J$271"</definedName>
    <definedName name="IQRJ268" hidden="1">"$J$269:$J$273"</definedName>
    <definedName name="IQRJ269" hidden="1">"$J$270:$J$274"</definedName>
    <definedName name="IQRJ270" hidden="1">"$J$271:$J$275"</definedName>
    <definedName name="IQRJ273" hidden="1">"$J$274:$J$278"</definedName>
    <definedName name="IQRJ274" hidden="1">"$J$275:$J$279"</definedName>
    <definedName name="IQRJ276" hidden="1">"$J$277:$J$281"</definedName>
    <definedName name="IQRJ280" hidden="1">"$J$281:$J$285"</definedName>
    <definedName name="IQRJ281" hidden="1">"$J$282:$J$286"</definedName>
    <definedName name="IQRJ282" hidden="1">"$J$283:$J$287"</definedName>
    <definedName name="IQRJ283" hidden="1">"$J$284:$J$288"</definedName>
    <definedName name="IQRJ296" hidden="1">"$J$297:$J$301"</definedName>
    <definedName name="IQRJ300" hidden="1">"$J$301:$J$305"</definedName>
    <definedName name="IQRJ301" hidden="1">"$J$302:$J$306"</definedName>
    <definedName name="IQRJ302" hidden="1">"$J$303:$J$307"</definedName>
    <definedName name="IQRJ303" hidden="1">"$J$304:$J$308"</definedName>
    <definedName name="IQRJ304" hidden="1">"$J$305:$J$309"</definedName>
    <definedName name="IQRJ305" hidden="1">"$J$306:$J$310"</definedName>
    <definedName name="IQRJ306" hidden="1">"$J$307:$J$311"</definedName>
    <definedName name="IQRJ307" hidden="1">"$J$308:$J$312"</definedName>
    <definedName name="IQRJ308" hidden="1">"$J$309:$J$313"</definedName>
    <definedName name="IQRJ310" hidden="1">"$J$311:$J$315"</definedName>
    <definedName name="IQRJ311" hidden="1">"$J$312:$J$316"</definedName>
    <definedName name="IQRJ327" hidden="1">"$J$328:$J$332"</definedName>
    <definedName name="IQRJ334" hidden="1">"$J$335:$J$339"</definedName>
    <definedName name="IQRJ5" hidden="1">"$J$6:$J$15"</definedName>
    <definedName name="IQRK23" hidden="1">"$K$24:$K$123"</definedName>
    <definedName name="IQRK334" hidden="1">"$K$335:$K$339"</definedName>
    <definedName name="IQRK358" hidden="1">"$K$359:$K$363"</definedName>
    <definedName name="IQRK442" hidden="1">"$K$443:$K$447"</definedName>
    <definedName name="IQRK443" hidden="1">"$K$444:$K$448"</definedName>
    <definedName name="IQRK444" hidden="1">"$K$445:$K$449"</definedName>
    <definedName name="IQRK445" hidden="1">"$K$446:$K$450"</definedName>
    <definedName name="IQRK450" hidden="1">"$K$451:$K$455"</definedName>
    <definedName name="IQRK451" hidden="1">"$K$452:$K$456"</definedName>
    <definedName name="IQRK452" hidden="1">"$K$453:$K$457"</definedName>
    <definedName name="IQRK464" hidden="1">"$K$465:$K$469"</definedName>
    <definedName name="IQRK472" hidden="1">"$K$473:$K$477"</definedName>
    <definedName name="IQRK486" hidden="1">"$K$487:$K$491"</definedName>
    <definedName name="IQRK505" hidden="1">"$K$506:$K$510"</definedName>
    <definedName name="IQRK509" hidden="1">"$K$510:$K$514"</definedName>
    <definedName name="IQRK510" hidden="1">"$K$511:$K$515"</definedName>
    <definedName name="IQRK512" hidden="1">"$K$513:$K$517"</definedName>
    <definedName name="IQRK514" hidden="1">"$K$515:$K$519"</definedName>
    <definedName name="IQRK515" hidden="1">"$K$516:$K$520"</definedName>
    <definedName name="IQRK520" hidden="1">"$K$521:$K$525"</definedName>
    <definedName name="IQRK521" hidden="1">"$K$522:$K$526"</definedName>
    <definedName name="IQRK522" hidden="1">"$K$523:$K$527"</definedName>
    <definedName name="IQRK547" hidden="1">"$K$548:$K$549"</definedName>
    <definedName name="IQRK548" hidden="1">"$K$549:$K$553"</definedName>
    <definedName name="IQRK549" hidden="1">"$K$550:$K$554"</definedName>
    <definedName name="IQRK551" hidden="1">"$K$552:$K$556"</definedName>
    <definedName name="IQRK552" hidden="1">"$K$553:$K$557"</definedName>
    <definedName name="IQRK553" hidden="1">"$K$554:$K$558"</definedName>
    <definedName name="IQRK554" hidden="1">"$K$555:$K$559"</definedName>
    <definedName name="IQRK555" hidden="1">"$K$556:$K$560"</definedName>
    <definedName name="IQRK557" hidden="1">"$K$558:$K$561"</definedName>
    <definedName name="IQRK558" hidden="1">"$K$559:$K$562"</definedName>
    <definedName name="IQRK559" hidden="1">"$K$560:$K$563"</definedName>
    <definedName name="IQRK560" hidden="1">"$K$561:$K$564"</definedName>
    <definedName name="IQRK562" hidden="1">"$K$563:$K$566"</definedName>
    <definedName name="IQRK563" hidden="1">"$K$564:$K$567"</definedName>
    <definedName name="IQRK564" hidden="1">"$K$565:$K$568"</definedName>
    <definedName name="IQRK565" hidden="1">"$K$566:$K$569"</definedName>
    <definedName name="IQRK566" hidden="1">"$K$567:$K$571"</definedName>
    <definedName name="IQRK567" hidden="1">"$K$568:$K$569"</definedName>
    <definedName name="IQRK568" hidden="1">"$K$569:$K$570"</definedName>
    <definedName name="IQRK569" hidden="1">"$K$570:$K$571"</definedName>
    <definedName name="IQRK570" hidden="1">"$K$571:$K$573"</definedName>
    <definedName name="IQRK571" hidden="1">"$K$572:$K$575"</definedName>
    <definedName name="IQRK572" hidden="1">"$K$573:$K$574"</definedName>
    <definedName name="IQRK573" hidden="1">"$K$574:$K$578"</definedName>
    <definedName name="IQRK574" hidden="1">"$K$575:$K$578"</definedName>
    <definedName name="IQRK575" hidden="1">"$K$576:$K$577"</definedName>
    <definedName name="IQRK576" hidden="1">"$K$577"</definedName>
    <definedName name="IQRK577" hidden="1">"$K$578"</definedName>
    <definedName name="IQRK578" hidden="1">"$K$579"</definedName>
    <definedName name="IQRK579" hidden="1">"$K$580:$K$581"</definedName>
    <definedName name="IQRK580" hidden="1">"$K$581:$K$582"</definedName>
    <definedName name="IQRK581" hidden="1">"$K$582"</definedName>
    <definedName name="IQRK582" hidden="1">"$K$583:$K$587"</definedName>
    <definedName name="IQRK583" hidden="1">"$K$584:$K$588"</definedName>
    <definedName name="IQRK584" hidden="1">"$K$585:$K$589"</definedName>
    <definedName name="IQRK585" hidden="1">"$K$586:$K$590"</definedName>
    <definedName name="IQRK586" hidden="1">"$K$587:$K$591"</definedName>
    <definedName name="IQRK587" hidden="1">"$K$588:$K$592"</definedName>
    <definedName name="IQRK588" hidden="1">"$K$589:$K$593"</definedName>
    <definedName name="IQRK589" hidden="1">"$K$590:$K$594"</definedName>
    <definedName name="IQRK590" hidden="1">"$K$591:$K$595"</definedName>
    <definedName name="IQRK591" hidden="1">"$K$592:$K$596"</definedName>
    <definedName name="IQRK592" hidden="1">"$K$593:$K$596"</definedName>
    <definedName name="IQRK593" hidden="1">"$K$594:$K$596"</definedName>
    <definedName name="IQRK594" hidden="1">"$K$595:$K$597"</definedName>
    <definedName name="IQRK595" hidden="1">"$K$596:$K$600"</definedName>
    <definedName name="IQRK596" hidden="1">"$K$597:$K$601"</definedName>
    <definedName name="IQRK597" hidden="1">"$K$598:$K$602"</definedName>
    <definedName name="IQRK598" hidden="1">"$K$599:$K$603"</definedName>
    <definedName name="IQRK599" hidden="1">"$K$600:$K$604"</definedName>
    <definedName name="IQRK600" hidden="1">"$K$601:$K$605"</definedName>
    <definedName name="IQRK601" hidden="1">"$K$602:$K$606"</definedName>
    <definedName name="IQRK602" hidden="1">"$K$603:$K$607"</definedName>
    <definedName name="IQRK603" hidden="1">"$K$604:$K$607"</definedName>
    <definedName name="IQRK604" hidden="1">"$K$605:$K$609"</definedName>
    <definedName name="IQRK605" hidden="1">"$K$606:$K$610"</definedName>
    <definedName name="IQRK606" hidden="1">"$K$607:$K$609"</definedName>
    <definedName name="IQRK607" hidden="1">"$K$608:$K$610"</definedName>
    <definedName name="IQRK608" hidden="1">"$K$609:$K$611"</definedName>
    <definedName name="IQRK609" hidden="1">"$K$610:$K$612"</definedName>
    <definedName name="IQRK610" hidden="1">"$K$611:$K$615"</definedName>
    <definedName name="IQRK611" hidden="1">"$K$612:$K$616"</definedName>
    <definedName name="IQRK612" hidden="1">"$K$613:$K$617"</definedName>
    <definedName name="IQRK613" hidden="1">"$K$614:$K$618"</definedName>
    <definedName name="IQRK614" hidden="1">"$K$615:$K$617"</definedName>
    <definedName name="IQRK615" hidden="1">"$K$616:$K$620"</definedName>
    <definedName name="IQRK616" hidden="1">"$K$617:$K$621"</definedName>
    <definedName name="IQRK617" hidden="1">"$K$618:$K$621"</definedName>
    <definedName name="IQRK618" hidden="1">"$K$619:$K$622"</definedName>
    <definedName name="IQRK619" hidden="1">"$K$620:$K$623"</definedName>
    <definedName name="IQRK620" hidden="1">"$K$621:$K$624"</definedName>
    <definedName name="IQRK621" hidden="1">"$K$622:$K$626"</definedName>
    <definedName name="IQRK623" hidden="1">"$K$624:$K$627"</definedName>
    <definedName name="IQRK624" hidden="1">"$K$625:$K$628"</definedName>
    <definedName name="IQRK627" hidden="1">"$K$628:$K$631"</definedName>
    <definedName name="IQRK628" hidden="1">"$K$629:$K$632"</definedName>
    <definedName name="IQRK629" hidden="1">"$K$630:$K$633"</definedName>
    <definedName name="IQRK630" hidden="1">"$K$631:$K$634"</definedName>
    <definedName name="IQRK631" hidden="1">"$K$632:$K$635"</definedName>
    <definedName name="IQRK632" hidden="1">"$K$633:$K$636"</definedName>
    <definedName name="IQRK634" hidden="1">"$K$635:$K$638"</definedName>
    <definedName name="IQRK636" hidden="1">"$K$637:$K$640"</definedName>
    <definedName name="IQRK637" hidden="1">"$K$638:$K$641"</definedName>
    <definedName name="IQRK641" hidden="1">"$K$642:$K$645"</definedName>
    <definedName name="IQRK642" hidden="1">"$K$643:$K$646"</definedName>
    <definedName name="IQRK644" hidden="1">"$K$645:$K$648"</definedName>
    <definedName name="IQRK645" hidden="1">"$K$646:$K$649"</definedName>
    <definedName name="IQRK646" hidden="1">"$K$647:$K$650"</definedName>
    <definedName name="IQRK647" hidden="1">"$K$648:$K$651"</definedName>
    <definedName name="IQRK650" hidden="1">"$K$651:$K$654"</definedName>
    <definedName name="IQRK651" hidden="1">"$K$652:$K$655"</definedName>
    <definedName name="IQRK652" hidden="1">"$K$653:$K$656"</definedName>
    <definedName name="IQRK653" hidden="1">"$K$654:$K$657"</definedName>
    <definedName name="IQRK654" hidden="1">"$K$655:$K$658"</definedName>
    <definedName name="IQRK656" hidden="1">"$K$657:$K$660"</definedName>
    <definedName name="IQRK661" hidden="1">"$K$662:$K$665"</definedName>
    <definedName name="IQRK662" hidden="1">"$K$663:$K$666"</definedName>
    <definedName name="IQRL14" hidden="1">"$L$15:$L$1962"</definedName>
    <definedName name="IQRL23" hidden="1">"$L$24:$L$123"</definedName>
    <definedName name="IQRL597" hidden="1">"$L$598:$L$602"</definedName>
    <definedName name="IQRL601" hidden="1">"$L$602:$L$606"</definedName>
    <definedName name="IQRL603" hidden="1">"$L$604:$L$608"</definedName>
    <definedName name="IQRL606" hidden="1">"$L$607:$L$611"</definedName>
    <definedName name="IQRL616" hidden="1">"$L$617:$L$621"</definedName>
    <definedName name="IQRL643" hidden="1">"$L$644:$L$648"</definedName>
    <definedName name="IQRL644" hidden="1">"$L$645:$L$649"</definedName>
    <definedName name="IQRL648" hidden="1">"$L$649:$L$653"</definedName>
    <definedName name="IQRL649" hidden="1">"$L$650:$L$654"</definedName>
    <definedName name="IQRL650" hidden="1">"$L$651:$L$655"</definedName>
    <definedName name="IQRL658" hidden="1">"$L$659:$L$663"</definedName>
    <definedName name="IQRL694" hidden="1">"$L$695:$L$699"</definedName>
    <definedName name="IQRL751" hidden="1">"$L$752:$L$756"</definedName>
    <definedName name="IQRL752" hidden="1">"$L$753:$L$757"</definedName>
    <definedName name="IQRL753" hidden="1">"$L$754:$L$758"</definedName>
    <definedName name="IQRL754" hidden="1">"$L$755:$L$759"</definedName>
    <definedName name="IQRL755" hidden="1">"$L$756:$L$760"</definedName>
    <definedName name="IQRL756" hidden="1">"$L$757:$L$761"</definedName>
    <definedName name="IQRL757" hidden="1">"$L$758:$L$762"</definedName>
    <definedName name="IQRL758" hidden="1">"$L$759:$L$763"</definedName>
    <definedName name="IQRL759" hidden="1">"$L$760:$L$764"</definedName>
    <definedName name="IQRL761" hidden="1">"$L$762:$L$766"</definedName>
    <definedName name="IQRL762" hidden="1">"$L$763:$L$767"</definedName>
    <definedName name="IQRL768" hidden="1">"$L$769:$L$773"</definedName>
    <definedName name="IQRM23" hidden="1">"$M$24:$M$123"</definedName>
    <definedName name="IQRS252" hidden="1">"$S$253:$S$257"</definedName>
    <definedName name="IQRS255" hidden="1">"$S$256:$S$260"</definedName>
    <definedName name="IQRS258" hidden="1">"$S$259:$S$263"</definedName>
    <definedName name="IQRS260" hidden="1">"$S$261:$S$265"</definedName>
    <definedName name="IQRS261" hidden="1">"$S$262:$S$266"</definedName>
    <definedName name="IQRS263" hidden="1">"$S$264:$S$268"</definedName>
    <definedName name="IQRS264" hidden="1">"$S$265:$S$269"</definedName>
    <definedName name="IQRS265" hidden="1">"$S$266:$S$270"</definedName>
    <definedName name="IQRS266" hidden="1">"$S$267:$S$271"</definedName>
    <definedName name="IQRS267" hidden="1">"$S$268:$S$272"</definedName>
    <definedName name="IQRS270" hidden="1">"$S$271:$S$274"</definedName>
    <definedName name="IQRS271" hidden="1">"$S$272:$S$276"</definedName>
    <definedName name="IQRS272" hidden="1">"$S$273:$S$277"</definedName>
    <definedName name="IQRS273" hidden="1">"$S$274:$S$278"</definedName>
    <definedName name="IQRS274" hidden="1">"$S$275:$S$279"</definedName>
    <definedName name="IQRS275" hidden="1">"$S$276:$S$280"</definedName>
    <definedName name="IQRS276" hidden="1">"$S$277:$S$281"</definedName>
    <definedName name="IQRS277" hidden="1">"$S$278:$S$282"</definedName>
    <definedName name="IQRS278" hidden="1">"$S$279:$S$283"</definedName>
    <definedName name="IQRS279" hidden="1">"$S$280:$S$284"</definedName>
    <definedName name="IQRS280" hidden="1">"$S$281:$S$285"</definedName>
    <definedName name="IQRS281" hidden="1">"$S$282:$S$286"</definedName>
    <definedName name="IQRS282" hidden="1">"$S$283:$S$287"</definedName>
    <definedName name="IQRS283" hidden="1">"$S$284:$S$288"</definedName>
    <definedName name="IQRS284" hidden="1">"$S$285:$S$289"</definedName>
    <definedName name="IQRS285" hidden="1">"$S$286:$S$290"</definedName>
    <definedName name="IQRS286" hidden="1">"$S$287:$S$291"</definedName>
    <definedName name="IQRS287" hidden="1">"$S$288:$S$292"</definedName>
    <definedName name="IQRS288" hidden="1">"$S$289:$S$293"</definedName>
    <definedName name="IQRS289" hidden="1">"$S$290:$S$294"</definedName>
    <definedName name="IQRS290" hidden="1">"$S$291:$S$295"</definedName>
    <definedName name="IQRS291" hidden="1">"$S$292:$S$296"</definedName>
    <definedName name="IQRS292" hidden="1">"$S$293:$S$297"</definedName>
    <definedName name="IQRS293" hidden="1">"$S$294:$S$298"</definedName>
    <definedName name="IQRS294" hidden="1">"$S$295:$S$299"</definedName>
    <definedName name="IQRS295" hidden="1">"$S$296:$S$300"</definedName>
    <definedName name="IQRS296" hidden="1">"$S$297:$S$301"</definedName>
    <definedName name="IQRS297" hidden="1">"$S$298:$S$302"</definedName>
    <definedName name="IQRS298" hidden="1">"$S$299:$S$303"</definedName>
    <definedName name="IQRS299" hidden="1">"$S$300:$S$304"</definedName>
    <definedName name="IQRS300" hidden="1">"$S$301:$S$305"</definedName>
    <definedName name="IQRS301" hidden="1">"$S$302:$S$306"</definedName>
    <definedName name="IQRS302" hidden="1">"$S$303:$S$307"</definedName>
    <definedName name="IQRS303" hidden="1">"$S$304:$S$308"</definedName>
    <definedName name="IQRS304" hidden="1">"$S$305:$S$309"</definedName>
    <definedName name="IQRS305" hidden="1">"$S$306:$S$310"</definedName>
    <definedName name="IQRS306" hidden="1">"$S$307:$S$311"</definedName>
    <definedName name="IQRS307" hidden="1">"$S$308:$S$312"</definedName>
    <definedName name="IQRS309" hidden="1">"$S$310:$S$314"</definedName>
    <definedName name="IQRS310" hidden="1">"$S$311:$S$315"</definedName>
    <definedName name="IQRS311" hidden="1">"$S$312:$S$316"</definedName>
    <definedName name="IQRS312" hidden="1">"$S$313:$S$317"</definedName>
    <definedName name="IQRS313" hidden="1">"$S$314:$S$318"</definedName>
    <definedName name="IQRS314" hidden="1">"$S$315:$S$319"</definedName>
    <definedName name="IQRS315" hidden="1">"$S$316:$S$320"</definedName>
    <definedName name="IQRS316" hidden="1">"$S$317:$S$321"</definedName>
    <definedName name="IQRS317" hidden="1">"$S$318:$S$322"</definedName>
    <definedName name="IQRS318" hidden="1">"$S$319:$S$323"</definedName>
    <definedName name="IQRS319" hidden="1">"$S$320:$S$324"</definedName>
    <definedName name="IQRT109" hidden="1">"$T$110:$T$114"</definedName>
    <definedName name="IQRT110" hidden="1">"$T$111:$T$115"</definedName>
    <definedName name="IQRT114" hidden="1">"$T$115:$T$119"</definedName>
    <definedName name="IQRT115" hidden="1">"$T$116:$T$120"</definedName>
    <definedName name="IQRT117" hidden="1">"$T$118:$T$122"</definedName>
    <definedName name="IQRT128" hidden="1">"$T$129:$T$133"</definedName>
    <definedName name="IQRT129" hidden="1">"$T$130:$T$134"</definedName>
    <definedName name="IQRT130" hidden="1">"$T$131:$T$135"</definedName>
    <definedName name="IQRT131" hidden="1">"$T$132:$T$136"</definedName>
    <definedName name="IQRT133" hidden="1">"$T$134:$T$138"</definedName>
    <definedName name="IQRT134" hidden="1">"$T$135:$T$139"</definedName>
    <definedName name="IQRT136" hidden="1">"$T$137:$T$141"</definedName>
    <definedName name="IQRT144" hidden="1">"$T$145:$T$149"</definedName>
    <definedName name="IQRT147" hidden="1">"$T$148:$T$152"</definedName>
    <definedName name="IQRT148" hidden="1">"$T$149:$T$153"</definedName>
    <definedName name="IQRT149" hidden="1">"$T$150:$T$154"</definedName>
    <definedName name="IQRT150" hidden="1">"$T$151:$T$155"</definedName>
    <definedName name="IQRT151" hidden="1">"$T$152:$T$156"</definedName>
    <definedName name="IQRT152" hidden="1">"$T$153:$T$157"</definedName>
    <definedName name="IQRT153" hidden="1">"$T$154:$T$158"</definedName>
    <definedName name="IQRT154" hidden="1">"$T$155:$T$159"</definedName>
    <definedName name="IQRT155" hidden="1">"$T$156:$T$160"</definedName>
    <definedName name="IQRT156" hidden="1">"$T$157:$T$161"</definedName>
    <definedName name="IQRT158" hidden="1">"$T$159:$T$163"</definedName>
    <definedName name="IQRT159" hidden="1">"$T$160:$T$164"</definedName>
    <definedName name="IQRT163" hidden="1">"$T$164:$T$168"</definedName>
    <definedName name="IQRT167" hidden="1">"$T$168:$T$172"</definedName>
    <definedName name="IQRT168" hidden="1">"$T$169:$T$173"</definedName>
    <definedName name="IQRT169" hidden="1">"$T$170:$T$174"</definedName>
    <definedName name="IQRT170" hidden="1">"$T$171:$T$175"</definedName>
    <definedName name="IQRT171" hidden="1">"$T$172:$T$176"</definedName>
    <definedName name="IQRT172" hidden="1">"$T$173:$T$177"</definedName>
    <definedName name="IQRT173" hidden="1">"$T$174:$T$178"</definedName>
    <definedName name="IQRT174" hidden="1">"$T$175:$T$179"</definedName>
    <definedName name="IQRT175" hidden="1">"$T$176:$T$180"</definedName>
    <definedName name="IQRT177" hidden="1">"$T$178:$T$182"</definedName>
    <definedName name="IQRT178" hidden="1">"$T$179:$T$183"</definedName>
    <definedName name="IQRT182" hidden="1">"$T$183:$T$187"</definedName>
    <definedName name="IQRT194" hidden="1">"$T$195:$T$199"</definedName>
    <definedName name="IQRT201" hidden="1">"$T$202:$T$206"</definedName>
    <definedName name="IQRT252" hidden="1">"$T$253:$T$257"</definedName>
    <definedName name="IQRT255" hidden="1">"$T$256:$T$260"</definedName>
    <definedName name="IQRT258" hidden="1">"$T$259:$T$263"</definedName>
    <definedName name="IQRT270" hidden="1">"$T$271:$T$274"</definedName>
    <definedName name="IQRT271" hidden="1">"$T$272:$T$276"</definedName>
    <definedName name="IQRT272" hidden="1">"$T$273:$T$277"</definedName>
    <definedName name="IQRT273" hidden="1">"$T$274:$T$278"</definedName>
    <definedName name="IQRT274" hidden="1">"$T$275:$T$279"</definedName>
    <definedName name="IQRT275" hidden="1">"$T$276:$T$280"</definedName>
    <definedName name="IQRT276" hidden="1">"$T$277:$T$281"</definedName>
    <definedName name="IQRT277" hidden="1">"$T$278:$T$282"</definedName>
    <definedName name="IQRT278" hidden="1">"$T$279:$T$283"</definedName>
    <definedName name="IQRT279" hidden="1">"$T$280:$T$284"</definedName>
    <definedName name="IQRT280" hidden="1">"$T$281:$T$285"</definedName>
    <definedName name="IQRT281" hidden="1">"$T$282:$T$286"</definedName>
    <definedName name="IQRT282" hidden="1">"$T$283:$T$287"</definedName>
    <definedName name="IQRT283" hidden="1">"$T$284:$T$288"</definedName>
    <definedName name="IQRT284" hidden="1">"$T$285:$T$289"</definedName>
    <definedName name="IQRT285" hidden="1">"$T$286:$T$290"</definedName>
    <definedName name="IQRT286" hidden="1">"$T$287:$T$291"</definedName>
    <definedName name="IQRT287" hidden="1">"$T$288:$T$292"</definedName>
    <definedName name="IQRT288" hidden="1">"$T$289:$T$293"</definedName>
    <definedName name="IQRT289" hidden="1">"$T$290:$T$294"</definedName>
    <definedName name="IQRT290" hidden="1">"$T$291:$T$295"</definedName>
    <definedName name="IQRT291" hidden="1">"$T$292:$T$296"</definedName>
    <definedName name="IQRT292" hidden="1">"$T$293:$T$297"</definedName>
    <definedName name="IQRT293" hidden="1">"$T$294:$T$298"</definedName>
    <definedName name="IQRT294" hidden="1">"$T$295:$T$299"</definedName>
    <definedName name="IQRT295" hidden="1">"$T$296:$T$300"</definedName>
    <definedName name="IQRT296" hidden="1">"$T$297:$T$301"</definedName>
    <definedName name="IQRT297" hidden="1">"$T$298:$T$302"</definedName>
    <definedName name="IQRT298" hidden="1">"$T$299:$T$303"</definedName>
    <definedName name="IQRT299" hidden="1">"$T$300:$T$304"</definedName>
    <definedName name="IQRT300" hidden="1">"$T$301:$T$305"</definedName>
    <definedName name="IQRT301" hidden="1">"$T$302:$T$306"</definedName>
    <definedName name="IQRT302" hidden="1">"$T$303:$T$307"</definedName>
    <definedName name="IQRT303" hidden="1">"$T$304:$T$308"</definedName>
    <definedName name="IQRT304" hidden="1">"$T$305:$T$309"</definedName>
    <definedName name="IQRT305" hidden="1">"$T$306:$T$310"</definedName>
    <definedName name="IQRT306" hidden="1">"$T$307:$T$311"</definedName>
    <definedName name="IQRT307" hidden="1">"$T$308:$T$312"</definedName>
    <definedName name="IQRT308" hidden="1">"$T$309:$T$313"</definedName>
    <definedName name="IQRT309" hidden="1">"$T$310:$T$314"</definedName>
    <definedName name="IQRT310" hidden="1">"$T$311:$T$315"</definedName>
    <definedName name="IQRT311" hidden="1">"$T$312:$T$316"</definedName>
    <definedName name="IQRT312" hidden="1">"$T$313:$T$317"</definedName>
    <definedName name="IQRT313" hidden="1">"$T$314:$T$318"</definedName>
    <definedName name="IQRT314" hidden="1">"$T$315:$T$319"</definedName>
    <definedName name="IQRT315" hidden="1">"$T$316:$T$320"</definedName>
    <definedName name="IQRT316" hidden="1">"$T$317:$T$321"</definedName>
    <definedName name="IQRT317" hidden="1">"$T$318:$T$322"</definedName>
    <definedName name="IQRT318" hidden="1">"$T$319:$T$323"</definedName>
    <definedName name="IQRT319" hidden="1">"$T$320:$T$324"</definedName>
    <definedName name="IQRT321" hidden="1">"$T$322:$T$326"</definedName>
    <definedName name="IQRT348" hidden="1">"$T$349:$T$353"</definedName>
    <definedName name="IQRT349" hidden="1">"$T$350:$T$354"</definedName>
    <definedName name="IQRT353" hidden="1">"$T$354:$T$358"</definedName>
    <definedName name="IQRT354" hidden="1">"$T$355:$T$359"</definedName>
    <definedName name="IQRT355" hidden="1">"$T$356:$T$360"</definedName>
    <definedName name="IQRT363" hidden="1">"$T$364:$T$368"</definedName>
    <definedName name="IQRT399" hidden="1">"$T$400:$T$404"</definedName>
    <definedName name="IQRT456" hidden="1">"$T$457:$T$461"</definedName>
    <definedName name="IQRT457" hidden="1">"$T$458:$T$462"</definedName>
    <definedName name="IQRT458" hidden="1">"$T$459:$T$463"</definedName>
    <definedName name="IQRT459" hidden="1">"$T$460:$T$464"</definedName>
    <definedName name="IQRT460" hidden="1">"$T$461:$T$465"</definedName>
    <definedName name="IQRT461" hidden="1">"$T$462:$T$466"</definedName>
    <definedName name="IQRT462" hidden="1">"$T$463:$T$467"</definedName>
    <definedName name="IQRT463" hidden="1">"$T$464:$T$468"</definedName>
    <definedName name="IQRT464" hidden="1">"$T$465:$T$469"</definedName>
    <definedName name="IQRT466" hidden="1">"$T$467:$T$471"</definedName>
    <definedName name="IQRT467" hidden="1">"$T$468:$T$472"</definedName>
    <definedName name="IQRT473" hidden="1">"$T$474:$T$478"</definedName>
    <definedName name="IQRU182" hidden="1">"$U$183:$U$187"</definedName>
    <definedName name="IQRU201" hidden="1">"$U$202:$U$206"</definedName>
    <definedName name="IQRU206" hidden="1">"$U$207:$U$211"</definedName>
    <definedName name="IQRU225" hidden="1">"$U$226:$U$230"</definedName>
    <definedName name="IQRU231" hidden="1">"$U$232"</definedName>
    <definedName name="IQRU233" hidden="1">"$U$234"</definedName>
    <definedName name="IQRU234" hidden="1">"$U$235"</definedName>
    <definedName name="IQRU245" hidden="1">"$U$246"</definedName>
    <definedName name="IQRU246" hidden="1">"$U$247"</definedName>
    <definedName name="IQRU252" hidden="1">"$U$253:$U$257"</definedName>
    <definedName name="IQRU255" hidden="1">"$U$256:$U$260"</definedName>
    <definedName name="IQRU258" hidden="1">"$U$259:$U$263"</definedName>
    <definedName name="IQRU270" hidden="1">"$U$271:$U$274"</definedName>
    <definedName name="IQRU271" hidden="1">"$U$272:$U$276"</definedName>
    <definedName name="IQRU272" hidden="1">"$U$273:$U$277"</definedName>
    <definedName name="IQRU273" hidden="1">"$U$274:$U$278"</definedName>
    <definedName name="IQRU274" hidden="1">"$U$275:$U$279"</definedName>
    <definedName name="IQRU275" hidden="1">"$U$276:$U$280"</definedName>
    <definedName name="IQRU276" hidden="1">"$U$277:$U$281"</definedName>
    <definedName name="IQRU277" hidden="1">"$U$278:$U$282"</definedName>
    <definedName name="IQRU278" hidden="1">"$U$279:$U$283"</definedName>
    <definedName name="IQRU279" hidden="1">"$U$280:$U$284"</definedName>
    <definedName name="IQRU280" hidden="1">"$U$281:$U$285"</definedName>
    <definedName name="IQRU281" hidden="1">"$U$282:$U$286"</definedName>
    <definedName name="IQRU282" hidden="1">"$U$283:$U$287"</definedName>
    <definedName name="IQRU283" hidden="1">"$U$284:$U$288"</definedName>
    <definedName name="IQRU284" hidden="1">"$U$285:$U$289"</definedName>
    <definedName name="IQRU285" hidden="1">"$U$286:$U$290"</definedName>
    <definedName name="IQRU286" hidden="1">"$U$287:$U$291"</definedName>
    <definedName name="IQRU287" hidden="1">"$U$288:$U$292"</definedName>
    <definedName name="IQRU288" hidden="1">"$U$289:$U$293"</definedName>
    <definedName name="IQRU289" hidden="1">"$U$290:$U$294"</definedName>
    <definedName name="IQRU290" hidden="1">"$U$291:$U$295"</definedName>
    <definedName name="IQRU291" hidden="1">"$U$292:$U$296"</definedName>
    <definedName name="IQRU292" hidden="1">"$U$293:$U$297"</definedName>
    <definedName name="IQRU293" hidden="1">"$U$294:$U$298"</definedName>
    <definedName name="IQRU294" hidden="1">"$U$295:$U$299"</definedName>
    <definedName name="IQRU295" hidden="1">"$U$296:$U$300"</definedName>
    <definedName name="IQRU296" hidden="1">"$U$297:$U$301"</definedName>
    <definedName name="IQRU297" hidden="1">"$U$298:$U$302"</definedName>
    <definedName name="IQRU298" hidden="1">"$U$299:$U$303"</definedName>
    <definedName name="IQRU299" hidden="1">"$U$300:$U$304"</definedName>
    <definedName name="IQRU300" hidden="1">"$U$301:$U$305"</definedName>
    <definedName name="IQRU301" hidden="1">"$U$302:$U$306"</definedName>
    <definedName name="IQRU302" hidden="1">"$U$303:$U$307"</definedName>
    <definedName name="IQRU303" hidden="1">"$U$304:$U$308"</definedName>
    <definedName name="IQRU304" hidden="1">"$U$305:$U$309"</definedName>
    <definedName name="IQRU305" hidden="1">"$U$306:$U$310"</definedName>
    <definedName name="IQRU306" hidden="1">"$U$307:$U$311"</definedName>
    <definedName name="IQRU307" hidden="1">"$U$308:$U$312"</definedName>
    <definedName name="IQRU308" hidden="1">"$U$309:$U$313"</definedName>
    <definedName name="IQRU309" hidden="1">"$U$310:$U$314"</definedName>
    <definedName name="IQRU310" hidden="1">"$U$311:$U$315"</definedName>
    <definedName name="IQRU311" hidden="1">"$U$312:$U$316"</definedName>
    <definedName name="IQRU312" hidden="1">"$U$313:$U$317"</definedName>
    <definedName name="IQRU313" hidden="1">"$U$314:$U$318"</definedName>
    <definedName name="IQRU314" hidden="1">"$U$315:$U$319"</definedName>
    <definedName name="IQRU315" hidden="1">"$U$316:$U$320"</definedName>
    <definedName name="IQRU316" hidden="1">"$U$317:$U$321"</definedName>
    <definedName name="IQRU317" hidden="1">"$U$318:$U$322"</definedName>
    <definedName name="IQRU318" hidden="1">"$U$319:$U$323"</definedName>
    <definedName name="IQRU319" hidden="1">"$U$320:$U$324"</definedName>
    <definedName name="IQRU320" hidden="1">"$U$321:$U$325"</definedName>
    <definedName name="IQRU321" hidden="1">"$U$322:$U$326"</definedName>
    <definedName name="IQRU331" hidden="1">"$U$332:$U$336"</definedName>
    <definedName name="IQRU334" hidden="1">"$U$335:$U$339"</definedName>
    <definedName name="IQRU339" hidden="1">"$U$340:$U$344"</definedName>
    <definedName name="IQRU348" hidden="1">"$U$349:$U$353"</definedName>
    <definedName name="IQRU349" hidden="1">"$U$350:$U$354"</definedName>
    <definedName name="IQRU353" hidden="1">"$U$354:$U$358"</definedName>
    <definedName name="IQRU354" hidden="1">"$U$355:$U$359"</definedName>
    <definedName name="IQRU355" hidden="1">"$U$356:$U$360"</definedName>
    <definedName name="IQRU357" hidden="1">"$U$358:$U$362"</definedName>
    <definedName name="IQRU358" hidden="1">"$U$359:$U$363"</definedName>
    <definedName name="IQRU360" hidden="1">"$U$361:$U$365"</definedName>
    <definedName name="IQRU362" hidden="1">"$U$363:$U$367"</definedName>
    <definedName name="IQRU363" hidden="1">"$U$364:$U$368"</definedName>
    <definedName name="IQRU368" hidden="1">"$U$369:$U$373"</definedName>
    <definedName name="IQRU369" hidden="1">"$U$370:$U$374"</definedName>
    <definedName name="IQRU372" hidden="1">"$U$373:$U$377"</definedName>
    <definedName name="IQRU376" hidden="1">"$U$377:$U$381"</definedName>
    <definedName name="IQRU377" hidden="1">"$U$378:$U$382"</definedName>
    <definedName name="IQRU379" hidden="1">"$U$380:$U$384"</definedName>
    <definedName name="IQRU381" hidden="1">"$U$382:$U$386"</definedName>
    <definedName name="IQRU382" hidden="1">"$U$383:$U$387"</definedName>
    <definedName name="IQRU387" hidden="1">"$U$388:$U$392"</definedName>
    <definedName name="IQRU388" hidden="1">"$U$389:$U$393"</definedName>
    <definedName name="IQRU399" hidden="1">"$U$400:$U$404"</definedName>
    <definedName name="IQRU456" hidden="1">"$U$457:$U$461"</definedName>
    <definedName name="IQRU457" hidden="1">"$U$458:$U$462"</definedName>
    <definedName name="IQRU458" hidden="1">"$U$459:$U$463"</definedName>
    <definedName name="IQRU459" hidden="1">"$U$460:$U$464"</definedName>
    <definedName name="IQRU460" hidden="1">"$U$461:$U$465"</definedName>
    <definedName name="IQRU461" hidden="1">"$U$462:$U$466"</definedName>
    <definedName name="IQRU462" hidden="1">"$U$463:$U$467"</definedName>
    <definedName name="IQRU463" hidden="1">"$U$464:$U$468"</definedName>
    <definedName name="IQRU464" hidden="1">"$U$465:$U$469"</definedName>
    <definedName name="IQRU466" hidden="1">"$U$467:$U$471"</definedName>
    <definedName name="IQRU467" hidden="1">"$U$468:$U$472"</definedName>
    <definedName name="IQRU473" hidden="1">"$U$474:$U$478"</definedName>
    <definedName name="IQRV163" hidden="1">"$V$164:$V$168"</definedName>
    <definedName name="IQRV197" hidden="1">"$V$198:$V$207"</definedName>
    <definedName name="IQRV213" hidden="1">"$V$214:$V$223"</definedName>
    <definedName name="IQRV214" hidden="1">"$V$215:$V$224"</definedName>
    <definedName name="IQRV215" hidden="1">"$V$216:$V$225"</definedName>
    <definedName name="IQRV217" hidden="1">"$V$218:$V$227"</definedName>
    <definedName name="IQRV220" hidden="1">"$V$221:$V$230"</definedName>
    <definedName name="IQRV221" hidden="1">"$V$222:$V$231"</definedName>
    <definedName name="IQRV224" hidden="1">"$V$225:$V$234"</definedName>
    <definedName name="IQRV225" hidden="1">"$V$226:$V$235"</definedName>
    <definedName name="IQRV233" hidden="1">"$V$234:$V$243"</definedName>
    <definedName name="IQRV234" hidden="1">"$V$235:$V$244"</definedName>
    <definedName name="IQRV252" hidden="1">"$V$253:$V$257"</definedName>
    <definedName name="IQRV255" hidden="1">"$V$256:$V$260"</definedName>
    <definedName name="IQRV258" hidden="1">"$V$259:$V$263"</definedName>
    <definedName name="IQRV270" hidden="1">"$V$271:$V$274"</definedName>
    <definedName name="IQRV271" hidden="1">"$V$272:$V$276"</definedName>
    <definedName name="IQRV272" hidden="1">"$V$273:$V$277"</definedName>
    <definedName name="IQRV273" hidden="1">"$V$274:$V$278"</definedName>
    <definedName name="IQRV274" hidden="1">"$V$275:$V$279"</definedName>
    <definedName name="IQRV275" hidden="1">"$V$276:$V$280"</definedName>
    <definedName name="IQRV276" hidden="1">"$V$277:$V$281"</definedName>
    <definedName name="IQRV277" hidden="1">"$V$278:$V$282"</definedName>
    <definedName name="IQRV278" hidden="1">"$V$279:$V$283"</definedName>
    <definedName name="IQRV279" hidden="1">"$V$280:$V$284"</definedName>
    <definedName name="IQRV280" hidden="1">"$V$281:$V$285"</definedName>
    <definedName name="IQRV281" hidden="1">"$V$282:$V$286"</definedName>
    <definedName name="IQRV282" hidden="1">"$V$283:$V$287"</definedName>
    <definedName name="IQRV283" hidden="1">"$V$284:$V$288"</definedName>
    <definedName name="IQRV284" hidden="1">"$V$285:$V$289"</definedName>
    <definedName name="IQRV285" hidden="1">"$V$286:$V$290"</definedName>
    <definedName name="IQRV286" hidden="1">"$V$287:$V$291"</definedName>
    <definedName name="IQRV287" hidden="1">"$V$288:$V$292"</definedName>
    <definedName name="IQRV288" hidden="1">"$V$289:$V$293"</definedName>
    <definedName name="IQRV289" hidden="1">"$V$290:$V$294"</definedName>
    <definedName name="IQRV290" hidden="1">"$V$291:$V$295"</definedName>
    <definedName name="IQRV291" hidden="1">"$V$292:$V$296"</definedName>
    <definedName name="IQRV292" hidden="1">"$V$293:$V$297"</definedName>
    <definedName name="IQRV293" hidden="1">"$V$294:$V$298"</definedName>
    <definedName name="IQRV294" hidden="1">"$V$295:$V$299"</definedName>
    <definedName name="IQRV295" hidden="1">"$V$296:$V$300"</definedName>
    <definedName name="IQRV296" hidden="1">"$V$297:$V$301"</definedName>
    <definedName name="IQRV297" hidden="1">"$V$298:$V$302"</definedName>
    <definedName name="IQRV298" hidden="1">"$V$299:$V$303"</definedName>
    <definedName name="IQRV299" hidden="1">"$V$300:$V$304"</definedName>
    <definedName name="IQRV300" hidden="1">"$V$301:$V$305"</definedName>
    <definedName name="IQRV301" hidden="1">"$V$302:$V$306"</definedName>
    <definedName name="IQRV302" hidden="1">"$V$303:$V$307"</definedName>
    <definedName name="IQRV303" hidden="1">"$V$304:$V$308"</definedName>
    <definedName name="IQRV304" hidden="1">"$V$305:$V$309"</definedName>
    <definedName name="IQRV305" hidden="1">"$V$306:$V$310"</definedName>
    <definedName name="IQRV306" hidden="1">"$V$307:$V$311"</definedName>
    <definedName name="IQRV307" hidden="1">"$V$308:$V$312"</definedName>
    <definedName name="IQRV308" hidden="1">"$V$309:$V$313"</definedName>
    <definedName name="IQRV309" hidden="1">"$V$310:$V$314"</definedName>
    <definedName name="IQRV310" hidden="1">"$V$311:$V$315"</definedName>
    <definedName name="IQRV311" hidden="1">"$V$312:$V$316"</definedName>
    <definedName name="IQRV312" hidden="1">"$V$313:$V$317"</definedName>
    <definedName name="IQRV313" hidden="1">"$V$314:$V$318"</definedName>
    <definedName name="IQRV314" hidden="1">"$V$315:$V$319"</definedName>
    <definedName name="IQRV315" hidden="1">"$V$316:$V$320"</definedName>
    <definedName name="IQRV316" hidden="1">"$V$317:$V$321"</definedName>
    <definedName name="IQRV317" hidden="1">"$V$318:$V$322"</definedName>
    <definedName name="IQRV318" hidden="1">"$V$319:$V$323"</definedName>
    <definedName name="IQRV319" hidden="1">"$V$320:$V$324"</definedName>
    <definedName name="IQRV321" hidden="1">"$V$322:$V$326"</definedName>
    <definedName name="IQRV348" hidden="1">"$V$349:$V$353"</definedName>
    <definedName name="IQRV349" hidden="1">"$V$350:$V$354"</definedName>
    <definedName name="IQRV353" hidden="1">"$V$354:$V$358"</definedName>
    <definedName name="IQRV354" hidden="1">"$V$355:$V$359"</definedName>
    <definedName name="IQRV355" hidden="1">"$V$356:$V$360"</definedName>
    <definedName name="IQRV363" hidden="1">"$V$364:$V$368"</definedName>
    <definedName name="IQRV369" hidden="1">"$V$370:$V$374"</definedName>
    <definedName name="IQRV370" hidden="1">"$V$371:$V$375"</definedName>
    <definedName name="IQRV388" hidden="1">"$V$389:$V$393"</definedName>
    <definedName name="IQRV389" hidden="1">"$V$390:$V$394"</definedName>
    <definedName name="IQRV399" hidden="1">"$V$400:$V$404"</definedName>
    <definedName name="IQRV439" hidden="1">"$V$440:$V$444"</definedName>
    <definedName name="IQRV443" hidden="1">"$V$444:$V$448"</definedName>
    <definedName name="IQRV446" hidden="1">"$V$447:$V$451"</definedName>
    <definedName name="IQRV456" hidden="1">"$V$457:$V$461"</definedName>
    <definedName name="IQRV457" hidden="1">"$V$458:$V$462"</definedName>
    <definedName name="IQRV458" hidden="1">"$V$459:$V$463"</definedName>
    <definedName name="IQRV459" hidden="1">"$V$460:$V$464"</definedName>
    <definedName name="IQRV460" hidden="1">"$V$461:$V$465"</definedName>
    <definedName name="IQRV461" hidden="1">"$V$462:$V$466"</definedName>
    <definedName name="IQRV462" hidden="1">"$V$463:$V$467"</definedName>
    <definedName name="IQRV463" hidden="1">"$V$464:$V$468"</definedName>
    <definedName name="IQRV464" hidden="1">"$V$465:$V$469"</definedName>
    <definedName name="IQRV465" hidden="1">"$V$466:$V$470"</definedName>
    <definedName name="IQRV466" hidden="1">"$V$467:$V$471"</definedName>
    <definedName name="IQRV467" hidden="1">"$V$468:$V$472"</definedName>
    <definedName name="IQRV473" hidden="1">"$V$474:$V$478"</definedName>
    <definedName name="IQRV477" hidden="1">"$V$478:$V$482"</definedName>
    <definedName name="IQRV478" hidden="1">"$V$479:$V$483"</definedName>
    <definedName name="IQRV479" hidden="1">"$V$480:$V$484"</definedName>
    <definedName name="IQRV482" hidden="1">"$V$483:$V$487"</definedName>
    <definedName name="IQRV485" hidden="1">"$V$486:$V$490"</definedName>
    <definedName name="IQRW163" hidden="1">"$W$164:$W$168"</definedName>
    <definedName name="IQRW188" hidden="1">"$W$189:$W$198"</definedName>
    <definedName name="IQRW197" hidden="1">"$W$198:$W$202"</definedName>
    <definedName name="IQRW199" hidden="1">"$W$200:$W$209"</definedName>
    <definedName name="IQRW203" hidden="1">"$W$204:$W$213"</definedName>
    <definedName name="IQRW204" hidden="1">"$W$205:$W$214"</definedName>
    <definedName name="IQRW208" hidden="1">"$W$209:$W$218"</definedName>
    <definedName name="IQRW209" hidden="1">"$W$210:$W$219"</definedName>
    <definedName name="IQRW211" hidden="1">"$W$212:$W$221"</definedName>
    <definedName name="IQRW213" hidden="1">"$W$214:$W$223"</definedName>
    <definedName name="IQRW214" hidden="1">"$W$215:$W$224"</definedName>
    <definedName name="IQRW215" hidden="1">"$W$216:$W$225"</definedName>
    <definedName name="IQRW216" hidden="1">"$W$217:$W$226"</definedName>
    <definedName name="IQRW229" hidden="1">"$W$230:$W$239"</definedName>
    <definedName name="IQRW233" hidden="1">"$W$234:$W$243"</definedName>
    <definedName name="IQRW234" hidden="1">"$W$235:$W$244"</definedName>
    <definedName name="IQRW235" hidden="1">"$W$236:$W$245"</definedName>
    <definedName name="IQRW236" hidden="1">"$W$237:$W$246"</definedName>
    <definedName name="IQRW237" hidden="1">"$W$238:$W$247"</definedName>
    <definedName name="IQRW238" hidden="1">"$W$239:$W$248"</definedName>
    <definedName name="IQRW239" hidden="1">"$W$240:$W$249"</definedName>
    <definedName name="IQRW240" hidden="1">"$W$241:$W$250"</definedName>
    <definedName name="IQRW241" hidden="1">"$W$242:$W$251"</definedName>
    <definedName name="IQRW243" hidden="1">"$W$244:$W$253"</definedName>
    <definedName name="IQRW244" hidden="1">"$W$245:$W$254"</definedName>
    <definedName name="IQRW252" hidden="1">"$W$253:$W$257"</definedName>
    <definedName name="IQRW253" hidden="1">"$W$254:$W$263"</definedName>
    <definedName name="IQRW255" hidden="1">"$W$256:$W$260"</definedName>
    <definedName name="IQRW258" hidden="1">"$W$259:$W$263"</definedName>
    <definedName name="IQRW260" hidden="1">"$W$261:$W$270"</definedName>
    <definedName name="IQRW267" hidden="1">"$W$268:$W$277"</definedName>
    <definedName name="IQRW270" hidden="1">"$W$271:$W$275"</definedName>
    <definedName name="IQRW271" hidden="1">"$W$272:$W$276"</definedName>
    <definedName name="IQRW272" hidden="1">"$W$273:$W$277"</definedName>
    <definedName name="IQRW273" hidden="1">"$W$274:$W$278"</definedName>
    <definedName name="IQRW274" hidden="1">"$W$275:$W$279"</definedName>
    <definedName name="IQRW275" hidden="1">"$W$276:$W$280"</definedName>
    <definedName name="IQRW276" hidden="1">"$W$277:$W$281"</definedName>
    <definedName name="IQRW277" hidden="1">"$W$278:$W$282"</definedName>
    <definedName name="IQRW278" hidden="1">"$W$279:$W$283"</definedName>
    <definedName name="IQRW279" hidden="1">"$W$280:$W$284"</definedName>
    <definedName name="IQRW280" hidden="1">"$W$281:$W$285"</definedName>
    <definedName name="IQRW281" hidden="1">"$W$282:$W$286"</definedName>
    <definedName name="IQRW282" hidden="1">"$W$283:$W$287"</definedName>
    <definedName name="IQRW283" hidden="1">"$W$284:$W$288"</definedName>
    <definedName name="IQRW284" hidden="1">"$W$285:$W$289"</definedName>
    <definedName name="IQRW285" hidden="1">"$W$286:$W$290"</definedName>
    <definedName name="IQRW286" hidden="1">"$W$287:$W$291"</definedName>
    <definedName name="IQRW287" hidden="1">"$W$288:$W$292"</definedName>
    <definedName name="IQRW288" hidden="1">"$W$289:$W$293"</definedName>
    <definedName name="IQRW289" hidden="1">"$W$290:$W$294"</definedName>
    <definedName name="IQRW290" hidden="1">"$W$291:$W$295"</definedName>
    <definedName name="IQRW291" hidden="1">"$W$292:$W$296"</definedName>
    <definedName name="IQRW292" hidden="1">"$W$293:$W$297"</definedName>
    <definedName name="IQRW293" hidden="1">"$W$294:$W$298"</definedName>
    <definedName name="IQRW294" hidden="1">"$W$295:$W$299"</definedName>
    <definedName name="IQRW295" hidden="1">"$W$296:$W$300"</definedName>
    <definedName name="IQRW296" hidden="1">"$W$297:$W$301"</definedName>
    <definedName name="IQRW297" hidden="1">"$W$298:$W$302"</definedName>
    <definedName name="IQRW298" hidden="1">"$W$299:$W$303"</definedName>
    <definedName name="IQRW299" hidden="1">"$W$300:$W$304"</definedName>
    <definedName name="IQRW300" hidden="1">"$W$301:$W$305"</definedName>
    <definedName name="IQRW301" hidden="1">"$W$302:$W$306"</definedName>
    <definedName name="IQRW302" hidden="1">"$W$303:$W$307"</definedName>
    <definedName name="IQRW303" hidden="1">"$W$304:$W$308"</definedName>
    <definedName name="IQRW304" hidden="1">"$W$305:$W$309"</definedName>
    <definedName name="IQRW305" hidden="1">"$W$306:$W$310"</definedName>
    <definedName name="IQRW306" hidden="1">"$W$307:$W$311"</definedName>
    <definedName name="IQRW307" hidden="1">"$W$308:$W$312"</definedName>
    <definedName name="IQRW308" hidden="1">"$W$309:$W$313"</definedName>
    <definedName name="IQRW309" hidden="1">"$W$310:$W$314"</definedName>
    <definedName name="IQRW310" hidden="1">"$W$311:$W$315"</definedName>
    <definedName name="IQRW311" hidden="1">"$W$312:$W$316"</definedName>
    <definedName name="IQRW312" hidden="1">"$W$313:$W$317"</definedName>
    <definedName name="IQRW313" hidden="1">"$W$314:$W$318"</definedName>
    <definedName name="IQRW314" hidden="1">"$W$315:$W$319"</definedName>
    <definedName name="IQRW315" hidden="1">"$W$316:$W$320"</definedName>
    <definedName name="IQRW316" hidden="1">"$W$317:$W$321"</definedName>
    <definedName name="IQRW317" hidden="1">"$W$318:$W$322"</definedName>
    <definedName name="IQRW318" hidden="1">"$W$319:$W$323"</definedName>
    <definedName name="IQRW319" hidden="1">"$W$320:$W$324"</definedName>
    <definedName name="IQRW321" hidden="1">"$W$322:$W$326"</definedName>
    <definedName name="IQRW348" hidden="1">"$W$349:$W$353"</definedName>
    <definedName name="IQRW349" hidden="1">"$W$350:$W$354"</definedName>
    <definedName name="IQRW353" hidden="1">"$W$354:$W$358"</definedName>
    <definedName name="IQRW354" hidden="1">"$W$355:$W$359"</definedName>
    <definedName name="IQRW355" hidden="1">"$W$356:$W$360"</definedName>
    <definedName name="IQRW363" hidden="1">"$W$364:$W$368"</definedName>
    <definedName name="IQRW399" hidden="1">"$W$400:$W$404"</definedName>
    <definedName name="IQRW456" hidden="1">"$W$457:$W$461"</definedName>
    <definedName name="IQRW457" hidden="1">"$W$458:$W$462"</definedName>
    <definedName name="IQRW458" hidden="1">"$W$459:$W$463"</definedName>
    <definedName name="IQRW459" hidden="1">"$W$460:$W$464"</definedName>
    <definedName name="IQRW460" hidden="1">"$W$461:$W$465"</definedName>
    <definedName name="IQRW461" hidden="1">"$W$462:$W$466"</definedName>
    <definedName name="IQRW462" hidden="1">"$W$463:$W$467"</definedName>
    <definedName name="IQRW463" hidden="1">"$W$464:$W$468"</definedName>
    <definedName name="IQRW464" hidden="1">"$W$465:$W$469"</definedName>
    <definedName name="IQRW466" hidden="1">"$W$467:$W$471"</definedName>
    <definedName name="IQRW467" hidden="1">"$W$468:$W$472"</definedName>
    <definedName name="IQRW473" hidden="1">"$W$474:$W$478"</definedName>
    <definedName name="IQRX188" hidden="1">"$X$189:$X$193"</definedName>
    <definedName name="IQRX199" hidden="1">"$X$200:$X$204"</definedName>
    <definedName name="IQRX203" hidden="1">"$X$204:$X$208"</definedName>
    <definedName name="IQRX204" hidden="1">"$X$205:$X$209"</definedName>
    <definedName name="IQRX208" hidden="1">"$X$209:$X$213"</definedName>
    <definedName name="IQRX209" hidden="1">"$X$210:$X$214"</definedName>
    <definedName name="IQRX211" hidden="1">"$X$212:$X$216"</definedName>
    <definedName name="IQRX213" hidden="1">"$X$214:$X$218"</definedName>
    <definedName name="IQRX214" hidden="1">"$X$215:$X$219"</definedName>
    <definedName name="IQRX215" hidden="1">"$X$216:$X$220"</definedName>
    <definedName name="IQRX216" hidden="1">"$X$217:$X$221"</definedName>
    <definedName name="IQRX229" hidden="1">"$X$230:$X$234"</definedName>
    <definedName name="IQRX233" hidden="1">"$X$234:$X$238"</definedName>
    <definedName name="IQRX234" hidden="1">"$X$235:$X$239"</definedName>
    <definedName name="IQRX235" hidden="1">"$X$236:$X$240"</definedName>
    <definedName name="IQRX236" hidden="1">"$X$237:$X$241"</definedName>
    <definedName name="IQRX237" hidden="1">"$X$238:$X$242"</definedName>
    <definedName name="IQRX238" hidden="1">"$X$239:$X$243"</definedName>
    <definedName name="IQRX239" hidden="1">"$X$240:$X$244"</definedName>
    <definedName name="IQRX240" hidden="1">"$X$241:$X$245"</definedName>
    <definedName name="IQRX241" hidden="1">"$X$242:$X$246"</definedName>
    <definedName name="IQRX243" hidden="1">"$X$244:$X$248"</definedName>
    <definedName name="IQRX244" hidden="1">"$X$245:$X$249"</definedName>
    <definedName name="IQRX252" hidden="1">"$X$253:$X$257"</definedName>
    <definedName name="IQRX255" hidden="1">"$X$256:$X$260"</definedName>
    <definedName name="IQRX258" hidden="1">"$X$259:$X$263"</definedName>
    <definedName name="IQRX260" hidden="1">"$X$261:$X$265"</definedName>
    <definedName name="IQRX267" hidden="1">"$X$268:$X$272"</definedName>
    <definedName name="IQRX270" hidden="1">"$X$271:$X$275"</definedName>
    <definedName name="IQRX271" hidden="1">"$X$272:$X$276"</definedName>
    <definedName name="IQRX272" hidden="1">"$X$273:$X$277"</definedName>
    <definedName name="IQRX273" hidden="1">"$X$274:$X$278"</definedName>
    <definedName name="IQRX274" hidden="1">"$X$275:$X$279"</definedName>
    <definedName name="IQRX275" hidden="1">"$X$276:$X$280"</definedName>
    <definedName name="IQRX276" hidden="1">"$X$277:$X$281"</definedName>
    <definedName name="IQRX277" hidden="1">"$X$278:$X$282"</definedName>
    <definedName name="IQRX278" hidden="1">"$X$279:$X$283"</definedName>
    <definedName name="IQRX279" hidden="1">"$X$280:$X$284"</definedName>
    <definedName name="IQRX280" hidden="1">"$X$281:$X$285"</definedName>
    <definedName name="IQRX281" hidden="1">"$X$282:$X$286"</definedName>
    <definedName name="IQRX282" hidden="1">"$X$283:$X$287"</definedName>
    <definedName name="IQRX283" hidden="1">"$X$284:$X$288"</definedName>
    <definedName name="IQRX284" hidden="1">"$X$285:$X$289"</definedName>
    <definedName name="IQRX285" hidden="1">"$X$286:$X$290"</definedName>
    <definedName name="IQRX286" hidden="1">"$X$287:$X$291"</definedName>
    <definedName name="IQRX287" hidden="1">"$X$288:$X$292"</definedName>
    <definedName name="IQRX288" hidden="1">"$X$289:$X$293"</definedName>
    <definedName name="IQRX289" hidden="1">"$X$290:$X$294"</definedName>
    <definedName name="IQRX290" hidden="1">"$X$291:$X$295"</definedName>
    <definedName name="IQRX291" hidden="1">"$X$292:$X$296"</definedName>
    <definedName name="IQRX292" hidden="1">"$X$293:$X$297"</definedName>
    <definedName name="IQRX293" hidden="1">"$X$294:$X$298"</definedName>
    <definedName name="IQRX294" hidden="1">"$X$295:$X$299"</definedName>
    <definedName name="IQRX295" hidden="1">"$X$296:$X$300"</definedName>
    <definedName name="IQRX296" hidden="1">"$X$297:$X$301"</definedName>
    <definedName name="IQRX297" hidden="1">"$X$298:$X$302"</definedName>
    <definedName name="IQRX298" hidden="1">"$X$299:$X$303"</definedName>
    <definedName name="IQRX299" hidden="1">"$X$300:$X$304"</definedName>
    <definedName name="IQRX300" hidden="1">"$X$301:$X$305"</definedName>
    <definedName name="IQRX301" hidden="1">"$X$302:$X$306"</definedName>
    <definedName name="IQRX302" hidden="1">"$X$303:$X$307"</definedName>
    <definedName name="IQRX303" hidden="1">"$X$304:$X$308"</definedName>
    <definedName name="IQRX304" hidden="1">"$X$305:$X$309"</definedName>
    <definedName name="IQRX305" hidden="1">"$X$306:$X$310"</definedName>
    <definedName name="IQRX306" hidden="1">"$X$307:$X$311"</definedName>
    <definedName name="IQRX307" hidden="1">"$X$308:$X$312"</definedName>
    <definedName name="IQRX308" hidden="1">"$X$309:$X$313"</definedName>
    <definedName name="IQRX309" hidden="1">"$X$310:$X$314"</definedName>
    <definedName name="IQRX310" hidden="1">"$X$311:$X$315"</definedName>
    <definedName name="IQRX311" hidden="1">"$X$312:$X$316"</definedName>
    <definedName name="IQRX312" hidden="1">"$X$313:$X$317"</definedName>
    <definedName name="IQRX313" hidden="1">"$X$314:$X$318"</definedName>
    <definedName name="IQRX314" hidden="1">"$X$315:$X$319"</definedName>
    <definedName name="IQRX315" hidden="1">"$X$316:$X$320"</definedName>
    <definedName name="IQRX316" hidden="1">"$X$317:$X$321"</definedName>
    <definedName name="IQRX317" hidden="1">"$X$318:$X$322"</definedName>
    <definedName name="IQRX318" hidden="1">"$X$319:$X$323"</definedName>
    <definedName name="IQRX319" hidden="1">"$X$320:$X$324"</definedName>
    <definedName name="IQRX321" hidden="1">"$X$322:$X$326"</definedName>
    <definedName name="IQRX348" hidden="1">"$X$349:$X$353"</definedName>
    <definedName name="IQRX349" hidden="1">"$X$350:$X$354"</definedName>
    <definedName name="IQRX353" hidden="1">"$X$354:$X$358"</definedName>
    <definedName name="IQRX354" hidden="1">"$X$355:$X$359"</definedName>
    <definedName name="IQRX355" hidden="1">"$X$356:$X$360"</definedName>
    <definedName name="IQRX363" hidden="1">"$X$364:$X$368"</definedName>
    <definedName name="IQRX375" hidden="1">"$X$376:$X$385"</definedName>
    <definedName name="IQRX376" hidden="1">"$X$377:$X$386"</definedName>
    <definedName name="IQRX377" hidden="1">"$X$378:$X$387"</definedName>
    <definedName name="IQRX378" hidden="1">"$X$379:$X$388"</definedName>
    <definedName name="IQRX383" hidden="1">"$X$384:$X$393"</definedName>
    <definedName name="IQRX384" hidden="1">"$X$385:$X$394"</definedName>
    <definedName name="IQRX385" hidden="1">"$X$386:$X$395"</definedName>
    <definedName name="IQRX397" hidden="1">"$X$398:$X$407"</definedName>
    <definedName name="IQRX399" hidden="1">"$X$400:$X$404"</definedName>
    <definedName name="IQRX405" hidden="1">"$X$406:$X$415"</definedName>
    <definedName name="IQRX419" hidden="1">"$X$420:$X$429"</definedName>
    <definedName name="IQRX438" hidden="1">"$X$439:$X$448"</definedName>
    <definedName name="IQRX442" hidden="1">"$X$443:$X$452"</definedName>
    <definedName name="IQRX443" hidden="1">"$X$444:$X$453"</definedName>
    <definedName name="IQRX445" hidden="1">"$X$446:$X$455"</definedName>
    <definedName name="IQRX447" hidden="1">"$X$448:$X$457"</definedName>
    <definedName name="IQRX448" hidden="1">"$X$449:$X$458"</definedName>
    <definedName name="IQRX453" hidden="1">"$X$454:$X$463"</definedName>
    <definedName name="IQRX454" hidden="1">"$X$455:$X$464"</definedName>
    <definedName name="IQRX456" hidden="1">"$X$457:$X$461"</definedName>
    <definedName name="IQRX457" hidden="1">"$X$458:$X$462"</definedName>
    <definedName name="IQRX458" hidden="1">"$X$459:$X$463"</definedName>
    <definedName name="IQRX459" hidden="1">"$X$460:$X$464"</definedName>
    <definedName name="IQRX460" hidden="1">"$X$461:$X$465"</definedName>
    <definedName name="IQRX461" hidden="1">"$X$462:$X$466"</definedName>
    <definedName name="IQRX462" hidden="1">"$X$463:$X$467"</definedName>
    <definedName name="IQRX463" hidden="1">"$X$464:$X$468"</definedName>
    <definedName name="IQRX464" hidden="1">"$X$465:$X$469"</definedName>
    <definedName name="IQRX466" hidden="1">"$X$467:$X$471"</definedName>
    <definedName name="IQRX467" hidden="1">"$X$468:$X$472"</definedName>
    <definedName name="IQRX473" hidden="1">"$X$474:$X$478"</definedName>
    <definedName name="IQRY252" hidden="1">"$Y$253:$Y$257"</definedName>
    <definedName name="IQRY255" hidden="1">"$Y$256:$Y$260"</definedName>
    <definedName name="IQRY258" hidden="1">"$Y$259:$Y$263"</definedName>
    <definedName name="IQRY267" hidden="1">"$Y$268:$Y$272"</definedName>
    <definedName name="IQRY270" hidden="1">"$Y$271:$Y$275"</definedName>
    <definedName name="IQRY271" hidden="1">"$Y$272:$Y$276"</definedName>
    <definedName name="IQRY272" hidden="1">"$Y$273:$Y$277"</definedName>
    <definedName name="IQRY273" hidden="1">"$Y$274:$Y$278"</definedName>
    <definedName name="IQRY274" hidden="1">"$Y$275:$Y$279"</definedName>
    <definedName name="IQRY275" hidden="1">"$Y$276:$Y$280"</definedName>
    <definedName name="IQRY276" hidden="1">"$Y$277:$Y$281"</definedName>
    <definedName name="IQRY277" hidden="1">"$Y$278:$Y$282"</definedName>
    <definedName name="IQRY278" hidden="1">"$Y$279:$Y$283"</definedName>
    <definedName name="IQRY279" hidden="1">"$Y$280:$Y$284"</definedName>
    <definedName name="IQRY280" hidden="1">"$Y$281:$Y$285"</definedName>
    <definedName name="IQRY281" hidden="1">"$Y$282:$Y$286"</definedName>
    <definedName name="IQRY282" hidden="1">"$Y$283:$Y$287"</definedName>
    <definedName name="IQRY283" hidden="1">"$Y$284:$Y$288"</definedName>
    <definedName name="IQRY284" hidden="1">"$Y$285:$Y$289"</definedName>
    <definedName name="IQRY285" hidden="1">"$Y$286:$Y$290"</definedName>
    <definedName name="IQRY286" hidden="1">"$Y$287:$Y$291"</definedName>
    <definedName name="IQRY287" hidden="1">"$Y$288:$Y$292"</definedName>
    <definedName name="IQRY288" hidden="1">"$Y$289:$Y$293"</definedName>
    <definedName name="IQRY289" hidden="1">"$Y$290:$Y$294"</definedName>
    <definedName name="IQRY290" hidden="1">"$Y$291:$Y$295"</definedName>
    <definedName name="IQRY291" hidden="1">"$Y$292:$Y$296"</definedName>
    <definedName name="IQRY292" hidden="1">"$Y$293:$Y$297"</definedName>
    <definedName name="IQRY293" hidden="1">"$Y$294:$Y$298"</definedName>
    <definedName name="IQRY294" hidden="1">"$Y$295:$Y$299"</definedName>
    <definedName name="IQRY295" hidden="1">"$Y$296:$Y$300"</definedName>
    <definedName name="IQRY296" hidden="1">"$Y$297:$Y$301"</definedName>
    <definedName name="IQRY297" hidden="1">"$Y$298:$Y$302"</definedName>
    <definedName name="IQRY298" hidden="1">"$Y$299:$Y$303"</definedName>
    <definedName name="IQRY299" hidden="1">"$Y$300:$Y$304"</definedName>
    <definedName name="IQRY300" hidden="1">"$Y$301:$Y$305"</definedName>
    <definedName name="IQRY301" hidden="1">"$Y$302:$Y$306"</definedName>
    <definedName name="IQRY302" hidden="1">"$Y$303:$Y$307"</definedName>
    <definedName name="IQRY303" hidden="1">"$Y$304:$Y$308"</definedName>
    <definedName name="IQRY304" hidden="1">"$Y$305:$Y$309"</definedName>
    <definedName name="IQRY305" hidden="1">"$Y$306:$Y$310"</definedName>
    <definedName name="IQRY306" hidden="1">"$Y$307:$Y$311"</definedName>
    <definedName name="IQRY307" hidden="1">"$Y$308:$Y$312"</definedName>
    <definedName name="IQRY308" hidden="1">"$Y$309:$Y$313"</definedName>
    <definedName name="IQRY309" hidden="1">"$Y$310:$Y$314"</definedName>
    <definedName name="IQRY310" hidden="1">"$Y$311:$Y$315"</definedName>
    <definedName name="IQRY311" hidden="1">"$Y$312:$Y$316"</definedName>
    <definedName name="IQRY312" hidden="1">"$Y$313:$Y$317"</definedName>
    <definedName name="IQRY313" hidden="1">"$Y$314:$Y$318"</definedName>
    <definedName name="IQRY314" hidden="1">"$Y$315:$Y$319"</definedName>
    <definedName name="IQRY315" hidden="1">"$Y$316:$Y$320"</definedName>
    <definedName name="IQRY316" hidden="1">"$Y$317:$Y$321"</definedName>
    <definedName name="IQRY317" hidden="1">"$Y$318:$Y$322"</definedName>
    <definedName name="IQRY318" hidden="1">"$Y$319:$Y$323"</definedName>
    <definedName name="IQRY319" hidden="1">"$Y$320:$Y$324"</definedName>
    <definedName name="IQRY321" hidden="1">"$Y$322:$Y$326"</definedName>
    <definedName name="IQRY348" hidden="1">"$Y$349:$Y$353"</definedName>
    <definedName name="IQRY349" hidden="1">"$Y$350:$Y$354"</definedName>
    <definedName name="IQRY353" hidden="1">"$Y$354:$Y$358"</definedName>
    <definedName name="IQRY354" hidden="1">"$Y$355:$Y$359"</definedName>
    <definedName name="IQRY355" hidden="1">"$Y$356:$Y$360"</definedName>
    <definedName name="IQRY363" hidden="1">"$Y$364:$Y$368"</definedName>
    <definedName name="IQRY375" hidden="1">"$Y$376:$Y$380"</definedName>
    <definedName name="IQRY376" hidden="1">"$Y$377:$Y$381"</definedName>
    <definedName name="IQRY377" hidden="1">"$Y$378:$Y$382"</definedName>
    <definedName name="IQRY378" hidden="1">"$Y$379:$Y$383"</definedName>
    <definedName name="IQRY383" hidden="1">"$Y$384:$Y$388"</definedName>
    <definedName name="IQRY384" hidden="1">"$Y$385:$Y$389"</definedName>
    <definedName name="IQRY385" hidden="1">"$Y$386:$Y$390"</definedName>
    <definedName name="IQRY397" hidden="1">"$Y$398:$Y$402"</definedName>
    <definedName name="IQRY399" hidden="1">"$Y$400:$Y$404"</definedName>
    <definedName name="IQRY405" hidden="1">"$Y$406:$Y$410"</definedName>
    <definedName name="IQRY419" hidden="1">"$Y$420:$Y$424"</definedName>
    <definedName name="IQRY438" hidden="1">"$Y$439:$Y$443"</definedName>
    <definedName name="IQRY442" hidden="1">"$Y$443:$Y$447"</definedName>
    <definedName name="IQRY443" hidden="1">"$Y$444:$Y$448"</definedName>
    <definedName name="IQRY445" hidden="1">"$Y$446:$Y$450"</definedName>
    <definedName name="IQRY447" hidden="1">"$Y$448:$Y$452"</definedName>
    <definedName name="IQRY448" hidden="1">"$Y$449:$Y$453"</definedName>
    <definedName name="IQRY453" hidden="1">"$Y$454:$Y$458"</definedName>
    <definedName name="IQRY454" hidden="1">"$Y$455:$Y$459"</definedName>
    <definedName name="IQRY455" hidden="1">"$Y$456:$Y$465"</definedName>
    <definedName name="IQRY456" hidden="1">"$Y$457:$Y$461"</definedName>
    <definedName name="IQRY457" hidden="1">"$Y$458:$Y$462"</definedName>
    <definedName name="IQRY458" hidden="1">"$Y$459:$Y$463"</definedName>
    <definedName name="IQRY459" hidden="1">"$Y$460:$Y$464"</definedName>
    <definedName name="IQRY460" hidden="1">"$Y$461:$Y$465"</definedName>
    <definedName name="IQRY461" hidden="1">"$Y$462:$Y$466"</definedName>
    <definedName name="IQRY462" hidden="1">"$Y$463:$Y$467"</definedName>
    <definedName name="IQRY463" hidden="1">"$Y$464:$Y$468"</definedName>
    <definedName name="IQRY464" hidden="1">"$Y$465:$Y$469"</definedName>
    <definedName name="IQRY466" hidden="1">"$Y$467:$Y$471"</definedName>
    <definedName name="IQRY467" hidden="1">"$Y$468:$Y$472"</definedName>
    <definedName name="IQRY473" hidden="1">"$Y$474:$Y$478"</definedName>
    <definedName name="IQRY480" hidden="1">"$Y$481:$Y$490"</definedName>
    <definedName name="IQRY481" hidden="1">"$Y$482:$Y$486"</definedName>
    <definedName name="IQRY482" hidden="1">"$Y$483:$Y$487"</definedName>
    <definedName name="IQRY484" hidden="1">"$Y$485:$Y$489"</definedName>
    <definedName name="IQRY485" hidden="1">"$Y$486:$Y$495"</definedName>
    <definedName name="IQRY487" hidden="1">"$Y$488:$Y$497"</definedName>
    <definedName name="IQRY488" hidden="1">"$Y$489:$Y$493"</definedName>
    <definedName name="IQRY489" hidden="1">"$Y$490:$Y$494"</definedName>
    <definedName name="IQRY490" hidden="1">"$Y$491:$Y$495"</definedName>
    <definedName name="IQRY491" hidden="1">"$Y$492:$Y$496"</definedName>
    <definedName name="IQRY492" hidden="1">"$Y$493:$Y$502"</definedName>
    <definedName name="IQRY493" hidden="1">"$Y$494:$Y$503"</definedName>
    <definedName name="IQRY495" hidden="1">"$Y$496:$Y$505"</definedName>
    <definedName name="IQRY496" hidden="1">"$Y$497:$Y$506"</definedName>
    <definedName name="IQRY497" hidden="1">"$Y$498:$Y$507"</definedName>
    <definedName name="IQRY498" hidden="1">"$Y$499:$Y$508"</definedName>
    <definedName name="IQRY499" hidden="1">"$Y$500:$Y$502"</definedName>
    <definedName name="IQRY500" hidden="1">"$Y$501:$Y$510"</definedName>
    <definedName name="IQRY501" hidden="1">"$Y$502:$Y$511"</definedName>
    <definedName name="IQRY502" hidden="1">"$Y$503:$Y$512"</definedName>
    <definedName name="IQRY503" hidden="1">"$Y$504:$Y$505"</definedName>
    <definedName name="IQRY504" hidden="1">"$Y$505:$Y$514"</definedName>
    <definedName name="IQRY505" hidden="1">"$Y$506:$Y$515"</definedName>
    <definedName name="IQRY506" hidden="1">"$Y$507:$Y$509"</definedName>
    <definedName name="IQRY507" hidden="1">"$Y$508:$Y$512"</definedName>
    <definedName name="IQRY508" hidden="1">"$Y$509:$Y$518"</definedName>
    <definedName name="IQRY509" hidden="1">"$Y$510:$Y$519"</definedName>
    <definedName name="IQRY510" hidden="1">"$Y$511:$Y$520"</definedName>
    <definedName name="IQRY511" hidden="1">"$Y$512:$Y$521"</definedName>
    <definedName name="IQRY512" hidden="1">"$Y$513:$Y$522"</definedName>
    <definedName name="IQRY513" hidden="1">"$Y$514:$Y$523"</definedName>
    <definedName name="IQRY514" hidden="1">"$Y$515:$Y$522"</definedName>
    <definedName name="IQRY515" hidden="1">"$Y$516:$Y$523"</definedName>
    <definedName name="IQRY516" hidden="1">"$Y$517:$Y$524"</definedName>
    <definedName name="IQRY517" hidden="1">"$Y$518:$Y$525"</definedName>
    <definedName name="IQRY518" hidden="1">"$Y$519:$Y$526"</definedName>
    <definedName name="IQRY519" hidden="1">"$Y$520:$Y$527"</definedName>
    <definedName name="IQRY520" hidden="1">"$Y$521:$Y$528"</definedName>
    <definedName name="IQRY521" hidden="1">"$Y$522:$Y$529"</definedName>
    <definedName name="IQRY522" hidden="1">"$Y$523:$Y$530"</definedName>
    <definedName name="IQRY523" hidden="1">"$Y$524:$Y$531"</definedName>
    <definedName name="IQRY524" hidden="1">"$Y$525:$Y$532"</definedName>
    <definedName name="IQRY525" hidden="1">"$Y$526:$Y$535"</definedName>
    <definedName name="IQRY526" hidden="1">"$Y$527:$Y$528"</definedName>
    <definedName name="IQRY527" hidden="1">"$Y$528:$Y$529"</definedName>
    <definedName name="IQRY528" hidden="1">"$Y$529:$Y$538"</definedName>
    <definedName name="IQRY529" hidden="1">"$Y$530:$Y$539"</definedName>
    <definedName name="IQRY530" hidden="1">"$Y$531:$Y$540"</definedName>
    <definedName name="IQRY531" hidden="1">"$Y$532:$Y$541"</definedName>
    <definedName name="IQRY532" hidden="1">"$Y$533:$Y$542"</definedName>
    <definedName name="IQRY533" hidden="1">"$Y$534:$Y$543"</definedName>
    <definedName name="IQRY534" hidden="1">"$Y$535:$Y$544"</definedName>
    <definedName name="IQRY535" hidden="1">"$Y$536:$Y$545"</definedName>
    <definedName name="IQRY536" hidden="1">"$Y$537:$Y$546"</definedName>
    <definedName name="IQRY537" hidden="1">"$Y$538:$Y$547"</definedName>
    <definedName name="IQRY538" hidden="1">"$Y$539:$Y$548"</definedName>
    <definedName name="IQRY539" hidden="1">"$Y$540:$Y$541"</definedName>
    <definedName name="IQRY540" hidden="1">"$Y$541:$Y$542"</definedName>
    <definedName name="IQRY541" hidden="1">"$Y$542:$Y$543"</definedName>
    <definedName name="IQRY542" hidden="1">"$Y$543:$Y$544"</definedName>
    <definedName name="IQRY543" hidden="1">"$Y$544:$Y$553"</definedName>
    <definedName name="IQRY544" hidden="1">"$Y$545:$Y$554"</definedName>
    <definedName name="IQRY545" hidden="1">"$Y$546:$Y$555"</definedName>
    <definedName name="IQRY546" hidden="1">"$Y$547:$Y$556"</definedName>
    <definedName name="IQRY547" hidden="1">"$Y$548:$Y$549"</definedName>
    <definedName name="IQRY548" hidden="1">"$Y$549:$Y$558"</definedName>
    <definedName name="IQRY549" hidden="1">"$Y$550:$Y$559"</definedName>
    <definedName name="IQRY550" hidden="1">"$Y$551:$Y$560"</definedName>
    <definedName name="IQRY551" hidden="1">"$Y$552:$Y$561"</definedName>
    <definedName name="IQRY552" hidden="1">"$Y$553:$Y$562"</definedName>
    <definedName name="IQRY553" hidden="1">"$Y$554:$Y$563"</definedName>
    <definedName name="IQRY554" hidden="1">"$Y$555:$Y$564"</definedName>
    <definedName name="IQRY556" hidden="1">"$Y$557:$Y$566"</definedName>
    <definedName name="IQRY557" hidden="1">"$Y$558:$Y$567"</definedName>
    <definedName name="IQRY560" hidden="1">"$Y$561:$Y$570"</definedName>
    <definedName name="IQRY561" hidden="1">"$Y$562:$Y$571"</definedName>
    <definedName name="IQRY562" hidden="1">"$Y$563:$Y$572"</definedName>
    <definedName name="IQRY563" hidden="1">"$Y$564:$Y$573"</definedName>
    <definedName name="IQRY564" hidden="1">"$Y$565:$Y$574"</definedName>
    <definedName name="IQRY565" hidden="1">"$Y$566:$Y$575"</definedName>
    <definedName name="IQRY567" hidden="1">"$Y$568:$Y$577"</definedName>
    <definedName name="IQRY569" hidden="1">"$Y$570:$Y$579"</definedName>
    <definedName name="IQRY570" hidden="1">"$Y$571:$Y$580"</definedName>
    <definedName name="IQRY574" hidden="1">"$Y$575:$Y$584"</definedName>
    <definedName name="IQRY575" hidden="1">"$Y$576:$Y$585"</definedName>
    <definedName name="IQRY577" hidden="1">"$Y$578:$Y$587"</definedName>
    <definedName name="IQRY578" hidden="1">"$Y$579:$Y$588"</definedName>
    <definedName name="IQRY579" hidden="1">"$Y$580:$Y$589"</definedName>
    <definedName name="IQRY580" hidden="1">"$Y$581:$Y$590"</definedName>
    <definedName name="IQRY583" hidden="1">"$Y$584:$Y$593"</definedName>
    <definedName name="IQRY584" hidden="1">"$Y$585:$Y$594"</definedName>
    <definedName name="IQRY585" hidden="1">"$Y$586:$Y$595"</definedName>
    <definedName name="IQRY586" hidden="1">"$Y$587:$Y$596"</definedName>
    <definedName name="IQRY587" hidden="1">"$Y$588:$Y$597"</definedName>
    <definedName name="IQRY589" hidden="1">"$Y$590:$Y$599"</definedName>
    <definedName name="IQRY594" hidden="1">"$Y$595:$Y$604"</definedName>
    <definedName name="IQRY595" hidden="1">"$Y$596:$Y$605"</definedName>
    <definedName name="IQRZ260" hidden="1">"$Z$261:$Z$265"</definedName>
    <definedName name="IQRZ261" hidden="1">"$Z$262:$Z$266"</definedName>
    <definedName name="IQRZ263" hidden="1">"$Z$264:$Z$268"</definedName>
    <definedName name="IQRZ267" hidden="1">"$Z$268:$Z$272"</definedName>
    <definedName name="IQRZ268" hidden="1">"$Z$269:$Z$273"</definedName>
    <definedName name="IQRZ269" hidden="1">"$Z$270:$Z$274"</definedName>
    <definedName name="IQRZ270" hidden="1">"$Z$271:$Z$275"</definedName>
    <definedName name="IQRZ280" hidden="1">"$Z$281:$Z$290"</definedName>
    <definedName name="IQRZ302" hidden="1">"$Z$303:$Z$307"</definedName>
    <definedName name="IQRZ306" hidden="1">"$Z$307:$Z$311"</definedName>
    <definedName name="IQRZ308" hidden="1">"$Z$309:$Z$313"</definedName>
    <definedName name="IQRZ311" hidden="1">"$Z$312:$Z$316"</definedName>
    <definedName name="IQRZ321" hidden="1">"$Z$322:$Z$326"</definedName>
    <definedName name="IQRZ348" hidden="1">"$Z$349:$Z$353"</definedName>
    <definedName name="IQRZ349" hidden="1">"$Z$350:$Z$354"</definedName>
    <definedName name="IQRZ353" hidden="1">"$Z$354:$Z$358"</definedName>
    <definedName name="IQRZ354" hidden="1">"$Z$355:$Z$359"</definedName>
    <definedName name="IQRZ355" hidden="1">"$Z$356:$Z$360"</definedName>
    <definedName name="IQRZ363" hidden="1">"$Z$364:$Z$368"</definedName>
    <definedName name="IQRZ399" hidden="1">"$Z$400:$Z$404"</definedName>
    <definedName name="IQRZ454" hidden="1">"$Z$455:$Z$459"</definedName>
    <definedName name="IQRZ455" hidden="1">"$Z$456:$Z$460"</definedName>
    <definedName name="IQRZ456" hidden="1">"$Z$457:$Z$461"</definedName>
    <definedName name="IQRZ457" hidden="1">"$Z$458:$Z$462"</definedName>
    <definedName name="IQRZ458" hidden="1">"$Z$459:$Z$463"</definedName>
    <definedName name="IQRZ459" hidden="1">"$Z$460:$Z$464"</definedName>
    <definedName name="IQRZ460" hidden="1">"$Z$461:$Z$465"</definedName>
    <definedName name="IQRZ461" hidden="1">"$Z$462:$Z$466"</definedName>
    <definedName name="IQRZ462" hidden="1">"$Z$463:$Z$467"</definedName>
    <definedName name="IQRZ463" hidden="1">"$Z$464:$Z$468"</definedName>
    <definedName name="IQRZ464" hidden="1">"$Z$465:$Z$469"</definedName>
    <definedName name="IQRZ466" hidden="1">"$Z$467:$Z$471"</definedName>
    <definedName name="IQRZ467" hidden="1">"$Z$468:$Z$472"</definedName>
    <definedName name="IQRZ473" hidden="1">"$Z$474:$Z$478"</definedName>
    <definedName name="IQRZ480" hidden="1">"$Z$481:$Z$485"</definedName>
    <definedName name="IQRZ481" hidden="1">"$Z$482:$Z$486"</definedName>
    <definedName name="IQRZ482" hidden="1">"$Z$483:$Z$487"</definedName>
    <definedName name="IQRZ484" hidden="1">"$Z$485:$Z$489"</definedName>
    <definedName name="IQRZ485" hidden="1">"$Z$486:$Z$490"</definedName>
    <definedName name="IQRZ486" hidden="1">"$Z$487:$Z$491"</definedName>
    <definedName name="IQRZ487" hidden="1">"$Z$488:$Z$492"</definedName>
    <definedName name="IQRZ488" hidden="1">"$Z$489:$Z$493"</definedName>
    <definedName name="IQRZ490" hidden="1">"$Z$491:$Z$495"</definedName>
    <definedName name="IQRZ491" hidden="1">"$Z$492:$Z$496"</definedName>
    <definedName name="IQRZ492" hidden="1">"$Z$493:$Z$497"</definedName>
    <definedName name="IQRZ493" hidden="1">"$Z$494:$Z$498"</definedName>
    <definedName name="IQRZ495" hidden="1">"$Z$496:$Z$500"</definedName>
    <definedName name="IQRZ496" hidden="1">"$Z$497:$Z$501"</definedName>
    <definedName name="IQRZ497" hidden="1">"$Z$498:$Z$502"</definedName>
    <definedName name="IQRZ498" hidden="1">"$Z$499:$Z$503"</definedName>
    <definedName name="IQRZ499" hidden="1">"$Z$500:$Z$502"</definedName>
    <definedName name="IQRZ500" hidden="1">"$Z$501:$Z$505"</definedName>
    <definedName name="IQRZ501" hidden="1">"$Z$502:$Z$506"</definedName>
    <definedName name="IQRZ502" hidden="1">"$Z$503:$Z$507"</definedName>
    <definedName name="IQRZ503" hidden="1">"$Z$504:$Z$505"</definedName>
    <definedName name="IQRZ504" hidden="1">"$Z$505:$Z$509"</definedName>
    <definedName name="IQRZ505" hidden="1">"$Z$506:$Z$510"</definedName>
    <definedName name="IQRZ506" hidden="1">"$Z$507:$Z$509"</definedName>
    <definedName name="IQRZ507" hidden="1">"$Z$508:$Z$512"</definedName>
    <definedName name="IQRZ508" hidden="1">"$Z$509:$Z$513"</definedName>
    <definedName name="IQRZ509" hidden="1">"$Z$510:$Z$514"</definedName>
    <definedName name="IQRZ510" hidden="1">"$Z$511:$Z$515"</definedName>
    <definedName name="IQRZ511" hidden="1">"$Z$512:$Z$516"</definedName>
    <definedName name="IQRZ512" hidden="1">"$Z$513:$Z$517"</definedName>
    <definedName name="IQRZ513" hidden="1">"$Z$514:$Z$518"</definedName>
    <definedName name="IQRZ514" hidden="1">"$Z$515:$Z$519"</definedName>
    <definedName name="IQRZ515" hidden="1">"$Z$516:$Z$520"</definedName>
    <definedName name="IQRZ516" hidden="1">"$Z$517:$Z$521"</definedName>
    <definedName name="IQRZ517" hidden="1">"$Z$518:$Z$522"</definedName>
    <definedName name="IQRZ518" hidden="1">"$Z$519:$Z$523"</definedName>
    <definedName name="IQRZ519" hidden="1">"$Z$520:$Z$524"</definedName>
    <definedName name="IQRZ520" hidden="1">"$Z$521:$Z$525"</definedName>
    <definedName name="IQRZ521" hidden="1">"$Z$522:$Z$526"</definedName>
    <definedName name="IQRZ522" hidden="1">"$Z$523:$Z$527"</definedName>
    <definedName name="IQRZ523" hidden="1">"$Z$524:$Z$528"</definedName>
    <definedName name="IQRZ524" hidden="1">"$Z$525:$Z$529"</definedName>
    <definedName name="IQRZ525" hidden="1">"$Z$526:$Z$530"</definedName>
    <definedName name="IQRZ526" hidden="1">"$Z$527:$Z$528"</definedName>
    <definedName name="IQRZ527" hidden="1">"$Z$528:$Z$529"</definedName>
    <definedName name="IQRZ528" hidden="1">"$Z$529:$Z$533"</definedName>
    <definedName name="IQRZ529" hidden="1">"$Z$530:$Z$534"</definedName>
    <definedName name="IQRZ530" hidden="1">"$Z$531:$Z$535"</definedName>
    <definedName name="IQRZ531" hidden="1">"$Z$532:$Z$536"</definedName>
    <definedName name="IQRZ532" hidden="1">"$Z$533:$Z$537"</definedName>
    <definedName name="IQRZ533" hidden="1">"$Z$534:$Z$538"</definedName>
    <definedName name="IQRZ534" hidden="1">"$Z$535:$Z$539"</definedName>
    <definedName name="IQRZ535" hidden="1">"$Z$536:$Z$540"</definedName>
    <definedName name="IQRZ536" hidden="1">"$Z$537:$Z$541"</definedName>
    <definedName name="IQRZ537" hidden="1">"$Z$538:$Z$542"</definedName>
    <definedName name="IQRZ538" hidden="1">"$Z$539:$Z$543"</definedName>
    <definedName name="IQRZ539" hidden="1">"$Z$540:$Z$541"</definedName>
    <definedName name="IQRZ540" hidden="1">"$Z$541:$Z$542"</definedName>
    <definedName name="IQRZ541" hidden="1">"$Z$542:$Z$543"</definedName>
    <definedName name="IQRZ542" hidden="1">"$Z$543:$Z$544"</definedName>
    <definedName name="IQRZ543" hidden="1">"$Z$544:$Z$548"</definedName>
    <definedName name="IQRZ544" hidden="1">"$Z$545:$Z$549"</definedName>
    <definedName name="IQRZ545" hidden="1">"$Z$546:$Z$550"</definedName>
    <definedName name="IQRZ546" hidden="1">"$Z$547:$Z$551"</definedName>
    <definedName name="IQRZ547" hidden="1">"$Z$548:$Z$549"</definedName>
    <definedName name="IQRZ548" hidden="1">"$Z$549:$Z$553"</definedName>
    <definedName name="IQRZ549" hidden="1">"$Z$550:$Z$554"</definedName>
    <definedName name="IQRZ550" hidden="1">"$Z$551:$Z$555"</definedName>
    <definedName name="IQRZ551" hidden="1">"$Z$552:$Z$556"</definedName>
    <definedName name="IQRZ552" hidden="1">"$Z$553:$Z$557"</definedName>
    <definedName name="IQRZ553" hidden="1">"$Z$554:$Z$558"</definedName>
    <definedName name="IQRZ554" hidden="1">"$Z$555:$Z$559"</definedName>
    <definedName name="IQRZ556" hidden="1">"$Z$557:$Z$561"</definedName>
    <definedName name="IQRZ557" hidden="1">"$Z$558:$Z$562"</definedName>
    <definedName name="IQRZ560" hidden="1">"$Z$561:$Z$565"</definedName>
    <definedName name="IQRZ561" hidden="1">"$Z$562:$Z$566"</definedName>
    <definedName name="IQRZ562" hidden="1">"$Z$563:$Z$567"</definedName>
    <definedName name="IQRZ563" hidden="1">"$Z$564:$Z$568"</definedName>
    <definedName name="IQRZ564" hidden="1">"$Z$565:$Z$569"</definedName>
    <definedName name="IQRZ565" hidden="1">"$Z$566:$Z$570"</definedName>
    <definedName name="IQRZ567" hidden="1">"$Z$568:$Z$572"</definedName>
    <definedName name="IQRZ569" hidden="1">"$Z$570:$Z$574"</definedName>
    <definedName name="IQRZ570" hidden="1">"$Z$571:$Z$575"</definedName>
    <definedName name="IQRZ574" hidden="1">"$Z$575:$Z$579"</definedName>
    <definedName name="IQRZ575" hidden="1">"$Z$576:$Z$580"</definedName>
    <definedName name="IQRZ576" hidden="1">"$Z$577:$Z$586"</definedName>
    <definedName name="IQRZ577" hidden="1">"$Z$578:$Z$582"</definedName>
    <definedName name="IQRZ578" hidden="1">"$Z$579:$Z$583"</definedName>
    <definedName name="IQRZ579" hidden="1">"$Z$580:$Z$584"</definedName>
    <definedName name="IQRZ580" hidden="1">"$Z$581:$Z$585"</definedName>
    <definedName name="IQRZ581" hidden="1">"$Z$582:$Z$591"</definedName>
    <definedName name="IQRZ582" hidden="1">"$Z$583:$Z$592"</definedName>
    <definedName name="IQRZ583" hidden="1">"$Z$584:$Z$588"</definedName>
    <definedName name="IQRZ584" hidden="1">"$Z$585:$Z$589"</definedName>
    <definedName name="IQRZ585" hidden="1">"$Z$586:$Z$590"</definedName>
    <definedName name="IQRZ586" hidden="1">"$Z$587:$Z$591"</definedName>
    <definedName name="IQRZ587" hidden="1">"$Z$588:$Z$592"</definedName>
    <definedName name="IQRZ589" hidden="1">"$Z$590:$Z$594"</definedName>
    <definedName name="IQRZ591" hidden="1">"$Z$592:$Z$601"</definedName>
    <definedName name="IQRZ594" hidden="1">"$Z$595:$Z$599"</definedName>
    <definedName name="IQRZ595" hidden="1">"$Z$596:$Z$600"</definedName>
    <definedName name="IQRZ627" hidden="1">"$Z$628:$Z$637"</definedName>
    <definedName name="IQRZ684" hidden="1">"$Z$685:$Z$694"</definedName>
    <definedName name="IQRZ685" hidden="1">"$Z$686:$Z$695"</definedName>
    <definedName name="IQRZ686" hidden="1">"$Z$687:$Z$696"</definedName>
    <definedName name="IQRZ687" hidden="1">"$Z$688:$Z$697"</definedName>
    <definedName name="IQRZ688" hidden="1">"$Z$689:$Z$698"</definedName>
    <definedName name="IQRZ689" hidden="1">"$Z$690:$Z$699"</definedName>
    <definedName name="IQRZ690" hidden="1">"$Z$691:$Z$700"</definedName>
    <definedName name="IQRZ691" hidden="1">"$Z$692:$Z$701"</definedName>
    <definedName name="IQRZ692" hidden="1">"$Z$693:$Z$702"</definedName>
    <definedName name="IQRZ694" hidden="1">"$Z$695:$Z$704"</definedName>
    <definedName name="IQRZ695" hidden="1">"$Z$696:$Z$705"</definedName>
    <definedName name="IQRZ701" hidden="1">"$Z$702:$Z$711"</definedName>
    <definedName name="iQShowHideColumns" hidden="1">"iQShowAll"</definedName>
    <definedName name="IsColHidden" hidden="1">FALSE</definedName>
    <definedName name="IsLTMColHidden" hidden="1">FALSE</definedName>
    <definedName name="Issuance_Outlook">#REF!</definedName>
    <definedName name="jdsf" hidden="1">{#N/A,#N/A,FALSE,"FAB VENDORS";"BUD SUM",#N/A,FALSE,"BUD SUM WO TEX"}</definedName>
    <definedName name="jh" hidden="1">{#N/A,#N/A,FALSE,"Sheet1";#N/A,#N/A,FALSE,"Sheet2";#N/A,#N/A,FALSE,"Sheet3";#N/A,#N/A,FALSE,"Sheet4";#N/A,#N/A,FALSE,"Sheet5";#N/A,#N/A,FALSE,"Sheet6"}</definedName>
    <definedName name="JHFunds">#REF!</definedName>
    <definedName name="jhgjkl">#REF!</definedName>
    <definedName name="jim" hidden="1">{"SUMMARY",#N/A,FALSE,"CONSOL";"sales",#N/A,FALSE,"CONSOL";"dia",#N/A,FALSE,"CONSOL";"revenue",#N/A,FALSE,"CONSOL";"empdetail",#N/A,FALSE,"CONSOL";"expdetail",#N/A,FALSE,"CONSOL";"capex",#N/A,FALSE,"CONSOL"}</definedName>
    <definedName name="jjj" hidden="1">{#N/A,#N/A,TRUE,"4Q BCG";#N/A,#N/A,TRUE,"4Q w|o Wireless";#N/A,#N/A,TRUE,"4Q Wireless"}</definedName>
    <definedName name="jjj_1" hidden="1">{#N/A,#N/A,TRUE,"4Q BCG";#N/A,#N/A,TRUE,"4Q w|o Wireless";#N/A,#N/A,TRUE,"4Q Wireless"}</definedName>
    <definedName name="jjjj" hidden="1">{"Assumptions",#N/A,FALSE,"Sheet1";"Main Report",#N/A,FALSE,"Sheet1";"Results",#N/A,FALSE,"Sheet1";"Advances",#N/A,FALSE,"Sheet1"}</definedName>
    <definedName name="jjjjj" hidden="1">{"Folie 3",#N/A,FALSE,"Jahresumsätze";"Folie 4",#N/A,FALSE,"Jahresumsätze";"Folie 5",#N/A,FALSE,"Jahresumsätze";"Folie 6",#N/A,FALSE,"Jahresumsätze";"Folie 7",#N/A,FALSE,"Jahresumsätze";"Folie 8",#N/A,FALSE,"Jahresumsätze"}</definedName>
    <definedName name="jkhl">#REF!</definedName>
    <definedName name="jkj" hidden="1">{#N/A,#N/A,TRUE,"FY BCG";#N/A,#N/A,TRUE,"FY w|o Wireless";#N/A,#N/A,TRUE,"FY Wireless"}</definedName>
    <definedName name="jkj_1" hidden="1">{#N/A,#N/A,TRUE,"FY BCG";#N/A,#N/A,TRUE,"FY w|o Wireless";#N/A,#N/A,TRUE,"FY Wireless"}</definedName>
    <definedName name="jkl" hidden="1">{"MARCRD",#N/A,FALSE,"FORECAST";"MARMKT",#N/A,FALSE,"FORECAST";"MARSTO",#N/A,FALSE,"FORECAST";"q1cred",#N/A,FALSE,"FORECAST";"q1mkt",#N/A,FALSE,"FORECAST";"q1sto",#N/A,FALSE,"FORECAST";"SUMMARY",#N/A,FALSE,"FORECAST"}</definedName>
    <definedName name="jllk" hidden="1">{#N/A,#N/A,TRUE,"Monthly Wireless";#N/A,#N/A,TRUE,"Qrt Wireless";#N/A,#N/A,TRUE,"FY Wireless";#N/A,#N/A,TRUE,"1Q Wireless";#N/A,#N/A,TRUE,"2Q Wireless";#N/A,#N/A,TRUE,"3Q Wireless";#N/A,#N/A,TRUE,"4Q Wireless"}</definedName>
    <definedName name="jllk_1" hidden="1">{#N/A,#N/A,TRUE,"Monthly Wireless";#N/A,#N/A,TRUE,"Qrt Wireless";#N/A,#N/A,TRUE,"FY Wireless";#N/A,#N/A,TRUE,"1Q Wireless";#N/A,#N/A,TRUE,"2Q Wireless";#N/A,#N/A,TRUE,"3Q Wireless";#N/A,#N/A,TRUE,"4Q Wireless"}</definedName>
    <definedName name="jo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josecf" hidden="1">{"Folie 3",#N/A,FALSE,"Jahresumsätze";"Folie 4",#N/A,FALSE,"Jahresumsätze";"Folie 5",#N/A,FALSE,"Jahresumsätze";"Folie 6",#N/A,FALSE,"Jahresumsätze";"Folie 7",#N/A,FALSE,"Jahresumsätze";"Folie 8",#N/A,FALSE,"Jahresumsätze"}</definedName>
    <definedName name="june" hidden="1">#REF!</definedName>
    <definedName name="junk" hidden="1">{"Annual_Income",#N/A,FALSE,"Report Page";"Balance_Cash_Flow",#N/A,FALSE,"Report Page";"Quarterly_Income",#N/A,FALSE,"Report Page"}</definedName>
    <definedName name="K2_WBEVMODE" hidden="1">-1</definedName>
    <definedName name="kevin" hidden="1">{"NHS97",#N/A,FALSE,"NHS96 "}</definedName>
    <definedName name="keving" hidden="1">{"NHS97",#N/A,FALSE,"NHS96 "}</definedName>
    <definedName name="key" hidden="1">#REF!</definedName>
    <definedName name="keycust" hidden="1">{"Folie 3",#N/A,FALSE,"Jahresumsätze";"Folie 4",#N/A,FALSE,"Jahresumsätze";"Folie 5",#N/A,FALSE,"Jahresumsätze";"Folie 6",#N/A,FALSE,"Jahresumsätze";"Folie 7",#N/A,FALSE,"Jahresumsätze";"Folie 8",#N/A,FALSE,"Jahresumsätze"}</definedName>
    <definedName name="ki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kkkk" hidden="1">{"MARCRD",#N/A,FALSE,"FORECAST";"MARMKT",#N/A,FALSE,"FORECAST";"MARSTO",#N/A,FALSE,"FORECAST";"q1cred",#N/A,FALSE,"FORECAST";"q1mkt",#N/A,FALSE,"FORECAST";"q1sto",#N/A,FALSE,"FORECAST";"SUMMARY",#N/A,FALSE,"FORECAST"}</definedName>
    <definedName name="kmh" hidden="1">{#N/A,#N/A,FALSE,"Aging Summary";#N/A,#N/A,FALSE,"Ratio Analysis";#N/A,#N/A,FALSE,"Test 120 Day Accts";#N/A,#N/A,FALSE,"Tickmarks"}</definedName>
    <definedName name="ktzuk" hidden="1">{#N/A,#N/A,FALSE,"Aging Summary";#N/A,#N/A,FALSE,"Ratio Analysis";#N/A,#N/A,FALSE,"Test 120 Day Accts";#N/A,#N/A,FALSE,"Tickmarks"}</definedName>
    <definedName name="kui" hidden="1">{#N/A,#N/A,FALSE,"Aging Summary";#N/A,#N/A,FALSE,"Ratio Analysis";#N/A,#N/A,FALSE,"Test 120 Day Accts";#N/A,#N/A,FALSE,"Tickmarks"}</definedName>
    <definedName name="KUULSD" hidden="1">{#N/A,#N/A,FALSE,"COMP"}</definedName>
    <definedName name="KUULSD_1" hidden="1">{#N/A,#N/A,FALSE,"COMP"}</definedName>
    <definedName name="LALA" hidden="1">#REF!</definedName>
    <definedName name="LE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imcount" hidden="1">1</definedName>
    <definedName name="Linking_1">#REF!</definedName>
    <definedName name="Linking_2">#REF!</definedName>
    <definedName name="Linking_3">#REF!</definedName>
    <definedName name="Linking_4">#REF!</definedName>
    <definedName name="Linking_5">#REF!</definedName>
    <definedName name="Linking_6">#REF!</definedName>
    <definedName name="Linking_7">#REF!</definedName>
    <definedName name="ListOffset" hidden="1">1</definedName>
    <definedName name="lk" hidden="1">{"Folie 3",#N/A,FALSE,"Jahresumsätze";"Folie 4",#N/A,FALSE,"Jahresumsätze";"Folie 5",#N/A,FALSE,"Jahresumsätze";"Folie 6",#N/A,FALSE,"Jahresumsätze";"Folie 7",#N/A,FALSE,"Jahresumsätze";"Folie 8",#N/A,FALSE,"Jahresumsätze"}</definedName>
    <definedName name="lkj" hidden="1">{#N/A,#N/A,FALSE,"Aging Summary";#N/A,#N/A,FALSE,"Ratio Analysis";#N/A,#N/A,FALSE,"Test 120 Day Accts";#N/A,#N/A,FALSE,"Tickmarks"}</definedName>
    <definedName name="ll" hidden="1">{"SUMMARY",#N/A,FALSE,"2112";"EXPDETAIL",#N/A,FALSE,"2112";"CAPEX",#N/A,FALSE,"2112";"SALARY",#N/A,FALSE,"2112"}</definedName>
    <definedName name="lll" hidden="1">{"SUMMARY",#N/A,FALSE,"2112";"EXPDETAIL",#N/A,FALSE,"2112";"CAPEX",#N/A,FALSE,"2112";"SALARY",#N/A,FALSE,"2112"}</definedName>
    <definedName name="lllll" hidden="1">{"Folie 3",#N/A,FALSE,"Jahresumsätze";"Folie 4",#N/A,FALSE,"Jahresumsätze";"Folie 5",#N/A,FALSE,"Jahresumsätze";"Folie 6",#N/A,FALSE,"Jahresumsätze";"Folie 7",#N/A,FALSE,"Jahresumsätze";"Folie 8",#N/A,FALSE,"Jahresumsätze"}</definedName>
    <definedName name="lois" hidden="1">{"'Actual'!$A$1:$F$25"}</definedName>
    <definedName name="LOis_Greg" hidden="1">{"'Actual'!$A$1:$F$25"}</definedName>
    <definedName name="lsadkfjsad" hidden="1">#REF!</definedName>
    <definedName name="LTC">#REF!</definedName>
    <definedName name="LTM_NET_INCOME">#REF!</definedName>
    <definedName name="luca" hidden="1">{"Folie 3",#N/A,FALSE,"Jahresumsätze";"Folie 4",#N/A,FALSE,"Jahresumsätze";"Folie 5",#N/A,FALSE,"Jahresumsätze";"Folie 6",#N/A,FALSE,"Jahresumsätze";"Folie 7",#N/A,FALSE,"Jahresumsätze";"Folie 8",#N/A,FALSE,"Jahresumsätze"}</definedName>
    <definedName name="m" hidden="1">{"fis.dbo.r1_datasum"}</definedName>
    <definedName name="M_PlaceofPath" hidden="1">"G:\Semiconductors\Semis\valuation\EVA\Completed\TXN_VDF.xls"</definedName>
    <definedName name="Macro14">#REF!</definedName>
    <definedName name="ManagedDisability">#REF!</definedName>
    <definedName name="Margin_GS">#REF!</definedName>
    <definedName name="Margin_JW">#REF!</definedName>
    <definedName name="Maritime">#REF!</definedName>
    <definedName name="market_cap">#REF!</definedName>
    <definedName name="Marketcond">#REF!</definedName>
    <definedName name="Marketcond4">#REF!</definedName>
    <definedName name="mbmbmbm" hidden="1">{"Folie 3",#N/A,FALSE,"Jahresumsätze";"Folie 4",#N/A,FALSE,"Jahresumsätze";"Folie 5",#N/A,FALSE,"Jahresumsätze";"Folie 6",#N/A,FALSE,"Jahresumsätze";"Folie 7",#N/A,FALSE,"Jahresumsätze";"Folie 8",#N/A,FALSE,"Jahresumsätze"}</definedName>
    <definedName name="MCap">#REF!</definedName>
    <definedName name="MerrillPrintIt" hidden="1">#N/A</definedName>
    <definedName name="MEWarning" hidden="1">1</definedName>
    <definedName name="Mexico1">#REF!</definedName>
    <definedName name="Mexico2">#REF!</definedName>
    <definedName name="minority_int">#REF!</definedName>
    <definedName name="mktng" hidden="1">{"Folie 3",#N/A,FALSE,"Jahresumsätze";"Folie 4",#N/A,FALSE,"Jahresumsätze";"Folie 5",#N/A,FALSE,"Jahresumsätze";"Folie 6",#N/A,FALSE,"Jahresumsätze";"Folie 7",#N/A,FALSE,"Jahresumsätze";"Folie 8",#N/A,FALSE,"Jahresumsätze"}</definedName>
    <definedName name="MLNK403ec4d6c99741a883658a3b70f06cc6" hidden="1">#REF!</definedName>
    <definedName name="MLNK61a348f5fdeb454b9572afbecbc9983d" hidden="1">#REF!</definedName>
    <definedName name="MLNK7c07291546ff4d87aeb8105558fe1f77" hidden="1">#REF!</definedName>
    <definedName name="MLNK972402fa3230405eb06459ed0c3fcd46" hidden="1">#REF!</definedName>
    <definedName name="MLNKb5c20a1c445342ffaa736654a2cc991b" hidden="1">#REF!</definedName>
    <definedName name="mmm" hidden="1">{"AnnMarg",#N/A,FALSE,"FALCON";"Q",#N/A,FALSE,"Qtrs."}</definedName>
    <definedName name="mmmmm" hidden="1">{"Folie 3",#N/A,FALSE,"Jahresumsätze";"Folie 4",#N/A,FALSE,"Jahresumsätze";"Folie 5",#N/A,FALSE,"Jahresumsätze";"Folie 6",#N/A,FALSE,"Jahresumsätze";"Folie 7",#N/A,FALSE,"Jahresumsätze";"Folie 8",#N/A,FALSE,"Jahresumsätze"}</definedName>
    <definedName name="mnh" hidden="1">{#N/A,#N/A,FALSE,"Aging Summary";#N/A,#N/A,FALSE,"Ratio Analysis";#N/A,#N/A,FALSE,"Test 120 Day Accts";#N/A,#N/A,FALSE,"Tickmarks"}</definedName>
    <definedName name="mo" hidden="1">{"fis.dbo.r1_datasum"}</definedName>
    <definedName name="Month">#REF!</definedName>
    <definedName name="MVSToggle">#REF!</definedName>
    <definedName name="n" hidden="1">{#N/A,#N/A,FALSE,"Adj Proj";#N/A,#N/A,FALSE,"Sheet1";#N/A,#N/A,FALSE,"LBO";#N/A,#N/A,FALSE,"LBOMER";#N/A,#N/A,FALSE,"WACC";#N/A,#N/A,FALSE,"DCF";#N/A,#N/A,FALSE,"DCFMER";#N/A,#N/A,FALSE,"Pooling";#N/A,#N/A,FALSE,"income";#N/A,#N/A,FALSE,"Offer"}</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lientkey1" hidden="1">#REF!</definedName>
    <definedName name="nclientsort" hidden="1">#REF!</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_debt">#REF!</definedName>
    <definedName name="NetCash">#REF!</definedName>
    <definedName name="NetDebt">#REF!</definedName>
    <definedName name="NetMeas">#REF!</definedName>
    <definedName name="NetStat">#REF!</definedName>
    <definedName name="New" hidden="1">#REF!</definedName>
    <definedName name="newbel" hidden="1">{"IS",#N/A,FALSE,"IS";"RPTIS",#N/A,FALSE,"RPTIS";"STATS",#N/A,FALSE,"STATS";"CELL",#N/A,FALSE,"CELL";"BS",#N/A,FALSE,"BS"}</definedName>
    <definedName name="NewOrders" hidden="1">{#N/A,#N/A,FALSE,"Sheet1";#N/A,#N/A,FALSE,"Sheet1 (2)"}</definedName>
    <definedName name="NewRange" hidden="1">#N/A</definedName>
    <definedName name="ni" hidden="1">#REF!</definedName>
    <definedName name="NN" hidden="1">{"Folie 3",#N/A,FALSE,"Jahresumsätze";"Folie 4",#N/A,FALSE,"Jahresumsätze";"Folie 5",#N/A,FALSE,"Jahresumsätze";"Folie 6",#N/A,FALSE,"Jahresumsätze";"Folie 7",#N/A,FALSE,"Jahresumsätze";"Folie 8",#N/A,FALSE,"Jahresumsätze"}</definedName>
    <definedName name="nnmnm" hidden="1">{"Folie 3",#N/A,FALSE,"Jahresumsätze";"Folie 4",#N/A,FALSE,"Jahresumsätze";"Folie 5",#N/A,FALSE,"Jahresumsätze";"Folie 6",#N/A,FALSE,"Jahresumsätze";"Folie 7",#N/A,FALSE,"Jahresumsätze";"Folie 8",#N/A,FALSE,"Jahresumsätze"}</definedName>
    <definedName name="nnnn" hidden="1">{"Folie 3",#N/A,FALSE,"Jahresumsätze";"Folie 4",#N/A,FALSE,"Jahresumsätze";"Folie 5",#N/A,FALSE,"Jahresumsätze";"Folie 6",#N/A,FALSE,"Jahresumsätze";"Folie 7",#N/A,FALSE,"Jahresumsätze";"Folie 8",#N/A,FALSE,"Jahresumsätze"}</definedName>
    <definedName name="nnnnn" hidden="1">{"Folie 3",#N/A,FALSE,"Jahresumsätze";"Folie 4",#N/A,FALSE,"Jahresumsätze";"Folie 5",#N/A,FALSE,"Jahresumsätze";"Folie 6",#N/A,FALSE,"Jahresumsätze";"Folie 7",#N/A,FALSE,"Jahresumsätze";"Folie 8",#N/A,FALSE,"Jahresumsätze"}</definedName>
    <definedName name="NonMedical">#REF!</definedName>
    <definedName name="Nontraditional">#REF!</definedName>
    <definedName name="not" hidden="1">{"International Total",#N/A,FALSE,"Sheet1";"Mexico (5)",#N/A,FALSE,"Sheet1";"Mexico (37)",#N/A,FALSE,"Sheet1";"Puerto Rico (10)",#N/A,FALSE,"Sheet1"}</definedName>
    <definedName name="NvsElapsedTime">0.000504745366924908</definedName>
    <definedName name="OCTBS" hidden="1">{#N/A,#N/A,FALSE,"Assump2";#N/A,#N/A,FALSE,"Income2";#N/A,#N/A,FALSE,"Balance2";#N/A,#N/A,FALSE,"DCF Filter";#N/A,#N/A,FALSE,"Trans Assump2";#N/A,#N/A,FALSE,"Combined Income2";#N/A,#N/A,FALSE,"Combined Balance2"}</definedName>
    <definedName name="OEM" hidden="1">{#N/A,#N/A,FALSE,"Sheet1";#N/A,#N/A,FALSE,"Sheet1 (2)"}</definedName>
    <definedName name="OK" hidden="1">{#N/A,#N/A,FALSE,"Cover";#N/A,#N/A,FALSE,"LUMI";#N/A,#N/A,FALSE,"COMD";#N/A,#N/A,FALSE,"Valuation";#N/A,#N/A,FALSE,"Assumptions";#N/A,#N/A,FALSE,"Pooling";#N/A,#N/A,FALSE,"BalanceSheet"}</definedName>
    <definedName name="ooooo" hidden="1">{"'Actual'!$A$1:$F$25"}</definedName>
    <definedName name="Opdata2">#REF!</definedName>
    <definedName name="opendbs" hidden="1">{"fis.dbo.r1_datasum"}</definedName>
    <definedName name="opendbs1" hidden="1">{"fis.dbo.r1_datasum"}</definedName>
    <definedName name="Orders" hidden="1">{#N/A,#N/A,FALSE,"Order Summary";#N/A,#N/A,FALSE,"Shipment Summary";#N/A,#N/A,FALSE,"Weekly Summary";#N/A,#N/A,FALSE,"Cash Flow Summary"}</definedName>
    <definedName name="OrderTable" hidden="1">#REF!</definedName>
    <definedName name="other"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Other1">#REF!</definedName>
    <definedName name="OtherAutoHome">#REF!</definedName>
    <definedName name="OtherCorporate">#REF!</definedName>
    <definedName name="OtherGathering">#REF!</definedName>
    <definedName name="OtherIndiv">#REF!</definedName>
    <definedName name="OtherInsurance">#REF!</definedName>
    <definedName name="OtherInternl">#REF!</definedName>
    <definedName name="OtherInvstMnfgmt">#REF!</definedName>
    <definedName name="OtherProtection">#REF!</definedName>
    <definedName name="p" hidden="1">{#N/A,#N/A,FALSE,"COVER PAGE";#N/A,#N/A,FALSE,"Page 2";#N/A,#N/A,FALSE,"Page 2";#N/A,#N/A,FALSE,"Page 4";#N/A,#N/A,FALSE,"Page5";#N/A,#N/A,FALSE,"Page 6";#N/A,#N/A,FALSE,"Page 7";#N/A,#N/A,FALSE,"Page 8";#N/A,#N/A,FALSE,"Page 10";#N/A,#N/A,FALSE,"Long-Term OCF Mult.";#N/A,#N/A,FALSE,"PCS Comp";#N/A,#N/A,FALSE,"OCS-CAPEX";#N/A,#N/A,FALSE,"Blank"}</definedName>
    <definedName name="Page1">#REF!</definedName>
    <definedName name="Page12">#REF!</definedName>
    <definedName name="Page18">#REF!</definedName>
    <definedName name="Page19">#REF!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B">#REF!</definedName>
    <definedName name="pe" hidden="1">#REF!</definedName>
    <definedName name="perpmultiple">#REF!</definedName>
    <definedName name="pes" hidden="1">{TRUE,TRUE,-0.5,-14.75,483,252,FALSE,FALSE,TRUE,TRUE,0,1,#N/A,351,#N/A,15.1230769230769,21,1,FALSE,FALSE,3,TRUE,1,FALSE,75,"Swvu.ytdcred.","ACwvu.ytdcred.",#N/A,FALSE,FALSE,0,0,0,0,2,"","",TRUE,TRUE,FALSE,FALSE,1,#N/A,1,1,"=R361C1:R385C14",FALSE,"Rwvu.ytdcred.","Cwvu.ytdcred.",FALSE,FALSE,FALSE,1,300,300,FALSE,FALSE,TRUE,TRUE,TRUE}</definedName>
    <definedName name="pippo" hidden="1">{"Folie 3",#N/A,FALSE,"Jahresumsätze";"Folie 4",#N/A,FALSE,"Jahresumsätze";"Folie 5",#N/A,FALSE,"Jahresumsätze";"Folie 6",#N/A,FALSE,"Jahresumsätze";"Folie 7",#N/A,FALSE,"Jahresumsätze";"Folie 8",#N/A,FALSE,"Jahresumsätze"}</definedName>
    <definedName name="PITTWAY" hidden="1">{#N/A,#N/A,FALSE,"Che-Ga";#N/A,#N/A,FALSE,"Iv-Sm";#N/A,#N/A,FALSE,"So-We";#N/A,#N/A,FALSE,"Me-Po";#N/A,#N/A,FALSE,"Be-Bo";#N/A,#N/A,FALSE,"Cha-Ki";#N/A,#N/A,FALSE,"In";#N/A,#N/A,FALSE,"Schedule 23";#N/A,#N/A,FALSE,"Schedule 22";#N/A,#N/A,FALSE,"WACC"}</definedName>
    <definedName name="pittway1" hidden="1">{#N/A,#N/A,FALSE,"Che-Ga";#N/A,#N/A,FALSE,"Iv-Sm";#N/A,#N/A,FALSE,"So-We";#N/A,#N/A,FALSE,"Me-Po";#N/A,#N/A,FALSE,"Be-Bo";#N/A,#N/A,FALSE,"Cha-Ki";#N/A,#N/A,FALSE,"In";#N/A,#N/A,FALSE,"Schedule 23";#N/A,#N/A,FALSE,"Schedule 22";#N/A,#N/A,FALSE,"WACC"}</definedName>
    <definedName name="plplp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Lval">#REF!</definedName>
    <definedName name="pmlink1">#REF!</definedName>
    <definedName name="PMLINK10">#REF!</definedName>
    <definedName name="PMLINK11">#REF!</definedName>
    <definedName name="PMLINK12">#REF!</definedName>
    <definedName name="PMLINK13">#REF!</definedName>
    <definedName name="PMLINK14">#REF!</definedName>
    <definedName name="PMLINK2">#REF!</definedName>
    <definedName name="PMLINK3">#REF!</definedName>
    <definedName name="PMLINK4">#REF!</definedName>
    <definedName name="PMLINK5">#REF!</definedName>
    <definedName name="PMLINK6">#REF!</definedName>
    <definedName name="PMLINK7">#REF!</definedName>
    <definedName name="PMLINK8">#REF!</definedName>
    <definedName name="PMLINK9">#REF!</definedName>
    <definedName name="po" hidden="1">{#N/A,#N/A,TRUE,"Monthly Wireless";#N/A,#N/A,TRUE,"Qrt Wireless";#N/A,#N/A,TRUE,"FY Wireless";#N/A,#N/A,TRUE,"1Q Wireless";#N/A,#N/A,TRUE,"2Q Wireless";#N/A,#N/A,TRUE,"3Q Wireless";#N/A,#N/A,TRUE,"4Q Wireless"}</definedName>
    <definedName name="po_1" hidden="1">{#N/A,#N/A,TRUE,"Monthly Wireless";#N/A,#N/A,TRUE,"Qrt Wireless";#N/A,#N/A,TRUE,"FY Wireless";#N/A,#N/A,TRUE,"1Q Wireless";#N/A,#N/A,TRUE,"2Q Wireless";#N/A,#N/A,TRUE,"3Q Wireless";#N/A,#N/A,TRUE,"4Q Wireless"}</definedName>
    <definedName name="poo" hidden="1">{"SUMMARY",#N/A,FALSE,"2116";"EXPDETAIL",#N/A,FALSE,"2116";"CAPEX",#N/A,FALSE,"2116";"salary",#N/A,FALSE,"2116"}</definedName>
    <definedName name="PP" hidden="1">{"PTMOTSC1097",#N/A,FALSE,"MovimientosBBV$USA"}</definedName>
    <definedName name="PPE_Table">#REF!</definedName>
    <definedName name="PremiumsFirstYear">#REF!</definedName>
    <definedName name="PremiumsTotal">#REF!</definedName>
    <definedName name="price">#REF!</definedName>
    <definedName name="Price_Target">#REF!</definedName>
    <definedName name="price2">#REF!</definedName>
    <definedName name="Pricing_Date">#REF!</definedName>
    <definedName name="print" hidden="1">{"page1",#N/A,FALSE,"Casual RLE";"page2",#N/A,FALSE,"Casual RLE"}</definedName>
    <definedName name="_xlnm.Print_Area" localSheetId="2">'BS &amp; CFS'!$A$2:$BN$101</definedName>
    <definedName name="_xlnm.Print_Area" localSheetId="1">IS!$A$2:$CA$132</definedName>
    <definedName name="_xlnm.Print_Area" localSheetId="0">Segments!$A$2:$CF$188</definedName>
    <definedName name="_xlnm.Print_Area">#REF!</definedName>
    <definedName name="Print_Area_MI">#REF!</definedName>
    <definedName name="_xlnm.Print_Titles" localSheetId="1">IS!$2:$7</definedName>
    <definedName name="_xlnm.Print_Titles">#REF!</definedName>
    <definedName name="PrintA">#REF!</definedName>
    <definedName name="PrintC">#REF!</definedName>
    <definedName name="PrintSummary">#REF!</definedName>
    <definedName name="PrintSummary2">#REF!</definedName>
    <definedName name="ProdForm" hidden="1">#REF!</definedName>
    <definedName name="ProdPerCap">#REF!</definedName>
    <definedName name="Product" hidden="1">#REF!</definedName>
    <definedName name="PROJ">#REF!</definedName>
    <definedName name="Protection">#REF!</definedName>
    <definedName name="Provi" hidden="1">{#N/A,#N/A,FALSE,"Aging Summary";#N/A,#N/A,FALSE,"Ratio Analysis";#N/A,#N/A,FALSE,"Test 120 Day Accts";#N/A,#N/A,FALSE,"Tickmarks"}</definedName>
    <definedName name="puui" hidden="1">{#N/A,#N/A,TRUE,"Qrt BCG";#N/A,#N/A,TRUE,"Qrt w|o Wireless";#N/A,#N/A,TRUE,"Qrt Wireless"}</definedName>
    <definedName name="puui_1" hidden="1">{#N/A,#N/A,TRUE,"Qrt BCG";#N/A,#N/A,TRUE,"Qrt w|o Wireless";#N/A,#N/A,TRUE,"Qrt Wireless"}</definedName>
    <definedName name="q" hidden="1">{#N/A,#N/A,TRUE,"Monthly BCG";#N/A,#N/A,TRUE,"Monthly w|o Wireless";#N/A,#N/A,TRUE,"Monthly Wireless"}</definedName>
    <definedName name="q_1" hidden="1">{#N/A,#N/A,TRUE,"Monthly BCG";#N/A,#N/A,TRUE,"Monthly w|o Wireless";#N/A,#N/A,TRUE,"Monthly Wireless"}</definedName>
    <definedName name="qds" hidden="1">{#N/A,#N/A,FALSE,"Aging Summary";#N/A,#N/A,FALSE,"Ratio Analysis";#N/A,#N/A,FALSE,"Test 120 Day Accts";#N/A,#N/A,FALSE,"Tickmarks"}</definedName>
    <definedName name="qgq" hidden="1">#N/A</definedName>
    <definedName name="qq" hidden="1">{"Folie 3",#N/A,FALSE,"Jahresumsätze";"Folie 4",#N/A,FALSE,"Jahresumsätze";"Folie 5",#N/A,FALSE,"Jahresumsätze";"Folie 6",#N/A,FALSE,"Jahresumsätze";"Folie 7",#N/A,FALSE,"Jahresumsätze";"Folie 8",#N/A,FALSE,"Jahresumsätze"}</definedName>
    <definedName name="qqq">#REF!</definedName>
    <definedName name="quarters96">#REF!</definedName>
    <definedName name="quarters98">#REF!</definedName>
    <definedName name="quarters99">#REF!</definedName>
    <definedName name="qwerq" hidden="1">{#N/A,#N/A,TRUE,"FY BCG";#N/A,#N/A,TRUE,"FY w|o Wireless";#N/A,#N/A,TRUE,"FY Wireless"}</definedName>
    <definedName name="qwerq_1" hidden="1">{#N/A,#N/A,TRUE,"FY BCG";#N/A,#N/A,TRUE,"FY w|o Wireless";#N/A,#N/A,TRUE,"FY Wireless"}</definedName>
    <definedName name="RANGE33">#REF!</definedName>
    <definedName name="RCArea" hidden="1">#REF!</definedName>
    <definedName name="R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xlnm.Recorder">#REF!</definedName>
    <definedName name="RedefinePrintTableRange" hidden="1">#N/A</definedName>
    <definedName name="REF" hidden="1">{#N/A,#N/A,FALSE,"COMP"}</definedName>
    <definedName name="REF_1" hidden="1">{#N/A,#N/A,FALSE,"COMP"}</definedName>
    <definedName name="Region">#REF!</definedName>
    <definedName name="Report" hidden="1">{#N/A,#N/A,FALSE,"Report Print"}</definedName>
    <definedName name="ReportGroup" hidden="1">0</definedName>
    <definedName name="ReportPage1" hidden="1">{"Annual_Income",#N/A,FALSE,"Report Page";"Balance_Cash_Flow",#N/A,FALSE,"Report Page";"Quarterly_Income",#N/A,FALSE,"Report Page"}</definedName>
    <definedName name="ret" hidden="1">{"combo",#N/A,FALSE,"Quarter";"credit",#N/A,FALSE,"Quarter";"market",#N/A,FALSE,"Quarter"}</definedName>
    <definedName name="RetailvsWhole">#REF!</definedName>
    <definedName name="Retirement">#REF!</definedName>
    <definedName name="Revenues_GS">#REF!</definedName>
    <definedName name="Revenues_JW">#REF!</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Mval">#REF!</definedName>
    <definedName name="ROE">#REF!</definedName>
    <definedName name="rq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r" hidden="1">{"MARCRD",#N/A,FALSE,"FORECAST";"MARMKT",#N/A,FALSE,"FORECAST";"MARSTO",#N/A,FALSE,"FORECAST";"q1cred",#N/A,FALSE,"FORECAST";"q1mkt",#N/A,FALSE,"FORECAST";"q1sto",#N/A,FALSE,"FORECAST";"SUMMARY",#N/A,FALSE,"FORECAST"}</definedName>
    <definedName name="rte" hidden="1">{"febcred",#N/A,FALSE,"FORECAST";"febmkt",#N/A,FALSE,"FORECAST";"febsto",#N/A,FALSE,"FORECAST";"ytdcred",#N/A,FALSE,"FORECAST";"ytdmkt",#N/A,FALSE,"FORECAST";"ytdsto",#N/A,FALSE,"FORECAST";"q1cred",#N/A,FALSE,"FORECAST";"q1mkt",#N/A,FALSE,"FORECAST";"q1sto",#N/A,FALSE,"FORECAST"}</definedName>
    <definedName name="Rwvu.febcred." hidden="1">#REF!</definedName>
    <definedName name="Rwvu.MONCRE1." hidden="1">#REF!</definedName>
    <definedName name="Rwvu.q1cred." hidden="1">#REF!</definedName>
    <definedName name="Rwvu.q1mkt." hidden="1">#REF!</definedName>
    <definedName name="Rwvu.q1sto." hidden="1">#REF!</definedName>
    <definedName name="Rwvu.SUMMARY." hidden="1">#REF!</definedName>
    <definedName name="Rwvu.ytdcred." hidden="1">#REF!</definedName>
    <definedName name="Rwvu.ytdmkt." hidden="1">#REF!</definedName>
    <definedName name="Rwvu.ytdsto." hidden="1">#REF!</definedName>
    <definedName name="s" hidden="1">{"kricash",#N/A,FALSE,"INC";"kriinc",#N/A,FALSE,"INC";"krimiami",#N/A,FALSE,"INC";"kriother",#N/A,FALSE,"INC";"kripapers",#N/A,FALSE,"INC"}</definedName>
    <definedName name="SAFC">#REF!</definedName>
    <definedName name="safcearnings">#REF!</definedName>
    <definedName name="Safety1" hidden="1">{"'Actual'!$A$1:$F$25"}</definedName>
    <definedName name="Sales_2012">#REF!</definedName>
    <definedName name="Sales_2013">#REF!</definedName>
    <definedName name="Sales_2014">#REF!</definedName>
    <definedName name="Sales_2015">#REF!</definedName>
    <definedName name="Sales_LTM">#REF!</definedName>
    <definedName name="Sales_NTM">#REF!</definedName>
    <definedName name="SalesByDist">#REF!</definedName>
    <definedName name="SAPBEXdnldView" hidden="1">"87736OA1FQISHYBECN2FP88JW"</definedName>
    <definedName name="SAPBEXhrIndnt" hidden="1">1</definedName>
    <definedName name="SAPBEXrevision" hidden="1">6</definedName>
    <definedName name="SAPBEXsysID" hidden="1">"PBW"</definedName>
    <definedName name="SAPBEXwbID" hidden="1">"3NAERQA6H5CV89KLUJUEH447U"</definedName>
    <definedName name="SBC_2017">#REF!</definedName>
    <definedName name="sd" hidden="1">{"Folie 3",#N/A,FALSE,"Jahresumsätze";"Folie 4",#N/A,FALSE,"Jahresumsätze";"Folie 5",#N/A,FALSE,"Jahresumsätze";"Folie 6",#N/A,FALSE,"Jahresumsätze";"Folie 7",#N/A,FALSE,"Jahresumsätze";"Folie 8",#N/A,FALSE,"Jahresumsätze"}</definedName>
    <definedName name="sdd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f" hidden="1">#REF!</definedName>
    <definedName name="sdfg" hidden="1">{#N/A,#N/A,FALSE,"Nov 96";#N/A,#N/A,FALSE,"Dec 96";#N/A,#N/A,FALSE,"Jan 97";#N/A,#N/A,FALSE,"Feb 97";#N/A,#N/A,FALSE,"Mar 97";#N/A,#N/A,FALSE,"Apr 97";#N/A,#N/A,FALSE,"May 97";#N/A,#N/A,FALSE,"Jun 97";#N/A,#N/A,FALSE,"Jul 97";#N/A,#N/A,FALSE,"Aug 97";#N/A,#N/A,FALSE,"Sep 97";#N/A,#N/A,FALSE,"Oct 97"}</definedName>
    <definedName name="sdfg_1" hidden="1">{#N/A,#N/A,FALSE,"Nov 96";#N/A,#N/A,FALSE,"Dec 96";#N/A,#N/A,FALSE,"Jan 97";#N/A,#N/A,FALSE,"Feb 97";#N/A,#N/A,FALSE,"Mar 97";#N/A,#N/A,FALSE,"Apr 97";#N/A,#N/A,FALSE,"May 97";#N/A,#N/A,FALSE,"Jun 97";#N/A,#N/A,FALSE,"Jul 97";#N/A,#N/A,FALSE,"Aug 97";#N/A,#N/A,FALSE,"Sep 97";#N/A,#N/A,FALSE,"Oct 97"}</definedName>
    <definedName name="sdfs" hidden="1">{"Folie 3",#N/A,FALSE,"Jahresumsätze";"Folie 4",#N/A,FALSE,"Jahresumsätze";"Folie 5",#N/A,FALSE,"Jahresumsätze";"Folie 6",#N/A,FALSE,"Jahresumsätze";"Folie 7",#N/A,FALSE,"Jahresumsätze";"Folie 8",#N/A,FALSE,"Jahresumsätze"}</definedName>
    <definedName name="sdr" hidden="1">{"Folie 3",#N/A,FALSE,"Jahresumsätze";"Folie 4",#N/A,FALSE,"Jahresumsätze";"Folie 5",#N/A,FALSE,"Jahresumsätze";"Folie 6",#N/A,FALSE,"Jahresumsätze";"Folie 7",#N/A,FALSE,"Jahresumsätze";"Folie 8",#N/A,FALSE,"Jahresumsätze"}</definedName>
    <definedName name="s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#REF!</definedName>
    <definedName name="sencount" hidden="1">1</definedName>
    <definedName name="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g" hidden="1">{"Folie 3",#N/A,FALSE,"Jahresumsätze";"Folie 4",#N/A,FALSE,"Jahresumsätze";"Folie 5",#N/A,FALSE,"Jahresumsätze";"Folie 6",#N/A,FALSE,"Jahresumsätze";"Folie 7",#N/A,FALSE,"Jahresumsätze";"Folie 8",#N/A,FALSE,"Jahresumsätze"}</definedName>
    <definedName name="sgerwgerwgerw" hidden="1">{"FCB_ALL",#N/A,FALSE,"FCB"}</definedName>
    <definedName name="Shares">#REF!</definedName>
    <definedName name="sharesout">#REF!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JOURNAL_LINE_DFF" hidden="1">#REF!</definedName>
    <definedName name="Sheet1_GL_INTERFACE_REFERENCE1" hidden="1">#REF!</definedName>
    <definedName name="Sheet1_GL_INTERFACE_REFERENCE10" hidden="1">#REF!</definedName>
    <definedName name="Sheet1_GL_INTERFACE_REFERENCE4"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GMENT7" hidden="1">#REF!</definedName>
    <definedName name="Sheet1_GL_INTERFACE_SET_OF_BOOKS_ID" hidden="1">#REF!</definedName>
    <definedName name="Sheet1_GL_INTERFACE_USER_JE_CATEGORY_NAME" hidden="1">#REF!</definedName>
    <definedName name="Sheet1_GL_INTERFACE_USER_JE_SOURCE_NAME" hidden="1">#REF!</definedName>
    <definedName name="Short_Flow_Data">#REF!</definedName>
    <definedName name="shshryhasyhj" hidden="1">#N/A</definedName>
    <definedName name="shss" hidden="1">#N/A</definedName>
    <definedName name="SI">#REF!</definedName>
    <definedName name="solver_adj" hidden="1">#REF!</definedName>
    <definedName name="solver_adj1" hidden="1">#REF!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opt1"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49</definedName>
    <definedName name="SPC">#REF!</definedName>
    <definedName name="SPCE">#REF!</definedName>
    <definedName name="SpecialPrice" hidden="1">#REF!</definedName>
    <definedName name="spectfdi" hidden="1">{"schedule",#N/A,FALSE,"Sum Op's";"input area",#N/A,FALSE,"Sum Op's"}</definedName>
    <definedName name="SPPE2008">#REF!</definedName>
    <definedName name="SpreadBased">#REF!</definedName>
    <definedName name="spx_2008">#REF!</definedName>
    <definedName name="SPX1YR">#REF!</definedName>
    <definedName name="SPX2YR">#REF!</definedName>
    <definedName name="SPXYTD">#REF!</definedName>
    <definedName name="sql_statement" hidden="1">"select distinct acct_cat,sum(cyr),sum(lyr),sum(cbd),mult_x000D_
from r1_datasum_x000D_
group by acct_cat_x000D_
_x000D_
"</definedName>
    <definedName name="ss" hidden="1">{"Folie 3",#N/A,FALSE,"Jahresumsätze";"Folie 4",#N/A,FALSE,"Jahresumsätze";"Folie 5",#N/A,FALSE,"Jahresumsätze";"Folie 6",#N/A,FALSE,"Jahresumsätze";"Folie 7",#N/A,FALSE,"Jahresumsätze";"Folie 8",#N/A,FALSE,"Jahresumsätze"}</definedName>
    <definedName name="ssf" hidden="1">{"INCOMEquarterly1",#N/A,TRUE,"income";"INCOMEquarterly2",#N/A,TRUE,"income"}</definedName>
    <definedName name="ss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sss" hidden="1">{"Folie 3",#N/A,FALSE,"Jahresumsätze";"Folie 4",#N/A,FALSE,"Jahresumsätze";"Folie 5",#N/A,FALSE,"Jahresumsätze";"Folie 6",#N/A,FALSE,"Jahresumsätze";"Folie 7",#N/A,FALSE,"Jahresumsätze";"Folie 8",#N/A,FALSE,"Jahresumsätze"}</definedName>
    <definedName name="sssssssssssssss" hidden="1">{"Folie 3",#N/A,FALSE,"Jahresumsätze";"Folie 4",#N/A,FALSE,"Jahresumsätze";"Folie 5",#N/A,FALSE,"Jahresumsätze";"Folie 6",#N/A,FALSE,"Jahresumsätze";"Folie 7",#N/A,FALSE,"Jahresumsätze";"Folie 8",#N/A,FALSE,"Jahresumsätze"}</definedName>
    <definedName name="sssssssssssssssssss" hidden="1">{"Folie 3",#N/A,FALSE,"Jahresumsätze";"Folie 4",#N/A,FALSE,"Jahresumsätze";"Folie 5",#N/A,FALSE,"Jahresumsätze";"Folie 6",#N/A,FALSE,"Jahresumsätze";"Folie 7",#N/A,FALSE,"Jahresumsätze";"Folie 8",#N/A,FALSE,"Jahresumsätze"}</definedName>
    <definedName name="ssy" hidden="1">#N/A</definedName>
    <definedName name="stu" hidden="1">{"VAR",#N/A,FALSE,"2442";"VAR",#N/A,FALSE,"2443";"VAR",#N/A,FALSE,"2444";"VAR",#N/A,FALSE,"2517";"VAR",#N/A,FALSE,"2520"}</definedName>
    <definedName name="sue" hidden="1">#REF!</definedName>
    <definedName name="SUMMARY_BOOK" hidden="1">{"page1",#N/A,FALSE,"GIRLBO";"page2",#N/A,FALSE,"GIRLBO";"page3",#N/A,FALSE,"GIRLBO";"page4",#N/A,FALSE,"GIRLBO";"page5",#N/A,FALSE,"GIRLBO"}</definedName>
    <definedName name="Swvu.febcred." hidden="1">#REF!</definedName>
    <definedName name="Swvu.febmkt." hidden="1">#REF!</definedName>
    <definedName name="Swvu.febsto." hidden="1">#REF!</definedName>
    <definedName name="Swvu.MARCRD." hidden="1">#REF!</definedName>
    <definedName name="Swvu.MARMKT." hidden="1">#REF!</definedName>
    <definedName name="Swvu.MARSTO." hidden="1">#REF!</definedName>
    <definedName name="Swvu.MONCRE1." hidden="1">#REF!</definedName>
    <definedName name="Swvu.q1cred." hidden="1">#REF!</definedName>
    <definedName name="Swvu.q1mkt." hidden="1">#REF!</definedName>
    <definedName name="Swvu.q1sto." hidden="1">#REF!</definedName>
    <definedName name="Swvu.SUMMARY." hidden="1">#REF!</definedName>
    <definedName name="Swvu.ytdcred." hidden="1">#REF!</definedName>
    <definedName name="Swvu.ytdmkt." hidden="1">#REF!</definedName>
    <definedName name="Swvu.ytdsto." hidden="1">#REF!</definedName>
    <definedName name="t" hidden="1">{"00000summary",#N/A,FALSE,"00000";"10000summary",#N/A,FALSE,"10000"}</definedName>
    <definedName name="Target">#REF!</definedName>
    <definedName name="TariffRev13">#REF!</definedName>
    <definedName name="Tax_Rate">#REF!</definedName>
    <definedName name="tbl_ProdInfo" hidden="1">#REF!</definedName>
    <definedName name="Tech">#REF!</definedName>
    <definedName name="TemplateVersion" hidden="1">#REF!</definedName>
    <definedName name="tertw" hidden="1">{#N/A,#N/A,FALSE,"Aging Summary";#N/A,#N/A,FALSE,"Ratio Analysis";#N/A,#N/A,FALSE,"Test 120 Day Accts";#N/A,#N/A,FALSE,"Tickmarks"}</definedName>
    <definedName name="test" hidden="1">{#N/A,#N/A,FALSE,"Valuation";#N/A,#N/A,FALSE,"MLP Impact"}</definedName>
    <definedName name="test1" hidden="1">{#N/A,#N/A,FALSE,"Hip.Bas";#N/A,#N/A,FALSE,"ventas";#N/A,#N/A,FALSE,"ingre-Año";#N/A,#N/A,FALSE,"ventas-Año";#N/A,#N/A,FALSE,"Costepro";#N/A,#N/A,FALSE,"inversion";#N/A,#N/A,FALSE,"personal";#N/A,#N/A,FALSE,"Gastos-V";#N/A,#N/A,FALSE,"Circulante";#N/A,#N/A,FALSE,"CONSOLI";#N/A,#N/A,FALSE,"Es-Fin";#N/A,#N/A,FALSE,"Margen-P"}</definedName>
    <definedName name="test12" hidden="1">{"Folie 3",#N/A,FALSE,"Jahresumsätze";"Folie 4",#N/A,FALSE,"Jahresumsätze";"Folie 5",#N/A,FALSE,"Jahresumsätze";"Folie 6",#N/A,FALSE,"Jahresumsätze";"Folie 7",#N/A,FALSE,"Jahresumsätze";"Folie 8",#N/A,FALSE,"Jahresumsätze"}</definedName>
    <definedName name="test2" hidden="1">{"Income Statement",#N/A,FALSE,"CFMODEL";"Balance Sheet",#N/A,FALSE,"CFMODEL"}</definedName>
    <definedName name="test3" hidden="1">{#N/A,#N/A,FALSE,"Hip.Bas";#N/A,#N/A,FALSE,"ventas";#N/A,#N/A,FALSE,"ingre-Año";#N/A,#N/A,FALSE,"ventas-Año";#N/A,#N/A,FALSE,"Costepro";#N/A,#N/A,FALSE,"inversion";#N/A,#N/A,FALSE,"personal";#N/A,#N/A,FALSE,"Gastos-V";#N/A,#N/A,FALSE,"Circulante";#N/A,#N/A,FALSE,"CONSOLI";#N/A,#N/A,FALSE,"Es-Fin";#N/A,#N/A,FALSE,"Margen-P"}</definedName>
    <definedName name="test4" hidden="1">#N/A</definedName>
    <definedName name="test7" hidden="1">#N/A</definedName>
    <definedName name="test8" hidden="1">#N/A</definedName>
    <definedName name="tesy5" hidden="1">#N/A</definedName>
    <definedName name="TEV">#REF!</definedName>
    <definedName name="TextRefCopyRangeCount" hidden="1">6</definedName>
    <definedName name="t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he" hidden="1">#REF!</definedName>
    <definedName name="TheRest">#REF!</definedName>
    <definedName name="Threshold">0.01</definedName>
    <definedName name="tier1">#REF!</definedName>
    <definedName name="tier2">#REF!</definedName>
    <definedName name="tier3">#REF!</definedName>
    <definedName name="tier4">#REF!</definedName>
    <definedName name="TLA.024" hidden="1">#REF!</definedName>
    <definedName name="TLA.027" hidden="1">#REF!</definedName>
    <definedName name="TLA.028" hidden="1">#REF!</definedName>
    <definedName name="TLA.080" hidden="1">#REF!</definedName>
    <definedName name="TLA.087" hidden="1">#REF!</definedName>
    <definedName name="tob" hidden="1">{"febcred",#N/A,FALSE,"FORECAST";"febmkt",#N/A,FALSE,"FORECAST";"febsto",#N/A,FALSE,"FORECAST";"ytdcred",#N/A,FALSE,"FORECAST";"ytdmkt",#N/A,FALSE,"FORECAST";"ytdsto",#N/A,FALSE,"FORECAST"}</definedName>
    <definedName name="Totlaunch">#REF!</definedName>
    <definedName name="Totmark">#REF!</definedName>
    <definedName name="Totmark2">#REF!</definedName>
    <definedName name="TotTech">#REF!</definedName>
    <definedName name="tr" hidden="1">{"Folie 3",#N/A,FALSE,"Jahresumsätze";"Folie 4",#N/A,FALSE,"Jahresumsätze";"Folie 5",#N/A,FALSE,"Jahresumsätze";"Folie 6",#N/A,FALSE,"Jahresumsätze";"Folie 7",#N/A,FALSE,"Jahresumsätze";"Folie 8",#N/A,FALSE,"Jahresumsätze"}</definedName>
    <definedName name="Traditional">#REF!</definedName>
    <definedName name="tryu" hidden="1">{#N/A,#N/A,TRUE,"Monthly w|o Wireless";#N/A,#N/A,TRUE,"Qrt w|o Wireless";#N/A,#N/A,TRUE,"FY w|o Wireless";#N/A,#N/A,TRUE,"1Q w|o Wireless";#N/A,#N/A,TRUE,"2Q w|o Wireless";#N/A,#N/A,TRUE,"3Q w|o Wireless";#N/A,#N/A,TRUE,"4Q w|o Wireless"}</definedName>
    <definedName name="tryu_1" hidden="1">{#N/A,#N/A,TRUE,"Monthly w|o Wireless";#N/A,#N/A,TRUE,"Qrt w|o Wireless";#N/A,#N/A,TRUE,"FY w|o Wireless";#N/A,#N/A,TRUE,"1Q w|o Wireless";#N/A,#N/A,TRUE,"2Q w|o Wireless";#N/A,#N/A,TRUE,"3Q w|o Wireless";#N/A,#N/A,TRUE,"4Q w|o Wireless"}</definedName>
    <definedName name="tt" hidden="1">{"00000summary",#N/A,FALSE,"00000";"10000summary",#N/A,FALSE,"10000"}</definedName>
    <definedName name="ttt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ttttt" hidden="1">{"Folie 3",#N/A,FALSE,"Jahresumsätze";"Folie 4",#N/A,FALSE,"Jahresumsätze";"Folie 5",#N/A,FALSE,"Jahresumsätze";"Folie 6",#N/A,FALSE,"Jahresumsätze";"Folie 7",#N/A,FALSE,"Jahresumsätze";"Folie 8",#N/A,FALSE,"Jahresumsätze"}</definedName>
    <definedName name="tttttt" hidden="1">{#N/A,#N/A,TRUE,"Income Statement";#N/A,#N/A,TRUE,"Gas Assumptions";#N/A,#N/A,TRUE,"DCF";#N/A,#N/A,TRUE,"Depreciation Matrix";#N/A,#N/A,TRUE,"Matrix";#N/A,#N/A,TRUE,"Matrix_Perpetuity"}</definedName>
    <definedName name="u" hidden="1">#REF!</definedName>
    <definedName name="ü" hidden="1">{#N/A,#N/A,FALSE,"Aging Summary";#N/A,#N/A,FALSE,"Ratio Analysis";#N/A,#N/A,FALSE,"Test 120 Day Accts";#N/A,#N/A,FALSE,"Tickmarks"}</definedName>
    <definedName name="uk" hidden="1">{"Folie 3",#N/A,FALSE,"Jahresumsätze";"Folie 4",#N/A,FALSE,"Jahresumsätze";"Folie 5",#N/A,FALSE,"Jahresumsätze";"Folie 6",#N/A,FALSE,"Jahresumsätze";"Folie 7",#N/A,FALSE,"Jahresumsätze";"Folie 8",#N/A,FALSE,"Jahresumsätze"}</definedName>
    <definedName name="Update_date">#REF!</definedName>
    <definedName name="uptodate">#REF!</definedName>
    <definedName name="v" hidden="1">{#N/A,#N/A,FALSE,"Output";#N/A,#N/A,FALSE,"Cover Sheet";#N/A,#N/A,FALSE,"Current Mkt. Projections"}</definedName>
    <definedName name="vaaaaaavavv" hidden="1">#N/A</definedName>
    <definedName name="VAL">#REF!</definedName>
    <definedName name="valuation">#REF!</definedName>
    <definedName name="var" hidden="1">{"00000summary",#N/A,FALSE,"00000";"10000summary",#N/A,FALSE,"10000"}</definedName>
    <definedName name="Variable">#REF!</definedName>
    <definedName name="VariableUniversal">#REF!</definedName>
    <definedName name="vbvb" hidden="1">{"Folie 3",#N/A,FALSE,"Jahresumsätze";"Folie 4",#N/A,FALSE,"Jahresumsätze";"Folie 5",#N/A,FALSE,"Jahresumsätze";"Folie 6",#N/A,FALSE,"Jahresumsätze";"Folie 7",#N/A,FALSE,"Jahresumsätze";"Folie 8",#N/A,FALSE,"Jahresumsätze"}</definedName>
    <definedName name="vbvbvbvb" hidden="1">{"Folie 3",#N/A,FALSE,"Jahresumsätze";"Folie 4",#N/A,FALSE,"Jahresumsätze";"Folie 5",#N/A,FALSE,"Jahresumsätze";"Folie 6",#N/A,FALSE,"Jahresumsätze";"Folie 7",#N/A,FALSE,"Jahresumsätze";"Folie 8",#N/A,FALSE,"Jahresumsätze"}</definedName>
    <definedName name="vbvv" hidden="1">{"Folie 3",#N/A,FALSE,"Jahresumsätze";"Folie 4",#N/A,FALSE,"Jahresumsätze";"Folie 5",#N/A,FALSE,"Jahresumsätze";"Folie 6",#N/A,FALSE,"Jahresumsätze";"Folie 7",#N/A,FALSE,"Jahresumsätze";"Folie 8",#N/A,FALSE,"Jahresumsätze"}</definedName>
    <definedName name="vhsfd" hidden="1">{#N/A,#N/A,TRUE,"Monthly BCG";#N/A,#N/A,TRUE,"Monthly w|o Wireless";#N/A,#N/A,TRUE,"Monthly Wireless"}</definedName>
    <definedName name="vhsfd_1" hidden="1">{#N/A,#N/A,TRUE,"Monthly BCG";#N/A,#N/A,TRUE,"Monthly w|o Wireless";#N/A,#N/A,TRUE,"Monthly Wireless"}</definedName>
    <definedName name="vvvv" hidden="1">{"Folie 3",#N/A,FALSE,"Jahresumsätze";"Folie 4",#N/A,FALSE,"Jahresumsätze";"Folie 5",#N/A,FALSE,"Jahresumsätze";"Folie 6",#N/A,FALSE,"Jahresumsätze";"Folie 7",#N/A,FALSE,"Jahresumsätze";"Folie 8",#N/A,FALSE,"Jahresumsätze"}</definedName>
    <definedName name="vvvvvvvvvvvvvvv" hidden="1">{"Folie 3",#N/A,FALSE,"Jahresumsätze";"Folie 4",#N/A,FALSE,"Jahresumsätze";"Folie 5",#N/A,FALSE,"Jahresumsätze";"Folie 6",#N/A,FALSE,"Jahresumsätze";"Folie 7",#N/A,FALSE,"Jahresumsätze";"Folie 8",#N/A,FALSE,"Jahresumsätze"}</definedName>
    <definedName name="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 hidden="1">{"'Actual'!$A$1:$F$25"}</definedName>
    <definedName name="warefasdf" hidden="1">#REF!</definedName>
    <definedName name="wcom" hidden="1">{"IS",#N/A,FALSE,"IS";"RPTIS",#N/A,FALSE,"RPTIS";"STATS",#N/A,FALSE,"STATS";"BS",#N/A,FALSE,"BS"}</definedName>
    <definedName name="wd" hidden="1">{#N/A,#N/A,FALSE,"Aging Summary";#N/A,#N/A,FALSE,"Ratio Analysis";#N/A,#N/A,FALSE,"Test 120 Day Accts";#N/A,#N/A,FALSE,"Tickmarks"}</definedName>
    <definedName name="wergqerrgqwergr" hidden="1">#N/A</definedName>
    <definedName name="wert" hidden="1">{#N/A,#N/A,TRUE,"1Q BCG";#N/A,#N/A,TRUE,"1Q w|o Wireless";#N/A,#N/A,TRUE,"1Q Wireless"}</definedName>
    <definedName name="wert_1" hidden="1">{#N/A,#N/A,TRUE,"1Q BCG";#N/A,#N/A,TRUE,"1Q w|o Wireless";#N/A,#N/A,TRUE,"1Q Wireless"}</definedName>
    <definedName name="West_prices">#REF!</definedName>
    <definedName name="wewewew" hidden="1">{"Folie 3",#N/A,FALSE,"Jahresumsätze";"Folie 4",#N/A,FALSE,"Jahresumsätze";"Folie 5",#N/A,FALSE,"Jahresumsätze";"Folie 6",#N/A,FALSE,"Jahresumsätze";"Folie 7",#N/A,FALSE,"Jahresumsätze";"Folie 8",#N/A,FALSE,"Jahresumsätze"}</definedName>
    <definedName name="wha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OWO" hidden="1">#REF!</definedName>
    <definedName name="wrd.2._.pagers.3" hidden="1">{"Cover",#N/A,FALSE,"Cover";"Summary",#N/A,FALSE,"Summarpage"}</definedName>
    <definedName name="wrn.1."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77" hidden="1">{"NHS97",#N/A,FALSE,"NHS96 "}</definedName>
    <definedName name="WRN.1978" hidden="1">{"NHS97",#N/A,FALSE,"NHS96 "}</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1997." hidden="1">{"NHS97",#N/A,FALSE,"NHS96 "}</definedName>
    <definedName name="wrn.1997.1" hidden="1">{"NHS97",#N/A,FALSE,"NHS96 "}</definedName>
    <definedName name="wrn.1st._.Quarter." hidden="1">{#N/A,#N/A,TRUE,"1Q BCG";#N/A,#N/A,TRUE,"1Q w|o Wireless";#N/A,#N/A,TRUE,"1Q Wireless"}</definedName>
    <definedName name="wrn.1st._.Quarter._1" hidden="1">{#N/A,#N/A,TRUE,"1Q BCG";#N/A,#N/A,TRUE,"1Q w|o Wireless";#N/A,#N/A,TRUE,"1Q Wireless"}</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 hidden="1">{"NHS97",#N/A,FALSE,"NHS96 "}</definedName>
    <definedName name="wrn.2000.1" hidden="1">{"NHS97",#N/A,FALSE,"NHS96 "}</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11." hidden="1">{"SUMMARY",#N/A,FALSE,"2111";"EXPDETAIL",#N/A,FALSE,"2111";"CAPEX",#N/A,FALSE,"2111";"SALARY",#N/A,FALSE,"2111"}</definedName>
    <definedName name="wrn.2112." hidden="1">{"SUMMARY",#N/A,FALSE,"2112";"EXPDETAIL",#N/A,FALSE,"2112";"CAPEX",#N/A,FALSE,"2112";"SALARY",#N/A,FALSE,"2112"}</definedName>
    <definedName name="wrn.2115." hidden="1">{"SUMMARY",#N/A,FALSE,"2115";"EXPDETAIL",#N/A,FALSE,"2115";"CAPEX",#N/A,FALSE,"2115";"salary",#N/A,FALSE,"2115"}</definedName>
    <definedName name="wrn.2116." hidden="1">{"SUMMARY",#N/A,FALSE,"2116";"EXPDETAIL",#N/A,FALSE,"2116";"CAPEX",#N/A,FALSE,"2116";"salary",#N/A,FALSE,"2116"}</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nd._.Quarter." hidden="1">{#N/A,#N/A,TRUE,"2Q BCG";#N/A,#N/A,TRUE,"2Q w|o Wireless";#N/A,#N/A,TRUE,"2Q Wireless"}</definedName>
    <definedName name="wrn.2nd._.Quarter._1" hidden="1">{#N/A,#N/A,TRUE,"2Q BCG";#N/A,#N/A,TRUE,"2Q w|o Wireless";#N/A,#N/A,TRUE,"2Q Wireless"}</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uarter." hidden="1">{#N/A,#N/A,TRUE,"3Q BCG";#N/A,#N/A,TRUE,"3Q w|o Wireless";#N/A,#N/A,TRUE,"3Q Wireless"}</definedName>
    <definedName name="wrn.3rd._.Quarter._1" hidden="1">{#N/A,#N/A,TRUE,"3Q BCG";#N/A,#N/A,TRUE,"3Q w|o Wireless";#N/A,#N/A,TRUE,"3Q Wireless"}</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th._.Quarter." hidden="1">{#N/A,#N/A,TRUE,"4Q BCG";#N/A,#N/A,TRUE,"4Q w|o Wireless";#N/A,#N/A,TRUE,"4Q Wireless"}</definedName>
    <definedName name="wrn.4th._.Quarter._1" hidden="1">{#N/A,#N/A,TRUE,"4Q BCG";#N/A,#N/A,TRUE,"4Q w|o Wireless";#N/A,#N/A,TRUE,"4Q Wireless"}</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CK." hidden="1">{"Annual",#N/A,FALSE,"ACK";"Margins",#N/A,FALSE,"ACK";"Q",#N/A,FALSE,"QTRS."}</definedName>
    <definedName name="wrn.Aging._.and._.Trend._.Analysis." hidden="1">{#N/A,#N/A,FALSE,"Aging Summary";#N/A,#N/A,FALSE,"Ratio Analysis";#N/A,#N/A,FALSE,"Test 120 Day Accts";#N/A,#N/A,FALSE,"Tickmarks"}</definedName>
    <definedName name="wrn.ALL." hidden="1">{"SUMMARY",#N/A,FALSE,"CONSOL";"EXPDETAIL",#N/A,FALSE,"CONSOL";"CAPEX",#N/A,FALSE,"CONSOL";"SUMMARY",#N/A,FALSE,"2111";"EXPDETAIL",#N/A,FALSE,"2111";"CAPEX",#N/A,FALSE,"2111";"SALARY",#N/A,FALSE,"2111";"SUMMARY",#N/A,FALSE,"2112";"EXPDETAIL",#N/A,FALSE,"2112";"CAPEX",#N/A,FALSE,"2112";"SALARY",#N/A,FALSE,"2112";"SUMMARY",#N/A,FALSE,"2115";"EXPDETAIL",#N/A,FALSE,"2115";"CAPEX",#N/A,FALSE,"2115";"SALARY",#N/A,FALSE,"2115";"SUMMARY",#N/A,FALSE,"2116";"EXPDETAIL",#N/A,FALSE,"2116";"SALARY",#N/A,FALSE,"2116";"CAPEX",#N/A,FALSE,"2116";"SALARY",#N/A,FALSE,"2116"}</definedName>
    <definedName name="wrn.ALL._....original." hidden="1">{#N/A,#N/A,FALSE,"Qrt Fcst";#N/A,#N/A,FALSE,"Qrt Fcst vs Plan &amp; PY";#N/A,#N/A,FALSE,"FY Fcst vs Plan &amp; PY";#N/A,#N/A,FALSE,"EVA CAP";#N/A,#N/A,FALSE,"EVA NOPAT"}</definedName>
    <definedName name="wrn.ALL._....original._1" hidden="1">{#N/A,#N/A,FALSE,"Qrt Fcst";#N/A,#N/A,FALSE,"Qrt Fcst vs Plan &amp; PY";#N/A,#N/A,FALSE,"FY Fcst vs Plan &amp; PY";#N/A,#N/A,FALSE,"EVA CAP";#N/A,#N/A,FALSE,"EVA NOPAT"}</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{#N/A,#N/A,FALSE,"puboff";#N/A,#N/A,FALSE,"financials";#N/A,#N/A,FALSE,"valuation";#N/A,#N/A,FALSE,"split"}</definedName>
    <definedName name="wrn.All._.Scenario._.Report." hidden="1">{#N/A,#N/A,FALSE,"Comparison";#N/A,#N/A,FALSE,"Base Case";#N/A,#N/A,FALSE,"Alternative #1";#N/A,#N/A,FALSE,"Alternative #2"}</definedName>
    <definedName name="wrn.All._.Sections." hidden="1">{"Data Entry",#N/A,FALSE,"COMPTEMP";"Ratios",#N/A,FALSE,"COMPTEMP";"Aggregate Values",#N/A,FALSE,"COMPTEMP";"Equity Multiples",#N/A,FALSE,"COMPTEMP";"Summary Overview",#N/A,FALSE,"COMPTEMP"}</definedName>
    <definedName name="wrn.ALL._.SHEETS." hidden="1">{#N/A,#N/A,FALSE,"Adj Proj";#N/A,#N/A,FALSE,"Sheet1";#N/A,#N/A,FALSE,"LBO";#N/A,#N/A,FALSE,"LBOMER";#N/A,#N/A,FALSE,"WACC";#N/A,#N/A,FALSE,"DCF";#N/A,#N/A,FALSE,"DCFMER";#N/A,#N/A,FALSE,"Pooling";#N/A,#N/A,FALSE,"income";#N/A,#N/A,FALSE,"Offer"}</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1" hidden="1">{#N/A,#N/A,FALSE,"Qrt Fcst";#N/A,#N/A,FALSE,"Qrt Fcst vs Plan &amp; PY";#N/A,#N/A,FALSE,"FY Fcst vs Plan &amp; PY";#N/A,#N/A,FALSE,"EVA CAP";#N/A,#N/A,FALSE,"EVA NOPAT"}</definedName>
    <definedName name="wrn.ALL._1_1" hidden="1">{#N/A,#N/A,FALSE,"Qrt Fcst";#N/A,#N/A,FALSE,"Qrt Fcst vs Plan &amp; PY";#N/A,#N/A,FALSE,"FY Fcst vs Plan &amp; PY";#N/A,#N/A,FALSE,"EVA CAP";#N/A,#N/A,FALSE,"EVA NOPAT"}</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mericas." hidden="1">{#N/A,#N/A,FALSE,"Americas"}</definedName>
    <definedName name="wrn.AMORTIZATION." hidden="1">{"amortization",#N/A,FALSE,"Amort-Dep"}</definedName>
    <definedName name="wrn.Annual._.Income._.Statement." hidden="1">{#N/A,#N/A,FALSE,"Income"}</definedName>
    <definedName name="wrn.APPROPRIATION." hidden="1">{"appropriation",#N/A,FALSE,"APPROP"}</definedName>
    <definedName name="wrn.BAC_CBG." hidden="1">{"BAC_CBG",#N/A,FALSE,"BAC_CBG"}</definedName>
    <definedName name="wrn.BAC_EH_Lux" hidden="1">{"BAC_CBG",#N/A,FALSE,"BAC_CBG"}</definedName>
    <definedName name="wrn.balance._.sheet." hidden="1">{"bs",#N/A,FALSE,"SCF"}</definedName>
    <definedName name="wrn.BALANCE._.SHEET._.ALL." hidden="1">{"balance sheet us",#N/A,FALSE,"Bal. Sht.- Work Cap";"balance sheet ex",#N/A,FALSE,"Bal. Sht.- Work Cap";"balance sheet other",#N/A,FALSE,"Bal. Sht.- Work Cap";"balance sheet ww",#N/A,FALSE,"Bal. Sht.- Work Cap"}</definedName>
    <definedName name="wrn.BALANCE._.SHEET._.EX._.US." hidden="1">{"balance sheet ex",#N/A,FALSE,"Bal. Sht.- Work Cap"}</definedName>
    <definedName name="wrn.BALANCE._.SHEET._.OTHER." hidden="1">{"balance sheet other",#N/A,FALSE,"Bal. Sht.- Work Cap"}</definedName>
    <definedName name="wrn.BALANCE._.SHEET._.US." hidden="1">{"balance sheet us",#N/A,FALSE,"Bal. Sht.- Work Cap"}</definedName>
    <definedName name="wrn.BALANCE._.SHEET._.WW." hidden="1">{"balance sheet ww",#N/A,FALSE,"Bal. Sht.- Work Cap"}</definedName>
    <definedName name="wrn.Basic." hidden="1">{#N/A,#N/A,FALSE,"Cover";#N/A,#N/A,FALSE,"Assumptions";#N/A,#N/A,FALSE,"Acquirer";#N/A,#N/A,FALSE,"Target";#N/A,#N/A,FALSE,"Income Statement";#N/A,#N/A,FALSE,"Summary Tables"}</definedName>
    <definedName name="wrn.Basic._.Print._.Value._.MLP." hidden="1">{#N/A,#N/A,FALSE,"Valuation";#N/A,#N/A,FALSE,"MLP Impact"}</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CG._.All._.Periods." hidden="1">{#N/A,#N/A,TRUE,"Monthly BCG";#N/A,#N/A,TRUE,"Qrt BCG";#N/A,#N/A,TRUE,"FY BCG";#N/A,#N/A,TRUE,"1Q BCG";#N/A,#N/A,TRUE,"2Q BCG";#N/A,#N/A,TRUE,"3Q BCG";#N/A,#N/A,TRUE,"4Q BCG"}</definedName>
    <definedName name="wrn.BCG._.All._.Periods._1" hidden="1">{#N/A,#N/A,TRUE,"Monthly BCG";#N/A,#N/A,TRUE,"Qrt BCG";#N/A,#N/A,TRUE,"FY BCG";#N/A,#N/A,TRUE,"1Q BCG";#N/A,#N/A,TRUE,"2Q BCG";#N/A,#N/A,TRUE,"3Q BCG";#N/A,#N/A,TRUE,"4Q BCG"}</definedName>
    <definedName name="wrn.BEL." hidden="1">{"IS",#N/A,FALSE,"IS";"RPTIS",#N/A,FALSE,"RPTIS";"STATS",#N/A,FALSE,"STATS";"CELL",#N/A,FALSE,"CELL";"BS",#N/A,FALSE,"BS"}</definedName>
    <definedName name="wrn.BILLSCOPY." hidden="1">{"var1",#N/A,FALSE,"VAR";"var",#N/A,FALSE,"VAR";"ytd",#N/A,FALSE,"YTD";"SUMMARY",#N/A,FALSE,"CONSOL"}</definedName>
    <definedName name="wrn.BiPolar." hidden="1">{#N/A,#N/A,FALSE,"Bi-Polar"}</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ullshit1." hidden="1">{#N/A,#N/A,FALSE,"Sheet1";#N/A,#N/A,FALSE,"Summary";#N/A,#N/A,FALSE,"proj1";#N/A,#N/A,FALSE,"proj2"}</definedName>
    <definedName name="wrn.CASH._.FLOW._.ALL." hidden="1">{"cash flow ww",#N/A,FALSE,"Cash Flow";"cash flow other",#N/A,FALSE,"Cash Flow";"cash flow ex",#N/A,FALSE,"Cash Flow";"cash flow us",#N/A,FALSE,"Cash Flow"}</definedName>
    <definedName name="wrn.CASH._.FLOW._.EX._.US." hidden="1">{"cash flow ex",#N/A,FALSE,"Cash Flow"}</definedName>
    <definedName name="wrn.CASH._.FLOW._.OTHER." hidden="1">{"cash flow other",#N/A,FALSE,"Cash Flow"}</definedName>
    <definedName name="wrn.CASH._.FLOW._.US." hidden="1">{"cash flow us",#N/A,FALSE,"Cash Flow"}</definedName>
    <definedName name="wrn.CASH._.FLOW._.WW." hidden="1">{"cash flow ww",#N/A,FALSE,"Cash Flow"}</definedName>
    <definedName name="wrn.CBG." hidden="1">{"CBGMASTER",#N/A,FALSE,"CBG"}</definedName>
    <definedName name="wrn.ccroll."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croll._1"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huckie._.Boyz._.Masterfukinpiece." hidden="1">{#N/A,#N/A,FALSE,"Networking";#N/A,#N/A,FALSE,"Net. Graphs";#N/A,#N/A,FALSE,"Services";#N/A,#N/A,FALSE,"Serv. Grpahs"}</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 hidden="1">{#N/A,#N/A,FALSE,"FAB VENDORS";"BUD SUM",#N/A,FALSE,"BUD SUM WO TEX"}</definedName>
    <definedName name="wrn.Combined_Act." hidden="1">{#N/A,#N/A,FALSE,"Combined"}</definedName>
    <definedName name="wrn.Combined_PriorYR." hidden="1">{#N/A,#N/A,FALSE,"Combined"}</definedName>
    <definedName name="wrn.Comcast." hidden="1">{"EPS_one",#N/A,FALSE,"96-02 EPS";"EPS_two",#N/A,FALSE,"96-02 EPS";"Newrev_one",#N/A,FALSE,"New rev 97 - 02";"Newrev_two",#N/A,FALSE,"New rev 97 - 02";"cable_one",#N/A,FALSE,"cable 96-02";"cable_two",#N/A,FALSE,"cable 96-02";"data.page",#N/A,FALSE,"Data_page"}</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{#N/A,#N/A,FALSE,"Comp"}</definedName>
    <definedName name="wrn.Condensed._.Quarters." hidden="1">{"Condensed Quarters",#N/A,FALSE,"TOTALsoe - QTRS"}</definedName>
    <definedName name="wrn.consol." hidden="1">{"SUMMARY",#N/A,FALSE,"CONSOL";"sales",#N/A,FALSE,"CONSOL";"dia",#N/A,FALSE,"CONSOL";"revenue",#N/A,FALSE,"CONSOL";"empdetail",#N/A,FALSE,"CONSOL";"expdetail",#N/A,FALSE,"CONSOL";"capex",#N/A,FALSE,"CONSOL"}</definedName>
    <definedName name="wrn.Corp_Act." hidden="1">{#N/A,#N/A,FALSE,"Corp"}</definedName>
    <definedName name="wrn.Corp_Plan." hidden="1">{#N/A,#N/A,FALSE,"Corp"}</definedName>
    <definedName name="wrn.Corp_PrYr." hidden="1">{#N/A,#N/A,FALSE,"Corp"}</definedName>
    <definedName name="wrn.Cost._.Center._.Opex."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ST._.OF._.GOODS._.SOLD." hidden="1">{"cogs",#N/A,FALSE,"Cost Of Goods Sold"}</definedName>
    <definedName name="wrn.CR._.All." hidden="1">{"summary",#N/A,FALSE,"Customized Research";"Detail",#N/A,FALSE,"Customized Research"}</definedName>
    <definedName name="wrn.CW." hidden="1">{#N/A,#N/A,FALSE,"FAB VENDORS";"BUD SUM",#N/A,FALSE,"BUD SUM WO TEX"}</definedName>
    <definedName name="wrn.dcf." hidden="1">{"mgmt forecast",#N/A,FALSE,"Mgmt Forecast";"dcf table",#N/A,FALSE,"Mgmt Forecast";"sensitivity",#N/A,FALSE,"Mgmt Forecast";"table inputs",#N/A,FALSE,"Mgmt Forecast";"calculations",#N/A,FALSE,"Mgmt Forecast"}</definedName>
    <definedName name="wrn.DCF._.Only." hidden="1">{#N/A,#N/A,FALSE,"DCF Summary";#N/A,#N/A,FALSE,"Casema";#N/A,#N/A,FALSE,"Casema NoTel";#N/A,#N/A,FALSE,"UK";#N/A,#N/A,FALSE,"RCF";#N/A,#N/A,FALSE,"Intercable CZ";#N/A,#N/A,FALSE,"Interkabel P"}</definedName>
    <definedName name="wrn.debt." hidden="1">{"CFA",#N/A,FALSE,"CF";"CFQ",#N/A,FALSE,"CF";"dbt.all.anl",#N/A,FALSE,"CF";"dbt.all.qt",#N/A,FALSE,"CF";"dbt.pt1.anl",#N/A,FALSE,"CF";"debt.pt2.anl",#N/A,FALSE,"CF";"dbt.pt1.qt",#N/A,FALSE,"CF";"dbt.pt2.qt",#N/A,FALSE,"CF";"BSA",#N/A,FALSE,"B"}</definedName>
    <definedName name="wrn.DEPRECIATION." hidden="1">{"depreciation",#N/A,FALSE,"Amort-Dep"}</definedName>
    <definedName name="wrn.detail_US." hidden="1">{"summary1",#N/A,FALSE,"K";"summary2",#N/A,FALSE,"K";"USmarket",#N/A,FALSE,"K";"USearnings",#N/A,FALSE,"K"}</definedName>
    <definedName name="wrn.devdeal." hidden="1">{"top",#N/A,TRUE,"Detail";"next",#N/A,TRUE,"Detail";"then",#N/A,TRUE,"Detail";"and",#N/A,TRUE,"Detail";"inaddition",#N/A,TRUE,"Detail";"finally",#N/A,TRUE,"Detail"}</definedName>
    <definedName name="wrn.djall." hidden="1">{"djcash",#N/A,FALSE,"DJann";"djinc",#N/A,FALSE,"DJann";"djtaxes",#N/A,FALSE,"DJann";"djbuspub",#N/A,FALSE,"DJann";"djwall",#N/A,FALSE,"DJann";"djcompprs",#N/A,FALSE,"DJann";"djteler",#N/A,FALSE,"DJann"}</definedName>
    <definedName name="wrn.Dom." hidden="1">{"Dom_qty",#N/A,FALSE,"Domestic";"Dom_sell",#N/A,FALSE,"Domestic";"Dom_misc",#N/A,FALSE,"Domestic"}</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a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 hidden="1">{"INCOMEannual1",#N/A,FALSE,"income";"INCOMEannual2",#N/A,FALSE,"income";"INCOMEquarterly1",#N/A,FALSE,"income";"INCOMEquarterly2",#N/A,FALSE,"income";"INCOMEcalendarized1",#N/A,FALSE,"income";"INCOMEcalendarized2",#N/A,FALSE,"income";"QTRSTATISTICSstatistics",#N/A,FALSE,"Qtr statistics";"YEARSTATISTICSstatistics",#N/A,FALSE,"Yr statistics";"CASHFLOWcashflow",#N/A,FALSE,"cash flow";"DEBTdebt1",#N/A,FALSE,"debt";"DEBTdebt2",#N/A,FALSE,"debt";"VALUATIONprice",#N/A,FALSE,"valuation"}</definedName>
    <definedName name="wrn.entireINCOME." hidden="1">{"INCOMEannual2",#N/A,FALSE,"income";"INCOMEannual1",#N/A,FALSE,"income";"INCOMEquarterly1",#N/A,FALSE,"income";"INCOMEquarterly2",#N/A,FALSE,"income";"INCOMEcalendarized1",#N/A,FALSE,"income"}</definedName>
    <definedName name="wrn.ETH." hidden="1">{"AnnMarg.",#N/A,FALSE,"ETHAN";"Q",#N/A,FALSE,"Qtrs."}</definedName>
    <definedName name="wrn.EXEC._.SUMM._.ALL." hidden="1">{"exec sum us",#N/A,FALSE,"Exec Sum";"exec sum ex",#N/A,FALSE,"Exec Sum";"exec summ other",#N/A,FALSE,"Exec Sum";"exec sum ww",#N/A,FALSE,"Exec Sum"}</definedName>
    <definedName name="wrn.EXEC._.SUMM._.EX._.US." hidden="1">{"exec sum ex",#N/A,FALSE,"Exec Sum"}</definedName>
    <definedName name="wrn.EXEC._.SUMM._.OTHER." hidden="1">{"exec summ other",#N/A,FALSE,"Exec Sum"}</definedName>
    <definedName name="wrn.EXEC._.SUMM._.US." hidden="1">{"exec sum us",#N/A,FALSE,"Exec Sum"}</definedName>
    <definedName name="wrn.EXEC._.SUMM._.WW." hidden="1">{"exec sum ww",#N/A,FALSE,"Exec Sum"}</definedName>
    <definedName name="wrn.Exp." hidden="1">{"Exp_qty",#N/A,FALSE,"Export";"Exp_sell",#N/A,FALSE,"Export";"Exp_misc",#N/A,FALSE,"Export"}</definedName>
    <definedName name="wrn.ExpCompSet." hidden="1">{"ExpCompSet",#N/A,FALSE,"Export Comp. Sets"}</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b." hidden="1">{"AnnMarg",#N/A,FALSE,"FALCON";"Q",#N/A,FALSE,"Qtrs."}</definedName>
    <definedName name="wrn.FCB." hidden="1">{"FCB_ALL",#N/A,FALSE,"FCB"}</definedName>
    <definedName name="wrn.fcb2" hidden="1">{"FCB_ALL",#N/A,FALSE,"FCB"}</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NANCIAL._.SUMMARY._.ALL." hidden="1">{"fin sum us",#N/A,FALSE,"Financial Summ";"fin sum ex",#N/A,FALSE,"Financial Summ";"fin sum other",#N/A,FALSE,"Financial Summ";"fin sum ww",#N/A,FALSE,"Financial Summ"}</definedName>
    <definedName name="wrn.FINANCIAL._.SUMMARY._.EX._.US." hidden="1">{"fin sum ex",#N/A,FALSE,"Financial Summ"}</definedName>
    <definedName name="wrn.FINANCIAL._.SUMMARY._.OTHER." hidden="1">{"fin sum other",#N/A,FALSE,"Financial Summ"}</definedName>
    <definedName name="wrn.FINANCIAL._.SUMMARY._.US." hidden="1">{"fin sum us",#N/A,FALSE,"Financial Summ"}</definedName>
    <definedName name="wrn.FINANCIAL._.SUMMARY._.WW." hidden="1">{"fin sum ww",#N/A,FALSE,"Financial Summ"}</definedName>
    <definedName name="wrn.financials." hidden="1">{"income",#N/A,FALSE,"K";"cashflow",#N/A,FALSE,"K";"balances",#N/A,FALSE,"K";"ratios",#N/A,FALSE,"K"}</definedName>
    <definedName name="wrn.finmodel." hidden="1">{#N/A,#N/A,FALSE,"Fin Model"}</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scal._.Year." hidden="1">{#N/A,#N/A,TRUE,"FY BCG";#N/A,#N/A,TRUE,"FY w|o Wireless";#N/A,#N/A,TRUE,"FY Wireless"}</definedName>
    <definedName name="wrn.Fiscal._.Year._1" hidden="1">{#N/A,#N/A,TRUE,"FY BCG";#N/A,#N/A,TRUE,"FY w|o Wireless";#N/A,#N/A,TRUE,"FY Wireless"}</definedName>
    <definedName name="wrn.FIVE._.YEAR._.PROJECTION." hidden="1">{"FIVEYEAR",#N/A,TRUE,"SUMMARY";"FIVEYEAR",#N/A,TRUE,"Ratios";"FIVEYEAR",#N/A,TRUE,"Revenue";"FIVEYEAR",#N/A,TRUE,"DETAIL";"FIVEYEAR",#N/A,TRUE,"Payroll"}</definedName>
    <definedName name="wrn.FORM1." hidden="1">{#N/A,#N/A,FALSE,"COMP"}</definedName>
    <definedName name="wrn.FORM1._1" hidden="1">{#N/A,#N/A,FALSE,"COMP"}</definedName>
    <definedName name="wrn.Full._.Detail._.by._.Quarter." hidden="1">{"Full Detail",#N/A,FALSE,"TOTALsoe - QTRS"}</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Report." hidden="1">{#N/A,#N/A,TRUE,"Income Statement";#N/A,#N/A,TRUE,"Gas Assumptions";#N/A,#N/A,TRUE,"DCF";#N/A,#N/A,TRUE,"Depreciation Matrix";#N/A,#N/A,TRUE,"Matrix";#N/A,#N/A,TRUE,"Matrix_Perpetuity"}</definedName>
    <definedName name="wrn.Full._.Year._.Full._.View." hidden="1">{"Full Year Full View",#N/A,FALSE,"TOTALsoe"}</definedName>
    <definedName name="wrn.GCIall." hidden="1">{"gcicash",#N/A,FALSE,"GCIINC";"gciinc",#N/A,FALSE,"GCIINC";"gciexclusa",#N/A,FALSE,"GCIINC";"usatdy",#N/A,FALSE,"GCIINC"}</definedName>
    <definedName name="wrn.GENERAL._.INPUT._.SCREEN." hidden="1">{"General Input",#N/A,FALSE,"General Input"}</definedName>
    <definedName name="wrn.handout." hidden="1">{#N/A,#N/A,FALSE,"Income Statement";#N/A,#N/A,FALSE,"Annual Income Statement";#N/A,#N/A,FALSE,"Balance Sheet";#N/A,#N/A,FALSE,"Cash Flow"}</definedName>
    <definedName name="wrn.HEAT." hidden="1">{#N/A,#N/A,FALSE,"Heat";#N/A,#N/A,FALSE,"DCF";#N/A,#N/A,FALSE,"LBO";#N/A,#N/A,FALSE,"A";#N/A,#N/A,FALSE,"C";#N/A,#N/A,FALSE,"impd";#N/A,#N/A,FALSE,"Accr-Dilu"}</definedName>
    <definedName name="wrn.HRT." hidden="1">{"HRT",#N/A,FALSE,"HRT"}</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 hidden="1">{"INCOMEquarterly1",#N/A,TRUE,"income";"INCOMEquarterly2",#N/A,TRUE,"income"}</definedName>
    <definedName name="wrn.Income._.Statement." hidden="1">{#N/A,#N/A,FALSE,"Report Print"}</definedName>
    <definedName name="wrn.Income._.Statement_Operating." hidden="1">{"Print",#N/A,FALSE,"Income Statement - Operating";"Print",#N/A,FALSE,"Income Statement - %Revenue";"Print",#N/A,FALSE,"Year-over-Year Growth";"Print",#N/A,FALSE,"Sequential Growth"}</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ternational._.Totals." hidden="1">{"International Total",#N/A,FALSE,"Sheet1";"Mexico (5)",#N/A,FALSE,"Sheet1";"Mexico (37)",#N/A,FALSE,"Sheet1";"Puerto Rico (10)",#N/A,FALSE,"Sheet1"}</definedName>
    <definedName name="wrn.Invoices." hidden="1">{#N/A,#N/A,FALSE,"7401-05";#N/A,#N/A,FALSE,"7404-01";#N/A,#N/A,FALSE,"7404-08";#N/A,#N/A,FALSE,"7407-01";#N/A,#N/A,FALSE,"7414-02 Alltel";#N/A,#N/A,FALSE,"7414-02 Cit"}</definedName>
    <definedName name="wrn.Invoices.2" hidden="1">{#N/A,#N/A,FALSE,"7401-05";#N/A,#N/A,FALSE,"7404-01";#N/A,#N/A,FALSE,"7404-08";#N/A,#N/A,FALSE,"7407-01";#N/A,#N/A,FALSE,"7414-02 Alltel";#N/A,#N/A,FALSE,"7414-02 Cit"}</definedName>
    <definedName name="wrn.Invoices3" hidden="1">{#N/A,#N/A,FALSE,"7401-05";#N/A,#N/A,FALSE,"7404-01";#N/A,#N/A,FALSE,"7404-08";#N/A,#N/A,FALSE,"7407-01";#N/A,#N/A,FALSE,"7414-02 Alltel";#N/A,#N/A,FALSE,"7414-02 Cit"}</definedName>
    <definedName name="wrn.IPIX." hidden="1">{#N/A,#N/A,FALSE,"Report Print"}</definedName>
    <definedName name="wrn.ipovalue." hidden="1">{#N/A,#N/A,FALSE,"puboff";#N/A,#N/A,FALSE,"valuation";#N/A,#N/A,FALSE,"finanalsis";#N/A,#N/A,FALSE,"split";#N/A,#N/A,FALSE,"ownership"}</definedName>
    <definedName name="wrn.IS._.DETAIL._.ALL." hidden="1">{"is detail ww",#N/A,FALSE,"IS DETAIL";"is detail other",#N/A,FALSE,"IS DETAIL";"is detail ex",#N/A,FALSE,"IS DETAIL";"is detail us",#N/A,FALSE,"IS DETAIL"}</definedName>
    <definedName name="wrn.IS._.DETAIL._.EX._.US." hidden="1">{"is detail ex",#N/A,FALSE,"IS DETAIL"}</definedName>
    <definedName name="wrn.IS._.DETAIL._.OTHER." hidden="1">{"is detail other",#N/A,FALSE,"IS DETAIL"}</definedName>
    <definedName name="wrn.IS._.DETAIL._.US." hidden="1">{"is detail us",#N/A,FALSE,"IS DETAIL"}</definedName>
    <definedName name="wrn.IS._.DETAIL._.WW." hidden="1">{"is detail ww",#N/A,FALSE,"IS DETAIL"}</definedName>
    <definedName name="wrn.IS._.SUMMARY._.ALL." hidden="1">{"is sum ww",#N/A,FALSE,"IS SUM";"is sum other",#N/A,FALSE,"IS SUM";"is sum ex",#N/A,FALSE,"IS SUM";"is sum us",#N/A,FALSE,"IS SUM"}</definedName>
    <definedName name="wrn.IS._.SUMMARY._.EX._.US." hidden="1">{"is sum ex",#N/A,FALSE,"IS SUM"}</definedName>
    <definedName name="wrn.IS._.SUMMARY._.OTHER." hidden="1">{"is sum other",#N/A,FALSE,"IS SUM"}</definedName>
    <definedName name="wrn.IS._.SUMMARY._.US." hidden="1">{"is sum us",#N/A,FALSE,"IS SUM"}</definedName>
    <definedName name="wrn.IS._.SUMMARY._.WW." hidden="1">{"is sum ww",#N/A,FALSE,"IS SUM"}</definedName>
    <definedName name="wrn.ISCG._.model." hidden="1">{#N/A,#N/A,FALSE,"Second";#N/A,#N/A,FALSE,"ownership";#N/A,#N/A,FALSE,"Valuation";#N/A,#N/A,FALSE,"Eqiv";#N/A,#N/A,FALSE,"Mults";#N/A,#N/A,FALSE,"ISCG Graphics"}</definedName>
    <definedName name="wrn.ISS." hidden="1">{"AnnMarg",#N/A,FALSE,"ISS";"Q",#N/A,FALSE,"Qtrs."}</definedName>
    <definedName name="wrn.Jahresumsätze._.Folien._.3._.bis._.8." hidden="1">{"Folie 3",#N/A,FALSE,"Jahresumsätze";"Folie 4",#N/A,FALSE,"Jahresumsätze";"Folie 5",#N/A,FALSE,"Jahresumsätze";"Folie 6",#N/A,FALSE,"Jahresumsätze";"Folie 7",#N/A,FALSE,"Jahresumsätze";"Folie 8",#N/A,FALSE,"Jahresumsätze"}</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{"kricash",#N/A,FALSE,"INC";"kriinc",#N/A,FALSE,"INC";"krimiami",#N/A,FALSE,"INC";"kriother",#N/A,FALSE,"INC";"kripapers",#N/A,FALSE,"INC"}</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agementInfo." hidden="1">{"Cover",#N/A,FALSE,"Cover";#N/A,#N/A,FALSE,"Kommentar";"GuV1",#N/A,FALSE,"Eingabe_Daten_GuV_Sonstiges";"Kennzahlen",#N/A,FALSE,"Eingabe_Daten_GuV_Sonstiges";"Eckdaten1",#N/A,FALSE,"Eckdaten_Versand"}</definedName>
    <definedName name="wrn.MARCH." hidden="1">{"MARCRD",#N/A,FALSE,"FORECAST";"MARMKT",#N/A,FALSE,"FORECAST";"MARSTO",#N/A,FALSE,"FORECAST";"q1cred",#N/A,FALSE,"FORECAST";"q1mkt",#N/A,FALSE,"FORECAST";"q1sto",#N/A,FALSE,"FORECAST";"SUMMARY",#N/A,FALSE,"FORECAST"}</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ING._.SUMMARY." hidden="1">{"Marketing Summary",#N/A,FALSE,"Marketing Spending"}</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ergerModel." hidden="1">{"Deal",#N/A,FALSE,"Deal";"acquiror",#N/A,FALSE,"Acquiror";"Target",#N/A,FALSE,"Target"}</definedName>
    <definedName name="wrn.mhpall." hidden="1">{"mhpcash",#N/A,FALSE,"MHPNEWX";"mhpinc",#N/A,FALSE,"MHPNEWX";"mhptax",#N/A,FALSE,"MHPNEWX";"mhpbroad",#N/A,FALSE,"MHPNEWX";"mhpeduc",#N/A,FALSE,"MHPNEWX";"mhpfin",#N/A,FALSE,"MHPNEWX";"mhpinfo",#N/A,FALSE,"MHPNEWX"}</definedName>
    <definedName name="wrn.misc." hidden="1">{#N/A,#N/A,FALSE,"Sheet10"}</definedName>
    <definedName name="wrn.model." hidden="1">{"page1",#N/A,FALSE,"GIRLBO";"page2",#N/A,FALSE,"GIRLBO";"page3",#N/A,FALSE,"GIRLBO";"page4",#N/A,FALSE,"GIRLBO";"page5",#N/A,FALSE,"GIRLBO"}</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s." hidden="1">{"cable_one",#N/A,FALSE,"cable 96-02";"cable_two",#N/A,FALSE,"cable 96-02";"Newrev_one",#N/A,FALSE,"New rev 97 - 02";"Newrev_two",#N/A,FALSE,"New rev 97 - 02"}</definedName>
    <definedName name="wrn.Monotherapy." hidden="1">{"mono",#N/A,FALSE,"Mono-therapy"}</definedName>
    <definedName name="wrn.MONTHLY._.INVENTORY._.SCHEDULE." hidden="1">{#N/A,#N/A,FALSE,"Sheet1";#N/A,#N/A,FALSE,"Sheet2";#N/A,#N/A,FALSE,"Sheet3";#N/A,#N/A,FALSE,"Sheet4";#N/A,#N/A,FALSE,"Sheet5";#N/A,#N/A,FALSE,"Sheet6"}</definedName>
    <definedName name="wrn.Monthlys." hidden="1">{#N/A,#N/A,TRUE,"Monthly BCG";#N/A,#N/A,TRUE,"Monthly w|o Wireless";#N/A,#N/A,TRUE,"Monthly Wireless"}</definedName>
    <definedName name="wrn.Monthlys._1" hidden="1">{#N/A,#N/A,TRUE,"Monthly BCG";#N/A,#N/A,TRUE,"Monthly w|o Wireless";#N/A,#N/A,TRUE,"Monthly Wireless"}</definedName>
    <definedName name="wrn.MONYTD." hidden="1">{"febcred",#N/A,FALSE,"FORECAST";"febmkt",#N/A,FALSE,"FORECAST";"febsto",#N/A,FALSE,"FORECAST";"ytdcred",#N/A,FALSE,"FORECAST";"ytdmkt",#N/A,FALSE,"FORECAST";"ytdsto",#N/A,FALSE,"FORECAST"}</definedName>
    <definedName name="wrn.NET._.TRADE._.SALES." hidden="1">{"Net Trade Sales",#N/A,FALSE,"Net Trade Sales"}</definedName>
    <definedName name="wrn.newest." hidden="1">{#N/A,#N/A,TRUE,"TS";#N/A,#N/A,TRUE,"Combo";#N/A,#N/A,TRUE,"FAIR";#N/A,#N/A,TRUE,"RBC";#N/A,#N/A,TRUE,"xxxx"}</definedName>
    <definedName name="wrn.Nicholas._.Report." hidden="1">{#N/A,#N/A,FALSE,"Pre-Release";#N/A,#N/A,FALSE,"Greenlight"}</definedName>
    <definedName name="wrn.Nico." hidden="1">{#N/A,#N/A,TRUE,"Cover";#N/A,#N/A,TRUE,"Transaction Summary";#N/A,#N/A,TRUE,"Earnings Impact";#N/A,#N/A,TRUE,"accretion dilution"}</definedName>
    <definedName name="wrn.ntfinance." hidden="1">{"Rate",#N/A,TRUE,"SUMMARY";"Ratios",#N/A,TRUE,"Ratios";"BUDGETREVENUE",#N/A,TRUE,"Revenue";"TOTALS",#N/A,TRUE,"DETAIL"}</definedName>
    <definedName name="wrn.nytaann." hidden="1">{"nytacash",#N/A,FALSE,"GLOBEINC";"nytainc",#N/A,FALSE,"GLOBEINC";"nytanyt",#N/A,FALSE,"GLOBEINC";"nytareg",#N/A,FALSE,"GLOBEINC";"nytaglobe",#N/A,FALSE,"GLOBEINC";"nytapprttl",#N/A,FALSE,"GLOBEINC"}</definedName>
    <definedName name="wrn.one." hidden="1">{"page1",#N/A,FALSE,"A";"page2",#N/A,FALSE,"A"}</definedName>
    <definedName name="wrn.OUTPUT." hidden="1">{"DCF","UPSIDE CASE",FALSE,"Sheet1";"DCF","BASE CASE",FALSE,"Sheet1";"DCF","DOWNSIDE CASE",FALSE,"Sheet1"}</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YBACK." hidden="1">{"payback",#N/A,FALSE,"TV_Payback"}</definedName>
    <definedName name="wrn.PLAN." hidden="1">{"AZO Inter BS",#N/A,FALSE,"Sheet1";"AZO Mexico BS",#N/A,FALSE,"Sheet1";"AZO PR BS",#N/A,FALSE,"Sheet1"}</definedName>
    <definedName name="wrn.Plan._.EVA." hidden="1">{#N/A,#N/A,FALSE,"Nov 96";#N/A,#N/A,FALSE,"Dec 96";#N/A,#N/A,FALSE,"Jan 97";#N/A,#N/A,FALSE,"Feb 97";#N/A,#N/A,FALSE,"Mar 97";#N/A,#N/A,FALSE,"Apr 97";#N/A,#N/A,FALSE,"May 97";#N/A,#N/A,FALSE,"Jun 97";#N/A,#N/A,FALSE,"Jul 97";#N/A,#N/A,FALSE,"Aug 97";#N/A,#N/A,FALSE,"Sep 97";#N/A,#N/A,FALSE,"Oct 97"}</definedName>
    <definedName name="wrn.Plan._.EVA._1" hidden="1">{#N/A,#N/A,FALSE,"Nov 96";#N/A,#N/A,FALSE,"Dec 96";#N/A,#N/A,FALSE,"Jan 97";#N/A,#N/A,FALSE,"Feb 97";#N/A,#N/A,FALSE,"Mar 97";#N/A,#N/A,FALSE,"Apr 97";#N/A,#N/A,FALSE,"May 97";#N/A,#N/A,FALSE,"Jun 97";#N/A,#N/A,FALSE,"Jul 97";#N/A,#N/A,FALSE,"Aug 97";#N/A,#N/A,FALSE,"Sep 97";#N/A,#N/A,FALSE,"Oct 97"}</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int." hidden="1">{"combo",#N/A,FALSE,"Quarter";"credit",#N/A,FALSE,"Quarter";"market",#N/A,FALSE,"Quarter"}</definedName>
    <definedName name="wrn.Print._.All." hidden="1">{#N/A,#N/A,FALSE,"Valuation";#N/A,#N/A,FALSE,"MLP Impact";#N/A,#N/A,FALSE,"Input Sheet";#N/A,#N/A,FALSE,"Financials";#N/A,#N/A,FALSE,"Taxes";#N/A,#N/A,FALSE,"Debt";#N/A,#N/A,FALSE,"DDA";#N/A,#N/A,FALSE,"Revenue-Mazeppa";#N/A,#N/A,FALSE,"Revenue- Gregg Lake";#N/A,#N/A,FALSE,"Op Ex- Mazeppa";#N/A,#N/A,FALSE,"Op Ex - Gregg Lake";#N/A,#N/A,FALSE,"Financials Gregg Lake"}</definedName>
    <definedName name="wrn.Print._.All._.A4." hidden="1">{"Valuation",#N/A,TRUE,"Valuation Summary";"Financial Statements",#N/A,TRUE,"Results";"Results",#N/A,TRUE,"Results";"Ratios",#N/A,TRUE,"Results";"Historical data",#N/A,TRUE,"Historical Data";"Forecast inputs",#N/A,TRUE,"Forecast Drivers"}</definedName>
    <definedName name="wrn.Print._.All._.Letter." hidden="1">{"Valuation Letter",#N/A,TRUE,"Valuation Summary";"Financial Statements Letter",#N/A,TRUE,"Results";"Results Letter",#N/A,TRUE,"Results";"Ratios Letter",#N/A,TRUE,"Results";"Historical data Letter",#N/A,TRUE,"Historical Data";"Forecast inputs Letter",#N/A,TRUE,"Forecast Drivers"}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graphs." hidden="1">{"cap_structure",#N/A,FALSE,"Graph-Mkt Cap";"price",#N/A,FALSE,"Graph-Price";"ebit",#N/A,FALSE,"Graph-EBITDA";"ebitda",#N/A,FALSE,"Graph-EBITDA"}</definedName>
    <definedName name="wrn.print._.raw._.data._.entry." hidden="1">{"inputs raw data",#N/A,TRUE,"INPUT"}</definedName>
    <definedName name="wrn.Print._.Report." hidden="1">{#N/A,#N/A,TRUE,"Title";#N/A,#N/A,TRUE,"Consol";#N/A,#N/A,TRUE,"DCF";#N/A,#N/A,TRUE,"Oroweat";#N/A,#N/A,TRUE,"Entenmann's";#N/A,#N/A,TRUE,"Thomas";#N/A,#N/A,TRUE,"Boboli";#N/A,#N/A,TRUE,"Lender's";#N/A,#N/A,TRUE,"Section";#N/A,#N/A,TRUE,"Acc-dil";#N/A,#N/A,TRUE,"Acquiror";#N/A,#N/A,TRUE,"Target";#N/A,#N/A,TRUE,"Sosa";#N/A,#N/A,TRUE,"Truman";#N/A,#N/A,TRUE,"Bimbo";#N/A,#N/A,TRUE,"Camden"}</definedName>
    <definedName name="wrn.Print._.Results._.A4." hidden="1">{"Valuation",#N/A,TRUE,"Valuation Summary";"Financial Statements",#N/A,TRUE,"Results";"Results",#N/A,TRUE,"Results";"Ratios",#N/A,TRUE,"Results"}</definedName>
    <definedName name="wrn.Print._.Results._.Letter." hidden="1">{"Valuation Letter",#N/A,TRUE,"Valuation Summary";"Financial Statements Letter",#N/A,TRUE,"Results";"Results Letter",#N/A,TRUE,"Results";"Ratios Letter",#N/A,TRUE,"Results"}</definedName>
    <definedName name="wrn.print._.standalone." hidden="1">{"standalone1",#N/A,FALSE,"DCFBase";"standalone2",#N/A,FALSE,"DCFBase"}</definedName>
    <definedName name="wrn.print._.summary._.sheets."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hidden="1">{"cf1.xls",#N/A,FALSE,"CF";"cfseg1.xls",#N/A,FALSE,"CF";"REV1.xls",#N/A,FALSE,"Rev";"REVANA1.XLS",#N/A,FALSE,"Rev";"IS1.xls",#N/A,FALSE,"IS";"ISQ1.xls",#N/A,FALSE,"IS"}</definedName>
    <definedName name="wrn.PrintAll." hidden="1">{"Dom_qty",#N/A,FALSE,"Domestic";"Dom_sell",#N/A,FALSE,"Domestic";"Dom_misc",#N/A,FALSE,"Domestic";"Exp_qty",#N/A,FALSE,"Export";"Exp_sell",#N/A,FALSE,"Export";"Exp_misc",#N/A,FALSE,"Export";"ExpCompSet",#N/A,FALSE,"Export Comp. Sets"}</definedName>
    <definedName name="wrn.Printout." hidden="1">{"page1",#N/A,FALSE,"Casual RLE";"page2",#N/A,FALSE,"Casual RLE"}</definedName>
    <definedName name="wrn.printqtr." hidden="1">{"nytasecond",#N/A,FALSE,"NYTQTRS";"nytafirst",#N/A,FALSE,"NYTQTRS";"nytathird",#N/A,FALSE,"NYTQTRS";"nytafourth",#N/A,FALSE,"NYTQTRS";"nytafull",#N/A,FALSE,"NYTQTRS"}</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FIT._.SPLIT." hidden="1">{"profit split",#N/A,FALSE,"Profit Split"}</definedName>
    <definedName name="wrn.PTMOTSC1097." hidden="1">{"PTMOTSC1097",#N/A,FALSE,"MovimientosBBV$USA"}</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mp." hidden="1">{#N/A,#N/A,FALSE,"Assump";#N/A,#N/A,FALSE,"Income";#N/A,#N/A,FALSE,"Balance";#N/A,#N/A,FALSE,"DCF Pump";#N/A,#N/A,FALSE,"Trans Assump";#N/A,#N/A,FALSE,"Combined Income";#N/A,#N/A,FALSE,"Combined Balance"}</definedName>
    <definedName name="wrn.qtr." hidden="1">{"byqtr",#N/A,FALSE,"Worksheet"}</definedName>
    <definedName name="wrn.Quarterly._.Income._.Statement." hidden="1">{#N/A,#N/A,FALSE,"Income"}</definedName>
    <definedName name="wrn.Quarterlys." hidden="1">{#N/A,#N/A,TRUE,"Qrt BCG";#N/A,#N/A,TRUE,"Qrt w|o Wireless";#N/A,#N/A,TRUE,"Qrt Wireless"}</definedName>
    <definedName name="wrn.Quarterlys._1" hidden="1">{#N/A,#N/A,TRUE,"Qrt BCG";#N/A,#N/A,TRUE,"Qrt w|o Wireless";#N/A,#N/A,TRUE,"Qrt Wireless"}</definedName>
    <definedName name="wrn.Quaterly._.Income._.Statement." hidden="1">{#N/A,#N/A,FALSE,"Income"}</definedName>
    <definedName name="wrn.RA." hidden="1">{"OKT4ARA",#N/A,FALSE,"OKT-4 RA"}</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{#N/A,#N/A,FALSE,"OnePager"}</definedName>
    <definedName name="wrn.Report_Page." hidden="1">{"Annual_Income",#N/A,FALSE,"Report Page";"Balance_Cash_Flow",#N/A,FALSE,"Report Page";"Quarterly_Income",#N/A,FALSE,"Report Page"}</definedName>
    <definedName name="wrn.Report1." hidden="1">{#N/A,#N/A,TRUE,"TOC";#N/A,#N/A,TRUE,"Assum";#N/A,#N/A,TRUE,"Op-BS";#N/A,#N/A,TRUE,"IS";#N/A,#N/A,TRUE,"BSCF";#N/A,#N/A,TRUE,"Ratios";#N/A,#N/A,TRUE,"Sens";#N/A,#N/A,TRUE,"Holmes_IS";#N/A,#N/A,TRUE,"Holmes_BSCF";#N/A,#N/A,TRUE,"Holmes_Rat";#N/A,#N/A,TRUE,"Hound_IS";#N/A,#N/A,TRUE,"Hound_BSCF";#N/A,#N/A,TRUE,"Hound_Rat";#N/A,#N/A,TRUE,"Hound_DCF1"}</definedName>
    <definedName name="wrn.REPORTING._.PACKAGE." hidden="1">{#N/A,#N/A,TRUE,"Cover";#N/A,#N/A,TRUE,"BS";#N/A,#N/A,TRUE,"BS (2)";#N/A,#N/A,TRUE,"BS (3)";#N/A,#N/A,TRUE,"Supp Info-BS";#N/A,#N/A,TRUE,"IS";#N/A,#N/A,TRUE,"IS (2)";#N/A,#N/A,TRUE,"IS (3)";#N/A,#N/A,TRUE,"Supp Info-IS";#N/A,#N/A,TRUE,"CF";#N/A,#N/A,TRUE,"Supp Info-CF";#N/A,#N/A,TRUE,"SH";#N/A,#N/A,TRUE,"Supp Info-SH"}</definedName>
    <definedName name="wrn.RESEARCH._.AND._.DEVELOPMENT." hidden="1">{"R &amp; D",#N/A,FALSE,"Research and Development"}</definedName>
    <definedName name="wrn.RESERVE._.SCHEDULE." hidden="1">{#N/A,#N/A,FALSE,"Sheet8";#N/A,#N/A,FALSE,"Sheet7"}</definedName>
    <definedName name="wrn.Revs." hidden="1">{"Base_rev",#N/A,FALSE,"Proj_IS_Base";"Projrev",#N/A,FALSE,"Proj_IS_wOTLC";"Delta",#N/A,FALSE,"Delta Rev_PV"}</definedName>
    <definedName name="wrn.Riverwood_comp_model." hidden="1">{#N/A,#N/A,FALSE,"Che-Ga";#N/A,#N/A,FALSE,"Iv-Sm";#N/A,#N/A,FALSE,"So-We";#N/A,#N/A,FALSE,"Me-Po";#N/A,#N/A,FALSE,"Be-Bo";#N/A,#N/A,FALSE,"Cha-Ki";#N/A,#N/A,FALSE,"In";#N/A,#N/A,FALSE,"Schedule 23";#N/A,#N/A,FALSE,"Schedule 22";#N/A,#N/A,FALSE,"WACC"}</definedName>
    <definedName name="wrn.riverwood_dcf." hidden="1">{#N/A,#N/A,FALSE,"Sch 1";#N/A,#N/A,FALSE,"Sch 2";#N/A,#N/A,FALSE,"Sch 3b";#N/A,#N/A,FALSE,"Sch 3a";#N/A,#N/A,FALSE,"Main DCF";#N/A,#N/A,FALSE,"Sch 5";#N/A,#N/A,FALSE,"Assumptions"}</definedName>
    <definedName name="wrn.ROYALTIES." hidden="1">{"Royalties",#N/A,FALSE,"Royalty Computations"}</definedName>
    <definedName name="wrn.SBU._.Reports." hidden="1">{#N/A,#N/A,FALSE,"Cover";#N/A,#N/A,FALSE,"CONSOL";#N/A,#N/A,FALSE,"AFTERMKT DIV";#N/A,#N/A,FALSE,"RCLMR-RM DIV";#N/A,#N/A,FALSE,"ASPH DIV";#N/A,#N/A,FALSE,"ASPH SBU";#N/A,#N/A,FALSE,"COMPACTOR SBU";#N/A,#N/A,FALSE,"GRINDER SBU";#N/A,#N/A,FALSE,"CONCR DIV";#N/A,#N/A,FALSE,"PAVERS SBU";#N/A,#N/A,FALSE,"BW SBU";#N/A,#N/A,FALSE,"LK SBU";#N/A,#N/A,FALSE,"JR SBU"}</definedName>
    <definedName name="wrn.SELLING._.CALCULATION." hidden="1">{"selling",#N/A,FALSE,"Selling Expense"}</definedName>
    <definedName name="wrn.Sensitivity._.Analysis." hidden="1">{#N/A,#N/A,FALSE,"Fully Finance $65";#N/A,#N/A,FALSE,"Indian in the Cupboard $65";#N/A,#N/A,FALSE,"Fully Finance $70";#N/A,#N/A,FALSE,"Indian in the Cupboard $70";#N/A,#N/A,FALSE,"Summary"}</definedName>
    <definedName name="wrn.SKSCS1." hidden="1">{#N/A,#N/A,FALSE,"Antony Financials";#N/A,#N/A,FALSE,"Cowboy Financials";#N/A,#N/A,FALSE,"Combined";#N/A,#N/A,FALSE,"Valuematrix";#N/A,#N/A,FALSE,"DCFAntony";#N/A,#N/A,FALSE,"DCFCowboy";#N/A,#N/A,FALSE,"DCFCombined"}</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ND_ALONE_BOTH." hidden="1">{"FCB_ALL",#N/A,FALSE,"FCB";"GREY_ALL",#N/A,FALSE,"GREY"}</definedName>
    <definedName name="wrn.Standard." hidden="1">{#N/A,#N/A,FALSE,"Service + Produktion kum";#N/A,#N/A,FALSE,"Produktion kum";#N/A,#N/A,FALSE,"Service kum";#N/A,#N/A,FALSE,"Service Monat";#N/A,#N/A,FALSE,"CARAT"}</definedName>
    <definedName name="wrn.sum." hidden="1">{"Opsys",#N/A,FALSE,"NPV_OPsys";"NT",#N/A,FALSE,"NPV_NT";"DevP",#N/A,FALSE,"NPV_DevPdt";"Office",#N/A,FALSE,"NPV_Office"}</definedName>
    <definedName name="wrn.sum._.ops." hidden="1">{"schedule",#N/A,FALSE,"Sum Op's";"input area",#N/A,FALSE,"Sum Op's"}</definedName>
    <definedName name="wrn.summary." hidden="1">{"00000summary",#N/A,FALSE,"00000";"10000summary",#N/A,FALSE,"10000"}</definedName>
    <definedName name="wrn.SUMMARY._.SHEETS." hidden="1">{"SUMMARY",#N/A,FALSE,"CONSOL";"SUMMARY",#N/A,FALSE,"2111";"SUMMARY",#N/A,FALSE,"2112";"SUMMARY",#N/A,FALSE,"2115";"SUMMARY",#N/A,FALSE,"2116"}</definedName>
    <definedName name="wrn.SummaryPgs." hidden="1">{#N/A,#N/A,FALSE,"CreditStat";#N/A,#N/A,FALSE,"SPbrkup";#N/A,#N/A,FALSE,"MerSPsyn";#N/A,#N/A,FALSE,"MerSPwKCsyn";#N/A,#N/A,FALSE,"MerSPwKCsyn (2)";#N/A,#N/A,FALSE,"CreditStat (2)"}</definedName>
    <definedName name="wrn.SUMNPV." hidden="1">{"Sumnpv",#N/A,FALSE,"List"}</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W_Act." hidden="1">{#N/A,#N/A,FALSE,"SW"}</definedName>
    <definedName name="wrn.SW_Plan." hidden="1">{#N/A,#N/A,FALSE,"SW"}</definedName>
    <definedName name="wrn.SW_PriorYR." hidden="1">{#N/A,#N/A,FALSE,"SW"}</definedName>
    <definedName name="wrn.SWWest_Plan." hidden="1">{#N/A,#N/A,FALSE,"SW_West"}</definedName>
    <definedName name="wrn.SWWest_PrYr." hidden="1">{#N/A,#N/A,FALSE,"SW_West"}</definedName>
    <definedName name="wrn.SYN." hidden="1">{"SYN",#N/A,FALSE,"SYN"}</definedName>
    <definedName name="wrn.TAXES." hidden="1">{"taxes",#N/A,FALSE,"Taxes"}</definedName>
    <definedName name="wrn.tcs2." hidden="1">{"tcs1",#N/A,FALSE,"Contra Patch"}</definedName>
    <definedName name="wrn.TERMINAL._.VALUE." hidden="1">{"terminal value",#N/A,FALSE,"TV_Payback"}</definedName>
    <definedName name="wrn.Test." hidden="1">{"AuM_Aggr._Ytd_Mngmt_Format",#N/A,FALSE,"AggregationYtd";"AuM_Aggr_Ytd_dtEinh",#N/A,FALSE,"AggregationYtd";"AuM_Aggr_Ytd_englEinh_Format",#N/A,FALSE,"AggregationYtd";"AuM_Aggr_Ytd_ZKE_Format",#N/A,FALSE,"AggregationYtd"}</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MCALL." hidden="1">{"tmccash",#N/A,FALSE,"INCX";"tmcinc",#N/A,FALSE,"INCX";"tmcpretx",#N/A,FALSE,"INCX";"tmcadrev",#N/A,FALSE,"INCX";"tmcbooks",#N/A,FALSE,"INCX"}</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hidden="1">{"febcred",#N/A,FALSE,"FORECAST";"febmkt",#N/A,FALSE,"FORECAST";"febsto",#N/A,FALSE,"FORECAST";"ytdcred",#N/A,FALSE,"FORECAST";"ytdmkt",#N/A,FALSE,"FORECAST";"ytdsto",#N/A,FALSE,"FORECAST";"q1cred",#N/A,FALSE,"FORECAST";"q1mkt",#N/A,FALSE,"FORECAST";"q1sto",#N/A,FALSE,"FORECAST"}</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UNE._.Model." hidden="1">{#N/A,#N/A,FALSE,"IS";#N/A,#N/A,FALSE,"One pager";#N/A,#N/A,FALSE,"Revenue Detail"}</definedName>
    <definedName name="wrn.Tweety." hidden="1">{#N/A,#N/A,FALSE,"A&amp;E";#N/A,#N/A,FALSE,"HighTop";#N/A,#N/A,FALSE,"JG";#N/A,#N/A,FALSE,"RI";#N/A,#N/A,FALSE,"woHT";#N/A,#N/A,FALSE,"woHT&amp;JG"}</definedName>
    <definedName name="wrn.typical." hidden="1">{"typical",#N/A,FALSE,"Typical Absence"}</definedName>
    <definedName name="wrn.US._.and._.Europe." hidden="1">{#N/A,#N/A,FALSE,"Consolidated Financials";#N/A,#N/A,FALSE,"US Mkt";#N/A,#N/A,FALSE,"Eur Mkt"}</definedName>
    <definedName name="wrn.USW." hidden="1">{"IS",#N/A,FALSE,"IS";"RPTIS",#N/A,FALSE,"RPTIS";"STATS",#N/A,FALSE,"STATS";"BS",#N/A,FALSE,"BS"}</definedName>
    <definedName name="wrn.VALUATION." hidden="1">{#N/A,#N/A,FALSE,"Pooling";#N/A,#N/A,FALSE,"income";#N/A,#N/A,FALSE,"valuation"}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 hidden="1">{"VAR",#N/A,FALSE,"2442";"VAR",#N/A,FALSE,"2443";"VAR",#N/A,FALSE,"2444";"VAR",#N/A,FALSE,"2517";"VAR",#N/A,FALSE,"2520"}</definedName>
    <definedName name="wrn.WACC." hidden="1">{#N/A,#N/A,FALSE,"WACC-new";#N/A,#N/A,FALSE,"Inflation";#N/A,#N/A,FALSE,"Betas";#N/A,#N/A,FALSE,"Unlevered Betas";#N/A,#N/A,FALSE,"Cominco Tax";#N/A,#N/A,FALSE,"Cominco Debt"}</definedName>
    <definedName name="wrn.West_Act." hidden="1">{#N/A,#N/A,FALSE,"West"}</definedName>
    <definedName name="wrn.West_Plan." hidden="1">{#N/A,#N/A,FALSE,"West"}</definedName>
    <definedName name="wrn.West_PriorYR." hidden="1">{#N/A,#N/A,FALSE,"West"}</definedName>
    <definedName name="wrn.wicor." hidden="1">{#N/A,#N/A,FALSE,"FACTSHEETS";#N/A,#N/A,FALSE,"pump";#N/A,#N/A,FALSE,"filter"}</definedName>
    <definedName name="wrn.Wireless." hidden="1">{#N/A,#N/A,TRUE,"Monthly Wireless";#N/A,#N/A,TRUE,"Qrt Wireless";#N/A,#N/A,TRUE,"FY Wireless";#N/A,#N/A,TRUE,"1Q Wireless";#N/A,#N/A,TRUE,"2Q Wireless";#N/A,#N/A,TRUE,"3Q Wireless";#N/A,#N/A,TRUE,"4Q Wireless"}</definedName>
    <definedName name="wrn.Wireless._1" hidden="1">{#N/A,#N/A,TRUE,"Monthly Wireless";#N/A,#N/A,TRUE,"Qrt Wireless";#N/A,#N/A,TRUE,"FY Wireless";#N/A,#N/A,TRUE,"1Q Wireless";#N/A,#N/A,TRUE,"2Q Wireless";#N/A,#N/A,TRUE,"3Q Wireless";#N/A,#N/A,TRUE,"4Q Wireless"}</definedName>
    <definedName name="wrn.without._.Wireless._.All._.Periods." hidden="1">{#N/A,#N/A,TRUE,"Monthly w|o Wireless";#N/A,#N/A,TRUE,"Qrt w|o Wireless";#N/A,#N/A,TRUE,"FY w|o Wireless";#N/A,#N/A,TRUE,"1Q w|o Wireless";#N/A,#N/A,TRUE,"2Q w|o Wireless";#N/A,#N/A,TRUE,"3Q w|o Wireless";#N/A,#N/A,TRUE,"4Q w|o Wireless"}</definedName>
    <definedName name="wrn.without._.Wireless._.All._.Periods._1" hidden="1">{#N/A,#N/A,TRUE,"Monthly w|o Wireless";#N/A,#N/A,TRUE,"Qrt w|o Wireless";#N/A,#N/A,TRUE,"FY w|o Wireless";#N/A,#N/A,TRUE,"1Q w|o Wireless";#N/A,#N/A,TRUE,"2Q w|o Wireless";#N/A,#N/A,TRUE,"3Q w|o Wireless";#N/A,#N/A,TRUE,"4Q w|o Wireless"}</definedName>
    <definedName name="wrn.WORKING._.CAPITAL." hidden="1">{"working capital",#N/A,FALSE,"Bal. Sht.- Work Cap"}</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poall." hidden="1">{"wpocash",#N/A,FALSE,"WPOALLT";"wpoinc",#N/A,FALSE,"WPOALLT";"wpoexcl",#N/A,FALSE,"WPOALLT";"wpocable",#N/A,FALSE,"WPOALLT";"wpobroad",#N/A,FALSE,"WPOALLT";"wpopost",#N/A,FALSE,"WPOALLT";"wponwsweek",#N/A,FALSE,"WPOALLT"}</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summary" hidden="1">{"00000summary",#N/A,FALSE,"00000";"10000summary",#N/A,FALSE,"10000"}</definedName>
    <definedName name="wrp" hidden="1">{"SUMMARY",#N/A,FALSE,"2111";"EXPDETAIL",#N/A,FALSE,"2111";"CAPEX",#N/A,FALSE,"2111";"SALARY",#N/A,FALSE,"2111"}</definedName>
    <definedName name="ws" hidden="1">{#N/A,#N/A,FALSE,"Aging Summary";#N/A,#N/A,FALSE,"Ratio Analysis";#N/A,#N/A,FALSE,"Test 120 Day Accts";#N/A,#N/A,FALSE,"Tickmarks"}</definedName>
    <definedName name="wte" hidden="1">{#N/A,#N/A,FALSE,"Aging Summary";#N/A,#N/A,FALSE,"Ratio Analysis";#N/A,#N/A,FALSE,"Test 120 Day Accts";#N/A,#N/A,FALSE,"Tickmarks"}</definedName>
    <definedName name="wtre" hidden="1">{#N/A,#N/A,FALSE,"Aging Summary";#N/A,#N/A,FALSE,"Ratio Analysis";#N/A,#N/A,FALSE,"Test 120 Day Accts";#N/A,#N/A,FALSE,"Tickmarks"}</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febcred." hidden="1">{TRUE,TRUE,-0.5,-14.75,483,252,FALSE,FALSE,TRUE,TRUE,0,1,#N/A,1,#N/A,13.1666666666667,21.5384615384615,1,FALSE,FALSE,3,TRUE,1,FALSE,75,"Swvu.febcred.","ACwvu.febcred.",#N/A,FALSE,FALSE,0,0,0,0,2,"","",TRUE,TRUE,FALSE,FALSE,1,#N/A,1,1,"=R1C1:R25C14",FALSE,#N/A,"Cwvu.febcred.",FALSE,FALSE,FALSE,1,300,300,FALSE,FALSE,TRUE,TRUE,TRUE}</definedName>
    <definedName name="wvu.febmkt." hidden="1">{TRUE,TRUE,-0.5,-14.75,483,252,FALSE,FALSE,TRUE,TRUE,0,1,#N/A,18,#N/A,13.1666666666667,21.5384615384615,1,FALSE,FALSE,3,TRUE,1,FALSE,75,"Swvu.febmkt.","ACwvu.febmkt.",#N/A,FALSE,FALSE,0,0,0,0,2,"","",TRUE,TRUE,FALSE,FALSE,1,#N/A,1,1,"=R29C1:R53C14",FALSE,#N/A,"Cwvu.febmkt.",FALSE,FALSE,FALSE,1,300,300,FALSE,FALSE,TRUE,TRUE,TRUE}</definedName>
    <definedName name="wvu.febsto." hidden="1">{TRUE,TRUE,-0.5,-14.75,483,252,FALSE,FALSE,TRUE,TRUE,0,1,#N/A,47,#N/A,13.1666666666667,21.5384615384615,1,FALSE,FALSE,3,TRUE,1,FALSE,75,"Swvu.febsto.","ACwvu.febsto.",#N/A,FALSE,FALSE,0,0,0,0,2,"","",TRUE,TRUE,FALSE,FALSE,1,#N/A,1,1,"=R58C1:R82C14",FALSE,#N/A,"Cwvu.febsto.",FALSE,FALSE,FALSE,1,300,300,FALSE,FALSE,TRUE,TRUE,TRUE}</definedName>
    <definedName name="wvu.febsto.1" hidden="1">{TRUE,TRUE,-0.5,-14.75,483,252,FALSE,FALSE,TRUE,TRUE,0,1,#N/A,47,#N/A,13.1666666666667,21.5384615384615,1,FALSE,FALSE,3,TRUE,1,FALSE,75,"Swvu.febsto.","ACwvu.febsto.",#N/A,FALSE,FALSE,0,0,0,0,2,"","",TRUE,TRUE,FALSE,FALSE,1,#N/A,1,1,"=R58C1:R82C14",FALSE,#N/A,"Cwvu.febsto.",FALSE,FALSE,FALSE,1,300,300,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ARCRD." hidden="1">{TRUE,TRUE,-0.5,-14.75,483,252,FALSE,FALSE,TRUE,TRUE,0,1,#N/A,76,#N/A,13.1666666666667,22.0769230769231,1,FALSE,FALSE,3,TRUE,1,FALSE,75,"Swvu.MARCRD.","ACwvu.MARCRD.",#N/A,FALSE,FALSE,0,0,0,0,2,"","",TRUE,TRUE,FALSE,FALSE,1,#N/A,1,1,"=R88C1:R112C14",FALSE,#N/A,"Cwvu.MARCRD.",FALSE,FALSE,FALSE,1,300,300,FALSE,FALSE,TRUE,TRUE,TRUE}</definedName>
    <definedName name="wvu.MARMKT." hidden="1">{TRUE,TRUE,-0.5,-14.75,483,252,FALSE,FALSE,TRUE,TRUE,0,1,#N/A,104,#N/A,13.1666666666667,21,1,FALSE,FALSE,3,TRUE,1,FALSE,75,"Swvu.MARMKT.","ACwvu.MARMKT.",#N/A,FALSE,FALSE,0,0,0,0,2,"","",TRUE,TRUE,FALSE,FALSE,1,#N/A,1,1,"=R114C1:R138C14",FALSE,#N/A,"Cwvu.MARMKT.",FALSE,FALSE,FALSE,1,300,300,FALSE,FALSE,TRUE,TRUE,TRUE}</definedName>
    <definedName name="wvu.MARSTO." hidden="1">{TRUE,TRUE,-0.5,-14.75,483,252,FALSE,FALSE,TRUE,TRUE,0,1,#N/A,130,#N/A,13.1666666666667,21,1,FALSE,FALSE,3,TRUE,1,FALSE,75,"Swvu.MARSTO.","ACwvu.MARSTO.",#N/A,FALSE,FALSE,0,0,0,0,2,"","",TRUE,TRUE,FALSE,FALSE,1,#N/A,1,1,"=R140C1:R164C14",FALSE,#N/A,"Cwvu.MARSTO.",FALSE,FALSE,FALSE,1,300,300,FALSE,FALSE,TRUE,TRUE,TRUE}</definedName>
    <definedName name="wvu.MONCRE1." hidden="1">{TRUE,TRUE,-0.5,-14.75,483,252,FALSE,FALSE,TRUE,TRUE,0,1,#N/A,1,#N/A,15.1230769230769,21.5384615384615,1,FALSE,FALSE,3,TRUE,1,FALSE,75,"Swvu.MONCRE1.","ACwvu.MONCRE1.",#N/A,FALSE,FALSE,0,0,0,0,2,"","",TRUE,TRUE,FALSE,FALSE,1,#N/A,1,1,"=R1C1:R25C14",FALSE,"Rwvu.MONCRE1.","Cwvu.MONCRE1.",FALSE,FALSE,FALSE,1,300,300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q1cred." hidden="1">{TRUE,TRUE,-0.5,-14.75,483,252,FALSE,FALSE,TRUE,TRUE,0,1,#N/A,240,#N/A,15.1230769230769,21,1,FALSE,FALSE,3,TRUE,1,FALSE,75,"Swvu.q1cred.","ACwvu.q1cred.",#N/A,FALSE,FALSE,0,0,0,0,2,"","",TRUE,TRUE,FALSE,FALSE,1,#N/A,1,1,"=R250C1:R274C14",FALSE,"Rwvu.q1cred.","Cwvu.q1cred.",FALSE,FALSE,FALSE,1,300,300,FALSE,FALSE,TRUE,TRUE,TRUE}</definedName>
    <definedName name="wvu.q1mkt." hidden="1">{TRUE,TRUE,-0.5,-14.75,483,252,FALSE,FALSE,TRUE,TRUE,0,1,#N/A,266,#N/A,15.1230769230769,21,1,FALSE,FALSE,3,TRUE,1,FALSE,75,"Swvu.q1mkt.","ACwvu.q1mkt.",#N/A,FALSE,FALSE,0,0,0,0,2,"","",TRUE,TRUE,FALSE,FALSE,1,#N/A,1,1,"=R276C1:R300C14",FALSE,"Rwvu.q1mkt.","Cwvu.q1mkt.",FALSE,FALSE,FALSE,1,300,300,FALSE,FALSE,TRUE,TRUE,TRUE}</definedName>
    <definedName name="wvu.q1sto." hidden="1">{TRUE,TRUE,-0.5,-14.75,483,252,FALSE,FALSE,TRUE,TRUE,0,1,#N/A,292,#N/A,15.1230769230769,21,1,FALSE,FALSE,3,TRUE,1,FALSE,75,"Swvu.q1sto.","ACwvu.q1sto.",#N/A,FALSE,FALSE,0,0,0,0,2,"","",TRUE,TRUE,FALSE,FALSE,1,#N/A,1,1,"=R302C1:R326C14",FALSE,"Rwvu.q1sto.","Cwvu.q1sto.",FALSE,FALSE,FALSE,1,300,300,FALSE,FALSE,TRUE,TRUE,TRUE}</definedName>
    <definedName name="wvu.q2sto." hidden="1">{TRUE,TRUE,-0.5,-14.75,483,252,FALSE,FALSE,TRUE,TRUE,0,1,#N/A,292,#N/A,15.1230769230769,21,1,FALSE,FALSE,3,TRUE,1,FALSE,75,"Swvu.q1sto.","ACwvu.q1sto.",#N/A,FALSE,FALSE,0,0,0,0,2,"","",TRUE,TRUE,FALSE,FALSE,1,#N/A,1,1,"=R302C1:R326C14",FALSE,"Rwvu.q1sto.","Cwvu.q1sto.",FALSE,FALSE,FALSE,1,300,300,FALSE,FALSE,TRUE,TRUE,TRUE}</definedName>
    <definedName name="wvu.SUMMARY." hidden="1">{TRUE,TRUE,-0.5,-14.75,483,252,FALSE,FALSE,TRUE,TRUE,0,1,#N/A,324,#N/A,15.1230769230769,20.7692307692308,1,FALSE,FALSE,3,TRUE,1,FALSE,75,"Swvu.SUMMARY.","ACwvu.SUMMARY.",#N/A,FALSE,FALSE,0,0,0,0,2,"","",TRUE,TRUE,FALSE,FALSE,1,#N/A,1,1,"=R334C1:R352C14",FALSE,"Rwvu.SUMMARY.","Cwvu.SUMMARY.",FALSE,FALSE,FALSE,1,300,300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ytdcred." hidden="1">{TRUE,TRUE,-0.5,-14.75,483,252,FALSE,FALSE,TRUE,TRUE,0,1,#N/A,351,#N/A,15.1230769230769,21,1,FALSE,FALSE,3,TRUE,1,FALSE,75,"Swvu.ytdcred.","ACwvu.ytdcred.",#N/A,FALSE,FALSE,0,0,0,0,2,"","",TRUE,TRUE,FALSE,FALSE,1,#N/A,1,1,"=R361C1:R385C14",FALSE,"Rwvu.ytdcred.","Cwvu.ytdcred.",FALSE,FALSE,FALSE,1,300,300,FALSE,FALSE,TRUE,TRUE,TRUE}</definedName>
    <definedName name="wvu.ytdmkt." hidden="1">{TRUE,TRUE,-0.5,-14.75,483,252,FALSE,FALSE,TRUE,TRUE,0,1,#N/A,379,#N/A,15.1230769230769,21,1,FALSE,FALSE,3,TRUE,1,FALSE,75,"Swvu.ytdmkt.","ACwvu.ytdmkt.",#N/A,FALSE,FALSE,0,0,0,0,2,"","",TRUE,TRUE,FALSE,FALSE,1,#N/A,1,1,"=R389C1:R413C14",FALSE,"Rwvu.ytdmkt.","Cwvu.ytdmkt.",FALSE,FALSE,FALSE,1,300,300,FALSE,FALSE,TRUE,TRUE,TRUE}</definedName>
    <definedName name="wvu.ytdsto." hidden="1">{TRUE,TRUE,-0.5,-14.75,483,252,FALSE,FALSE,TRUE,TRUE,0,1,#N/A,408,#N/A,15.1230769230769,21,1,FALSE,FALSE,3,TRUE,1,FALSE,75,"Swvu.ytdsto.","ACwvu.ytdsto.",#N/A,FALSE,FALSE,0,0,0,0,2,"","",TRUE,TRUE,FALSE,FALSE,1,#N/A,1,1,"=R418C1:R442C14",FALSE,"Rwvu.ytdsto.","Cwvu.ytdsto.",FALSE,FALSE,FALSE,1,300,300,FALSE,FALSE,TRUE,TRUE,TRUE}</definedName>
    <definedName name="ww" hidden="1">{TRUE,TRUE,-0.5,-14.75,483,252,FALSE,FALSE,TRUE,TRUE,0,1,#N/A,266,#N/A,15.1230769230769,21,1,FALSE,FALSE,3,TRUE,1,FALSE,75,"Swvu.q1mkt.","ACwvu.q1mkt.",#N/A,FALSE,FALSE,0,0,0,0,2,"","",TRUE,TRUE,FALSE,FALSE,1,#N/A,1,1,"=R276C1:R300C14",FALSE,"Rwvu.q1mkt.","Cwvu.q1mkt.",FALSE,FALSE,FALSE,1,300,300,FALSE,FALSE,TRUE,TRUE,TRUE}</definedName>
    <definedName name="ww.Rele" hidden="1">{#N/A,#N/A,FALSE,"Title Page";#N/A,#N/A,FALSE,"Conclusions";#N/A,#N/A,FALSE,"Assum.";#N/A,#N/A,FALSE,"Sun  DCF-WC-Dep";#N/A,#N/A,FALSE,"MarketValue";#N/A,#N/A,FALSE,"BalSheet";#N/A,#N/A,FALSE,"WACC";#N/A,#N/A,FALSE,"PC+ Info.";#N/A,#N/A,FALSE,"PC+Info_2"}</definedName>
    <definedName name="WWWWW" hidden="1">{"Folie 3",#N/A,FALSE,"Jahresumsätze";"Folie 4",#N/A,FALSE,"Jahresumsätze";"Folie 5",#N/A,FALSE,"Jahresumsätze";"Folie 6",#N/A,FALSE,"Jahresumsätze";"Folie 7",#N/A,FALSE,"Jahresumsätze";"Folie 8",#N/A,FALSE,"Jahresumsätze"}</definedName>
    <definedName name="x" hidden="1">{#N/A,#N/A,FALSE,"Projections";#N/A,#N/A,FALSE,"AccrDil";#N/A,#N/A,FALSE,"PurchPriMult";#N/A,#N/A,FALSE,"Mults7_13";#N/A,#N/A,FALSE,"Mkt Mults";#N/A,#N/A,FALSE,"Acq Mults";#N/A,#N/A,FALSE,"StockPrices";#N/A,#N/A,FALSE,"Prem Paid";#N/A,#N/A,FALSE,"DCF";#N/A,#N/A,FALSE,"AUTO";#N/A,#N/A,FALSE,"Relative Trading";#N/A,#N/A,FALSE,"Mkt Val";#N/A,#N/A,FALSE,"Acq Val"}</definedName>
    <definedName name="xcvc" hidden="1">{"Folie 3",#N/A,FALSE,"Jahresumsätze";"Folie 4",#N/A,FALSE,"Jahresumsätze";"Folie 5",#N/A,FALSE,"Jahresumsätze";"Folie 6",#N/A,FALSE,"Jahresumsätze";"Folie 7",#N/A,FALSE,"Jahresumsätze";"Folie 8",#N/A,FALSE,"Jahresumsätze"}</definedName>
    <definedName name="xcxcc" hidden="1">{"Folie 3",#N/A,FALSE,"Jahresumsätze";"Folie 4",#N/A,FALSE,"Jahresumsätze";"Folie 5",#N/A,FALSE,"Jahresumsätze";"Folie 6",#N/A,FALSE,"Jahresumsätze";"Folie 7",#N/A,FALSE,"Jahresumsätze";"Folie 8",#N/A,FALSE,"Jahresumsätze"}</definedName>
    <definedName name="xdfgsdfg" hidden="1">{"MARCRD",#N/A,FALSE,"FORECAST";"MARMKT",#N/A,FALSE,"FORECAST";"MARSTO",#N/A,FALSE,"FORECAST";"q1cred",#N/A,FALSE,"FORECAST";"q1mkt",#N/A,FALSE,"FORECAST";"q1sto",#N/A,FALSE,"FORECAST";"SUMMARY",#N/A,FALSE,"FORECAST"}</definedName>
    <definedName name="xfhs" hidden="1">#N/A</definedName>
    <definedName name="XL">#REF!</definedName>
    <definedName name="XLE">#REF!</definedName>
    <definedName name="XREF_COLUMN_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ActiveRow" hidden="1">#REF!</definedName>
    <definedName name="XRefColumnsCount" hidden="1">1</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2</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Row" hidden="1">#REF!</definedName>
    <definedName name="XRefPaste9Row" hidden="1">#REF!</definedName>
    <definedName name="XRefPasteRangeCount" hidden="1">1</definedName>
    <definedName name="XX" hidden="1">41852.4101273148</definedName>
    <definedName name="xxx" hidden="1">{"var1",#N/A,FALSE,"VAR";"var",#N/A,FALSE,"VAR";"ytd",#N/A,FALSE,"YTD";"SUMMARY",#N/A,FALSE,"CONSOL"}</definedName>
    <definedName name="xxxx" hidden="1">{"Folie 3",#N/A,FALSE,"Jahresumsätze";"Folie 4",#N/A,FALSE,"Jahresumsätze";"Folie 5",#N/A,FALSE,"Jahresumsätze";"Folie 6",#N/A,FALSE,"Jahresumsätze";"Folie 7",#N/A,FALSE,"Jahresumsätze";"Folie 8",#N/A,FALSE,"Jahresumsätze"}</definedName>
    <definedName name="xxxxxy" hidden="1">{"Folie 3",#N/A,FALSE,"Jahresumsätze";"Folie 4",#N/A,FALSE,"Jahresumsätze";"Folie 5",#N/A,FALSE,"Jahresumsätze";"Folie 6",#N/A,FALSE,"Jahresumsätze";"Folie 7",#N/A,FALSE,"Jahresumsätze";"Folie 8",#N/A,FALSE,"Jahresumsätze"}</definedName>
    <definedName name="y" hidden="1">{"00000summary",#N/A,FALSE,"00000";"10000summary",#N/A,FALSE,"10000"}</definedName>
    <definedName name="Year">#REF!</definedName>
    <definedName name="years">#REF!</definedName>
    <definedName name="yioyi" hidden="1">{#N/A,#N/A,TRUE,"1Q BCG";#N/A,#N/A,TRUE,"1Q w|o Wireless";#N/A,#N/A,TRUE,"1Q Wireless"}</definedName>
    <definedName name="yioyi_1" hidden="1">{#N/A,#N/A,TRUE,"1Q BCG";#N/A,#N/A,TRUE,"1Q w|o Wireless";#N/A,#N/A,TRUE,"1Q Wireless"}</definedName>
    <definedName name="yr" hidden="1">{#N/A,#N/A,TRUE,"1Q BCG";#N/A,#N/A,TRUE,"1Q w|o Wireless";#N/A,#N/A,TRUE,"1Q Wireless"}</definedName>
    <definedName name="yr_1" hidden="1">{#N/A,#N/A,TRUE,"1Q BCG";#N/A,#N/A,TRUE,"1Q w|o Wireless";#N/A,#N/A,TRUE,"1Q Wireless"}</definedName>
    <definedName name="yre" hidden="1">{#N/A,#N/A,TRUE,"Monthly Wireless";#N/A,#N/A,TRUE,"Qrt Wireless";#N/A,#N/A,TRUE,"FY Wireless";#N/A,#N/A,TRUE,"1Q Wireless";#N/A,#N/A,TRUE,"2Q Wireless";#N/A,#N/A,TRUE,"3Q Wireless";#N/A,#N/A,TRUE,"4Q Wireless"}</definedName>
    <definedName name="yre_1" hidden="1">{#N/A,#N/A,TRUE,"Monthly Wireless";#N/A,#N/A,TRUE,"Qrt Wireless";#N/A,#N/A,TRUE,"FY Wireless";#N/A,#N/A,TRUE,"1Q Wireless";#N/A,#N/A,TRUE,"2Q Wireless";#N/A,#N/A,TRUE,"3Q Wireless";#N/A,#N/A,TRUE,"4Q Wireless"}</definedName>
    <definedName name="yy" hidden="1">{"Folie 3",#N/A,FALSE,"Jahresumsätze";"Folie 4",#N/A,FALSE,"Jahresumsätze";"Folie 5",#N/A,FALSE,"Jahresumsätze";"Folie 6",#N/A,FALSE,"Jahresumsätze";"Folie 7",#N/A,FALSE,"Jahresumsätze";"Folie 8",#N/A,FALSE,"Jahresumsätze"}</definedName>
    <definedName name="z" hidden="1">{"Folie 3",#N/A,FALSE,"Jahresumsätze";"Folie 4",#N/A,FALSE,"Jahresumsätze";"Folie 5",#N/A,FALSE,"Jahresumsätze";"Folie 6",#N/A,FALSE,"Jahresumsätze";"Folie 7",#N/A,FALSE,"Jahresumsätze";"Folie 8",#N/A,FALSE,"Jahresumsätze"}</definedName>
    <definedName name="Z_CIB" hidden="1">{"CBGMASTER",#N/A,FALSE,"CBG"}</definedName>
    <definedName name="Z_CIBISC" hidden="1">{"BAC_CBG",#N/A,FALSE,"BAC_CBG"}</definedName>
    <definedName name="Z_EH_Lux" hidden="1">{"BAC_CBG",#N/A,FALSE,"BAC_CBG"}</definedName>
    <definedName name="Z_EHS" hidden="1">{"BAC_CBG",#N/A,FALSE,"BAC_CBG"}</definedName>
    <definedName name="Z_SYN" hidden="1">{"SYN",#N/A,FALSE,"SYN"}</definedName>
    <definedName name="zcv" hidden="1">{#N/A,#N/A,FALSE,"Nov 96";#N/A,#N/A,FALSE,"Dec 96";#N/A,#N/A,FALSE,"Jan 97";#N/A,#N/A,FALSE,"Feb 97";#N/A,#N/A,FALSE,"Mar 97";#N/A,#N/A,FALSE,"Apr 97";#N/A,#N/A,FALSE,"May 97";#N/A,#N/A,FALSE,"Jun 97";#N/A,#N/A,FALSE,"Jul 97";#N/A,#N/A,FALSE,"Aug 97";#N/A,#N/A,FALSE,"Sep 97";#N/A,#N/A,FALSE,"Oct 97"}</definedName>
    <definedName name="zcv_1" hidden="1">{#N/A,#N/A,FALSE,"Nov 96";#N/A,#N/A,FALSE,"Dec 96";#N/A,#N/A,FALSE,"Jan 97";#N/A,#N/A,FALSE,"Feb 97";#N/A,#N/A,FALSE,"Mar 97";#N/A,#N/A,FALSE,"Apr 97";#N/A,#N/A,FALSE,"May 97";#N/A,#N/A,FALSE,"Jun 97";#N/A,#N/A,FALSE,"Jul 97";#N/A,#N/A,FALSE,"Aug 97";#N/A,#N/A,FALSE,"Sep 97";#N/A,#N/A,FALSE,"Oct 97"}</definedName>
    <definedName name="zsdfgas" hidden="1">#REF!</definedName>
    <definedName name="zx" hidden="1">{"Folie 3",#N/A,FALSE,"Jahresumsätze";"Folie 4",#N/A,FALSE,"Jahresumsätze";"Folie 5",#N/A,FALSE,"Jahresumsätze";"Folie 6",#N/A,FALSE,"Jahresumsätze";"Folie 7",#N/A,FALSE,"Jahresumsätze";"Folie 8",#N/A,FALSE,"Jahresumsätze"}</definedName>
    <definedName name="zxcv" hidden="1">{"Folie 3",#N/A,FALSE,"Jahresumsätze";"Folie 4",#N/A,FALSE,"Jahresumsätze";"Folie 5",#N/A,FALSE,"Jahresumsätze";"Folie 6",#N/A,FALSE,"Jahresumsätze";"Folie 7",#N/A,FALSE,"Jahresumsätze";"Folie 8",#N/A,FALSE,"Jahresumsätze"}</definedName>
    <definedName name="zz" hidden="1">{"Folie 3",#N/A,FALSE,"Jahresumsätze";"Folie 4",#N/A,FALSE,"Jahresumsätze";"Folie 5",#N/A,FALSE,"Jahresumsätze";"Folie 6",#N/A,FALSE,"Jahresumsätze";"Folie 7",#N/A,FALSE,"Jahresumsätze";"Folie 8",#N/A,FALSE,"Jahresumsätze"}</definedName>
    <definedName name="ZZ_EVCOMOPTS" hidden="1">10</definedName>
    <definedName name="zzz.com" hidden="1">{#N/A,#N/A,FALSE,"Title Page";#N/A,#N/A,FALSE,"Conclusions";#N/A,#N/A,FALSE,"Assum.";#N/A,#N/A,FALSE,"Sun  DCF-WC-Dep";#N/A,#N/A,FALSE,"MarketValue";#N/A,#N/A,FALSE,"BalSheet";#N/A,#N/A,FALSE,"WACC";#N/A,#N/A,FALSE,"PC+ Info.";#N/A,#N/A,FALSE,"PC+Info_2"}</definedName>
    <definedName name="zzz2" hidden="1">{"Folie 3",#N/A,FALSE,"Jahresumsätze";"Folie 4",#N/A,FALSE,"Jahresumsätze";"Folie 5",#N/A,FALSE,"Jahresumsätze";"Folie 6",#N/A,FALSE,"Jahresumsätze";"Folie 7",#N/A,FALSE,"Jahresumsätze";"Folie 8",#N/A,FALSE,"Jahresumsätze"}</definedName>
    <definedName name="zzzz" hidden="1">{"Folie 3",#N/A,FALSE,"Jahresumsätze";"Folie 4",#N/A,FALSE,"Jahresumsätze";"Folie 5",#N/A,FALSE,"Jahresumsätze";"Folie 6",#N/A,FALSE,"Jahresumsätze";"Folie 7",#N/A,FALSE,"Jahresumsätze";"Folie 8",#N/A,FALSE,"Jahresumsätze"}</definedName>
    <definedName name="zzzzz" hidden="1">{"Folie 3",#N/A,FALSE,"Jahresumsätze";"Folie 4",#N/A,FALSE,"Jahresumsätze";"Folie 5",#N/A,FALSE,"Jahresumsätze";"Folie 6",#N/A,FALSE,"Jahresumsätze";"Folie 7",#N/A,FALSE,"Jahresumsätze";"Folie 8",#N/A,FALSE,"Jahresumsätze"}</definedName>
    <definedName name="ффф" hidden="1">{"Folie 3",#N/A,FALSE,"Jahresumsätze";"Folie 4",#N/A,FALSE,"Jahresumsätze";"Folie 5",#N/A,FALSE,"Jahresumsätze";"Folie 6",#N/A,FALSE,"Jahresumsätze";"Folie 7",#N/A,FALSE,"Jahresumsätze";"Folie 8",#N/A,FALSE,"Jahresumsätze"}</definedName>
    <definedName name="ээээээээээээээ" hidden="1">{"Folie 3",#N/A,FALSE,"Jahresumsätze";"Folie 4",#N/A,FALSE,"Jahresumsätze";"Folie 5",#N/A,FALSE,"Jahresumsätze";"Folie 6",#N/A,FALSE,"Jahresumsätze";"Folie 7",#N/A,FALSE,"Jahresumsätze";"Folie 8",#N/A,FALSE,"Jahresumsätze"}</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T145" i="18" l="1"/>
  <c r="BT148" i="18" s="1"/>
  <c r="BT143" i="18"/>
  <c r="BT144" i="18" s="1"/>
  <c r="BT142" i="18"/>
  <c r="BT137" i="18"/>
  <c r="BT139" i="18" s="1"/>
  <c r="BT135" i="18"/>
  <c r="BT136" i="18" s="1"/>
  <c r="BT130" i="18"/>
  <c r="BT128" i="18"/>
  <c r="BT126" i="18"/>
  <c r="BT127" i="18" s="1"/>
  <c r="BT59" i="18"/>
  <c r="BT63" i="18" s="1"/>
  <c r="BT54" i="18"/>
  <c r="BT56" i="18" s="1"/>
  <c r="BT52" i="18"/>
  <c r="BT53" i="18" s="1"/>
  <c r="BT47" i="18"/>
  <c r="BT43" i="18"/>
  <c r="BT45" i="18" s="1"/>
  <c r="BT33" i="18"/>
  <c r="BT32" i="18"/>
  <c r="BT34" i="18" s="1"/>
  <c r="BT29" i="18"/>
  <c r="BT27" i="18"/>
  <c r="BO84" i="7"/>
  <c r="BO82" i="7"/>
  <c r="BO65" i="7"/>
  <c r="BO60" i="7"/>
  <c r="BB63" i="20"/>
  <c r="BB45" i="20"/>
  <c r="BB55" i="20"/>
  <c r="BB52" i="20"/>
  <c r="BB51" i="20"/>
  <c r="BB35" i="20"/>
  <c r="BB34" i="20"/>
  <c r="BB33" i="20"/>
  <c r="BB32" i="20"/>
  <c r="BB30" i="20"/>
  <c r="BB27" i="20"/>
  <c r="BB26" i="20"/>
  <c r="BB25" i="20"/>
  <c r="BB20" i="20"/>
  <c r="BB19" i="20"/>
  <c r="BB18" i="20"/>
  <c r="BB17" i="20"/>
  <c r="BB16" i="20"/>
  <c r="BB11" i="20"/>
  <c r="I16" i="18"/>
  <c r="N16" i="18"/>
  <c r="S16" i="18"/>
  <c r="X16" i="18"/>
  <c r="AC16" i="18"/>
  <c r="AH16" i="18"/>
  <c r="AH17" i="18" s="1"/>
  <c r="J17" i="18"/>
  <c r="K17" i="18"/>
  <c r="L17" i="18"/>
  <c r="M17" i="18"/>
  <c r="N17" i="18"/>
  <c r="O17" i="18"/>
  <c r="P17" i="18"/>
  <c r="Q17" i="18"/>
  <c r="R17" i="18"/>
  <c r="S17" i="18"/>
  <c r="T17" i="18"/>
  <c r="U17" i="18"/>
  <c r="V17" i="18"/>
  <c r="W17" i="18"/>
  <c r="Y17" i="18"/>
  <c r="Z17" i="18"/>
  <c r="AA17" i="18"/>
  <c r="AB17" i="18"/>
  <c r="AD17" i="18"/>
  <c r="AE17" i="18"/>
  <c r="AF17" i="18"/>
  <c r="AG17" i="18"/>
  <c r="I18" i="18"/>
  <c r="N18" i="18"/>
  <c r="S18" i="18"/>
  <c r="X18" i="18"/>
  <c r="AC18" i="18"/>
  <c r="AH18" i="18"/>
  <c r="J19" i="18"/>
  <c r="K19" i="18"/>
  <c r="L19" i="18"/>
  <c r="M19" i="18"/>
  <c r="O19" i="18"/>
  <c r="P19" i="18"/>
  <c r="Q19" i="18"/>
  <c r="R19" i="18"/>
  <c r="S19" i="18"/>
  <c r="T19" i="18"/>
  <c r="U19" i="18"/>
  <c r="V19" i="18"/>
  <c r="W19" i="18"/>
  <c r="Y19" i="18"/>
  <c r="Z19" i="18"/>
  <c r="AA19" i="18"/>
  <c r="AB19" i="18"/>
  <c r="AD19" i="18"/>
  <c r="AE19" i="18"/>
  <c r="AF19" i="18"/>
  <c r="AG19" i="18"/>
  <c r="I20" i="18"/>
  <c r="I31" i="18" s="1"/>
  <c r="I26" i="18" s="1"/>
  <c r="N20" i="18"/>
  <c r="S20" i="18"/>
  <c r="X20" i="18"/>
  <c r="X21" i="18" s="1"/>
  <c r="AC20" i="18"/>
  <c r="AC21" i="18" s="1"/>
  <c r="AH20" i="18"/>
  <c r="J21" i="18"/>
  <c r="K21" i="18"/>
  <c r="L21" i="18"/>
  <c r="M21" i="18"/>
  <c r="O21" i="18"/>
  <c r="P21" i="18"/>
  <c r="Q21" i="18"/>
  <c r="R21" i="18"/>
  <c r="T21" i="18"/>
  <c r="U21" i="18"/>
  <c r="V21" i="18"/>
  <c r="W21" i="18"/>
  <c r="Y21" i="18"/>
  <c r="Z21" i="18"/>
  <c r="AA21" i="18"/>
  <c r="AB21" i="18"/>
  <c r="AD21" i="18"/>
  <c r="AE21" i="18"/>
  <c r="AF21" i="18"/>
  <c r="AG21" i="18"/>
  <c r="I22" i="18"/>
  <c r="L22" i="18"/>
  <c r="M22" i="18"/>
  <c r="R23" i="18" s="1"/>
  <c r="O22" i="18"/>
  <c r="P22" i="18"/>
  <c r="Q22" i="18"/>
  <c r="V23" i="18" s="1"/>
  <c r="R22" i="18"/>
  <c r="T22" i="18"/>
  <c r="U22" i="18"/>
  <c r="U23" i="18" s="1"/>
  <c r="V22" i="18"/>
  <c r="Y22" i="18"/>
  <c r="Z22" i="18"/>
  <c r="AA22" i="18"/>
  <c r="AB22" i="18"/>
  <c r="AD22" i="18"/>
  <c r="AD23" i="18" s="1"/>
  <c r="AE22" i="18"/>
  <c r="AF22" i="18"/>
  <c r="AG22" i="18"/>
  <c r="AH22" i="18"/>
  <c r="J23" i="18"/>
  <c r="K23" i="18"/>
  <c r="L23" i="18"/>
  <c r="M23" i="18"/>
  <c r="O23" i="18"/>
  <c r="P23" i="18"/>
  <c r="Q23" i="18"/>
  <c r="T23" i="18"/>
  <c r="W23" i="18"/>
  <c r="Y23" i="18"/>
  <c r="AA23" i="18"/>
  <c r="AB23" i="18"/>
  <c r="AF23" i="18"/>
  <c r="AG23" i="18"/>
  <c r="N25" i="18"/>
  <c r="S25" i="18"/>
  <c r="X25" i="18"/>
  <c r="AC25" i="18"/>
  <c r="AH25" i="18"/>
  <c r="S27" i="18"/>
  <c r="X27" i="18"/>
  <c r="AC27" i="18"/>
  <c r="AH27" i="18"/>
  <c r="P28" i="18"/>
  <c r="Q28" i="18"/>
  <c r="R28" i="18"/>
  <c r="T28" i="18"/>
  <c r="U28" i="18"/>
  <c r="V28" i="18"/>
  <c r="W28" i="18"/>
  <c r="Y28" i="18"/>
  <c r="Z28" i="18"/>
  <c r="AA28" i="18"/>
  <c r="AB28" i="18"/>
  <c r="AD28" i="18"/>
  <c r="AE28" i="18"/>
  <c r="AF28" i="18"/>
  <c r="AG28" i="18"/>
  <c r="S29" i="18"/>
  <c r="X29" i="18"/>
  <c r="X31" i="18" s="1"/>
  <c r="AC29" i="18"/>
  <c r="AH29" i="18"/>
  <c r="P30" i="18"/>
  <c r="Q30" i="18"/>
  <c r="R30" i="18"/>
  <c r="T30" i="18"/>
  <c r="U30" i="18"/>
  <c r="V30" i="18"/>
  <c r="W30" i="18"/>
  <c r="Y30" i="18"/>
  <c r="Z30" i="18"/>
  <c r="AA30" i="18"/>
  <c r="AB30" i="18"/>
  <c r="AD30" i="18"/>
  <c r="AE30" i="18"/>
  <c r="AF30" i="18"/>
  <c r="AG30" i="18"/>
  <c r="E31" i="18"/>
  <c r="F31" i="18"/>
  <c r="F27" i="18" s="1"/>
  <c r="K28" i="18" s="1"/>
  <c r="G31" i="18"/>
  <c r="G29" i="18" s="1"/>
  <c r="L30" i="18" s="1"/>
  <c r="H31" i="18"/>
  <c r="H29" i="18" s="1"/>
  <c r="M30" i="18" s="1"/>
  <c r="J31" i="18"/>
  <c r="J29" i="18" s="1"/>
  <c r="O30" i="18" s="1"/>
  <c r="K31" i="18"/>
  <c r="L31" i="18"/>
  <c r="L45" i="18" s="1"/>
  <c r="M31" i="18"/>
  <c r="M60" i="18" s="1"/>
  <c r="M61" i="18" s="1"/>
  <c r="O31" i="18"/>
  <c r="P31" i="18"/>
  <c r="Q31" i="18"/>
  <c r="Q160" i="18" s="1"/>
  <c r="R31" i="18"/>
  <c r="R41" i="18" s="1"/>
  <c r="T31" i="18"/>
  <c r="T45" i="18" s="1"/>
  <c r="U31" i="18"/>
  <c r="U32" i="18" s="1"/>
  <c r="V31" i="18"/>
  <c r="V60" i="18" s="1"/>
  <c r="W31" i="18"/>
  <c r="W45" i="18" s="1"/>
  <c r="Y31" i="18"/>
  <c r="Z31" i="18"/>
  <c r="Z45" i="18" s="1"/>
  <c r="AA31" i="18"/>
  <c r="AB31" i="18"/>
  <c r="AB32" i="18" s="1"/>
  <c r="AD31" i="18"/>
  <c r="AE31" i="18"/>
  <c r="AE37" i="18" s="1"/>
  <c r="AF31" i="18"/>
  <c r="AF60" i="18" s="1"/>
  <c r="AG31" i="18"/>
  <c r="AG60" i="18" s="1"/>
  <c r="P32" i="18"/>
  <c r="P34" i="18" s="1"/>
  <c r="Q32" i="18"/>
  <c r="Q34" i="18" s="1"/>
  <c r="Z37" i="18"/>
  <c r="S39" i="18"/>
  <c r="S40" i="18" s="1"/>
  <c r="X39" i="18"/>
  <c r="AC39" i="18"/>
  <c r="AH39" i="18"/>
  <c r="L40" i="18"/>
  <c r="M40" i="18"/>
  <c r="N40" i="18"/>
  <c r="O40" i="18"/>
  <c r="P40" i="18"/>
  <c r="Q40" i="18"/>
  <c r="R40" i="18"/>
  <c r="T40" i="18"/>
  <c r="U40" i="18"/>
  <c r="V40" i="18"/>
  <c r="W40" i="18"/>
  <c r="Y40" i="18"/>
  <c r="Z40" i="18"/>
  <c r="AA40" i="18"/>
  <c r="AB40" i="18"/>
  <c r="AD40" i="18"/>
  <c r="AE40" i="18"/>
  <c r="AF40" i="18"/>
  <c r="AG40" i="18"/>
  <c r="P41" i="18"/>
  <c r="V41" i="18"/>
  <c r="W41" i="18"/>
  <c r="AD41" i="18"/>
  <c r="AE41" i="18"/>
  <c r="AF41" i="18"/>
  <c r="S43" i="18"/>
  <c r="S44" i="18" s="1"/>
  <c r="X43" i="18"/>
  <c r="AC43" i="18"/>
  <c r="AH43" i="18"/>
  <c r="L44" i="18"/>
  <c r="M44" i="18"/>
  <c r="N44" i="18"/>
  <c r="O44" i="18"/>
  <c r="P44" i="18"/>
  <c r="Q44" i="18"/>
  <c r="R44" i="18"/>
  <c r="T44" i="18"/>
  <c r="U44" i="18"/>
  <c r="V44" i="18"/>
  <c r="W44" i="18"/>
  <c r="Y44" i="18"/>
  <c r="Z44" i="18"/>
  <c r="AA44" i="18"/>
  <c r="AB44" i="18"/>
  <c r="AD44" i="18"/>
  <c r="AE44" i="18"/>
  <c r="AF44" i="18"/>
  <c r="AG44" i="18"/>
  <c r="P45" i="18"/>
  <c r="R45" i="18"/>
  <c r="V45" i="18"/>
  <c r="AA45" i="18"/>
  <c r="AD45" i="18"/>
  <c r="AE45" i="18"/>
  <c r="S46" i="18"/>
  <c r="X46" i="18"/>
  <c r="AC46" i="18"/>
  <c r="AH46" i="18"/>
  <c r="P47" i="18"/>
  <c r="W47" i="18"/>
  <c r="AF47" i="18"/>
  <c r="L48" i="18"/>
  <c r="M48" i="18"/>
  <c r="R49" i="18" s="1"/>
  <c r="N48" i="18"/>
  <c r="O48" i="18"/>
  <c r="O49" i="18" s="1"/>
  <c r="P48" i="18"/>
  <c r="Q48" i="18"/>
  <c r="Q50" i="18" s="1"/>
  <c r="R48" i="18"/>
  <c r="T48" i="18"/>
  <c r="U48" i="18"/>
  <c r="U50" i="18" s="1"/>
  <c r="V48" i="18"/>
  <c r="V49" i="18" s="1"/>
  <c r="W48" i="18"/>
  <c r="W49" i="18" s="1"/>
  <c r="Y48" i="18"/>
  <c r="Y50" i="18" s="1"/>
  <c r="Z48" i="18"/>
  <c r="AA48" i="18"/>
  <c r="AA50" i="18" s="1"/>
  <c r="AB48" i="18"/>
  <c r="AD48" i="18"/>
  <c r="AD49" i="18" s="1"/>
  <c r="AE48" i="18"/>
  <c r="AF48" i="18"/>
  <c r="AG48" i="18"/>
  <c r="N49" i="18"/>
  <c r="R50" i="18"/>
  <c r="AD50" i="18"/>
  <c r="AE50" i="18"/>
  <c r="P52" i="18"/>
  <c r="R52" i="18"/>
  <c r="V52" i="18"/>
  <c r="W52" i="18"/>
  <c r="AD52" i="18"/>
  <c r="AD54" i="18" s="1"/>
  <c r="AE52" i="18"/>
  <c r="AF52" i="18"/>
  <c r="W54" i="18"/>
  <c r="S59" i="18"/>
  <c r="X59" i="18"/>
  <c r="AC59" i="18"/>
  <c r="AH59" i="18"/>
  <c r="L60" i="18"/>
  <c r="L61" i="18" s="1"/>
  <c r="P60" i="18"/>
  <c r="R60" i="18"/>
  <c r="U60" i="18"/>
  <c r="W60" i="18"/>
  <c r="Y60" i="18"/>
  <c r="Z60" i="18"/>
  <c r="AD60" i="18"/>
  <c r="P61" i="18"/>
  <c r="U61" i="18"/>
  <c r="W63" i="18"/>
  <c r="W62" i="18" s="1"/>
  <c r="AD63" i="18"/>
  <c r="W64" i="18"/>
  <c r="I70" i="18"/>
  <c r="N70" i="18"/>
  <c r="S70" i="18"/>
  <c r="X70" i="18"/>
  <c r="AC70" i="18"/>
  <c r="AH71" i="18" s="1"/>
  <c r="AH70" i="18"/>
  <c r="J71" i="18"/>
  <c r="K71" i="18"/>
  <c r="L71" i="18"/>
  <c r="M71" i="18"/>
  <c r="O71" i="18"/>
  <c r="P71" i="18"/>
  <c r="Q71" i="18"/>
  <c r="R71" i="18"/>
  <c r="T71" i="18"/>
  <c r="U71" i="18"/>
  <c r="V71" i="18"/>
  <c r="W71" i="18"/>
  <c r="Y71" i="18"/>
  <c r="Z71" i="18"/>
  <c r="AA71" i="18"/>
  <c r="AB71" i="18"/>
  <c r="AD71" i="18"/>
  <c r="AE71" i="18"/>
  <c r="AF71" i="18"/>
  <c r="AG71" i="18"/>
  <c r="I72" i="18"/>
  <c r="N72" i="18"/>
  <c r="S72" i="18"/>
  <c r="X72" i="18"/>
  <c r="AC72" i="18"/>
  <c r="AH72" i="18"/>
  <c r="J73" i="18"/>
  <c r="K73" i="18"/>
  <c r="L73" i="18"/>
  <c r="M73" i="18"/>
  <c r="O73" i="18"/>
  <c r="P73" i="18"/>
  <c r="Q73" i="18"/>
  <c r="R73" i="18"/>
  <c r="T73" i="18"/>
  <c r="U73" i="18"/>
  <c r="V73" i="18"/>
  <c r="W73" i="18"/>
  <c r="Y73" i="18"/>
  <c r="Z73" i="18"/>
  <c r="AA73" i="18"/>
  <c r="AB73" i="18"/>
  <c r="AD73" i="18"/>
  <c r="AE73" i="18"/>
  <c r="AF73" i="18"/>
  <c r="AG73" i="18"/>
  <c r="I74" i="18"/>
  <c r="N74" i="18"/>
  <c r="S74" i="18"/>
  <c r="X74" i="18"/>
  <c r="X75" i="18" s="1"/>
  <c r="AC74" i="18"/>
  <c r="AH74" i="18"/>
  <c r="J75" i="18"/>
  <c r="K75" i="18"/>
  <c r="L75" i="18"/>
  <c r="M75" i="18"/>
  <c r="O75" i="18"/>
  <c r="P75" i="18"/>
  <c r="Q75" i="18"/>
  <c r="R75" i="18"/>
  <c r="T75" i="18"/>
  <c r="U75" i="18"/>
  <c r="V75" i="18"/>
  <c r="W75" i="18"/>
  <c r="Y75" i="18"/>
  <c r="Z75" i="18"/>
  <c r="AA75" i="18"/>
  <c r="AB75" i="18"/>
  <c r="AD75" i="18"/>
  <c r="AE75" i="18"/>
  <c r="AF75" i="18"/>
  <c r="AG75" i="18"/>
  <c r="E95" i="18"/>
  <c r="F95" i="18"/>
  <c r="G95" i="18"/>
  <c r="H95" i="18"/>
  <c r="J95" i="18"/>
  <c r="K95" i="18"/>
  <c r="K150" i="18" s="1"/>
  <c r="P153" i="18" s="1"/>
  <c r="L95" i="18"/>
  <c r="L96" i="18" s="1"/>
  <c r="M95" i="18"/>
  <c r="O95" i="18"/>
  <c r="O130" i="18" s="1"/>
  <c r="P95" i="18"/>
  <c r="P124" i="18" s="1"/>
  <c r="Q95" i="18"/>
  <c r="Q101" i="18" s="1"/>
  <c r="R95" i="18"/>
  <c r="T95" i="18"/>
  <c r="T143" i="18" s="1"/>
  <c r="U95" i="18"/>
  <c r="U96" i="18" s="1"/>
  <c r="V95" i="18"/>
  <c r="W95" i="18"/>
  <c r="Y95" i="18"/>
  <c r="Y143" i="18" s="1"/>
  <c r="Z95" i="18"/>
  <c r="Z130" i="18" s="1"/>
  <c r="AA95" i="18"/>
  <c r="AB95" i="18"/>
  <c r="AD95" i="18"/>
  <c r="AD143" i="18" s="1"/>
  <c r="AE95" i="18"/>
  <c r="AE130" i="18" s="1"/>
  <c r="AF95" i="18"/>
  <c r="AG95" i="18"/>
  <c r="M96" i="18"/>
  <c r="AB96" i="18"/>
  <c r="AB98" i="18" s="1"/>
  <c r="AF96" i="18"/>
  <c r="AG96" i="18"/>
  <c r="V97" i="18"/>
  <c r="AF97" i="18"/>
  <c r="AG97" i="18"/>
  <c r="W101" i="18"/>
  <c r="AB101" i="18"/>
  <c r="AG101" i="18"/>
  <c r="AD111" i="18"/>
  <c r="AE111" i="18"/>
  <c r="AF111" i="18"/>
  <c r="AG111" i="18"/>
  <c r="S122" i="18"/>
  <c r="X122" i="18"/>
  <c r="AC122" i="18"/>
  <c r="AH122" i="18"/>
  <c r="L123" i="18"/>
  <c r="M123" i="18"/>
  <c r="N123" i="18"/>
  <c r="O123" i="18"/>
  <c r="P123" i="18"/>
  <c r="Q123" i="18"/>
  <c r="R123" i="18"/>
  <c r="T123" i="18"/>
  <c r="U123" i="18"/>
  <c r="V123" i="18"/>
  <c r="W123" i="18"/>
  <c r="Y123" i="18"/>
  <c r="Z123" i="18"/>
  <c r="AA123" i="18"/>
  <c r="AB123" i="18"/>
  <c r="AD123" i="18"/>
  <c r="AE123" i="18"/>
  <c r="AF123" i="18"/>
  <c r="AG123" i="18"/>
  <c r="M124" i="18"/>
  <c r="Q124" i="18"/>
  <c r="R124" i="18"/>
  <c r="R125" i="18" s="1"/>
  <c r="V124" i="18"/>
  <c r="W124" i="18"/>
  <c r="AA124" i="18"/>
  <c r="AB124" i="18"/>
  <c r="AF124" i="18"/>
  <c r="AG124" i="18"/>
  <c r="V125" i="18"/>
  <c r="S126" i="18"/>
  <c r="S127" i="18" s="1"/>
  <c r="X126" i="18"/>
  <c r="AC126" i="18"/>
  <c r="AH126" i="18"/>
  <c r="L127" i="18"/>
  <c r="M127" i="18"/>
  <c r="N127" i="18"/>
  <c r="O127" i="18"/>
  <c r="P127" i="18"/>
  <c r="Q127" i="18"/>
  <c r="R127" i="18"/>
  <c r="T127" i="18"/>
  <c r="U127" i="18"/>
  <c r="V127" i="18"/>
  <c r="W127" i="18"/>
  <c r="Y127" i="18"/>
  <c r="Z127" i="18"/>
  <c r="AA127" i="18"/>
  <c r="AB127" i="18"/>
  <c r="AD127" i="18"/>
  <c r="AE127" i="18"/>
  <c r="AF127" i="18"/>
  <c r="AG127" i="18"/>
  <c r="AH127" i="18"/>
  <c r="L128" i="18"/>
  <c r="M128" i="18"/>
  <c r="Q128" i="18"/>
  <c r="U128" i="18"/>
  <c r="V128" i="18"/>
  <c r="W128" i="18"/>
  <c r="AA128" i="18"/>
  <c r="AB128" i="18"/>
  <c r="AF128" i="18"/>
  <c r="AG128" i="18"/>
  <c r="S129" i="18"/>
  <c r="X129" i="18"/>
  <c r="AC129" i="18"/>
  <c r="AH129" i="18"/>
  <c r="M130" i="18"/>
  <c r="Q130" i="18"/>
  <c r="V130" i="18"/>
  <c r="W130" i="18"/>
  <c r="Y130" i="18"/>
  <c r="AA130" i="18"/>
  <c r="AB130" i="18"/>
  <c r="AD130" i="18"/>
  <c r="AF130" i="18"/>
  <c r="AG130" i="18"/>
  <c r="L131" i="18"/>
  <c r="L132" i="18" s="1"/>
  <c r="M131" i="18"/>
  <c r="R132" i="18" s="1"/>
  <c r="N131" i="18"/>
  <c r="O131" i="18"/>
  <c r="O132" i="18" s="1"/>
  <c r="P131" i="18"/>
  <c r="Q131" i="18"/>
  <c r="R131" i="18"/>
  <c r="T131" i="18"/>
  <c r="T132" i="18" s="1"/>
  <c r="U131" i="18"/>
  <c r="V131" i="18"/>
  <c r="V133" i="18" s="1"/>
  <c r="W131" i="18"/>
  <c r="Y131" i="18"/>
  <c r="Z131" i="18"/>
  <c r="AA131" i="18"/>
  <c r="AB131" i="18"/>
  <c r="AD131" i="18"/>
  <c r="AE131" i="18"/>
  <c r="AF131" i="18"/>
  <c r="AG131" i="18"/>
  <c r="N132" i="18"/>
  <c r="V132" i="18"/>
  <c r="W132" i="18"/>
  <c r="AA132" i="18"/>
  <c r="AB132" i="18"/>
  <c r="AF132" i="18"/>
  <c r="W133" i="18"/>
  <c r="AA133" i="18"/>
  <c r="AB133" i="18"/>
  <c r="AF133" i="18"/>
  <c r="L135" i="18"/>
  <c r="M135" i="18"/>
  <c r="M136" i="18" s="1"/>
  <c r="Q135" i="18"/>
  <c r="V135" i="18"/>
  <c r="W135" i="18"/>
  <c r="AA135" i="18"/>
  <c r="AA136" i="18" s="1"/>
  <c r="AB135" i="18"/>
  <c r="AF135" i="18"/>
  <c r="AG135" i="18"/>
  <c r="V137" i="18"/>
  <c r="W137" i="18"/>
  <c r="AA137" i="18"/>
  <c r="S142" i="18"/>
  <c r="X142" i="18"/>
  <c r="AC142" i="18"/>
  <c r="AH142" i="18"/>
  <c r="M143" i="18"/>
  <c r="Q143" i="18"/>
  <c r="R143" i="18"/>
  <c r="V143" i="18"/>
  <c r="W143" i="18"/>
  <c r="AA143" i="18"/>
  <c r="AB143" i="18"/>
  <c r="AF143" i="18"/>
  <c r="AG143" i="18"/>
  <c r="V145" i="18"/>
  <c r="AF145" i="18"/>
  <c r="AF146" i="18" s="1"/>
  <c r="H150" i="18"/>
  <c r="W150" i="18"/>
  <c r="AF150" i="18"/>
  <c r="AF181" i="18" s="1"/>
  <c r="AB153" i="18"/>
  <c r="I154" i="18"/>
  <c r="N154" i="18"/>
  <c r="I156" i="18"/>
  <c r="N156" i="18"/>
  <c r="R159" i="18"/>
  <c r="V159" i="18"/>
  <c r="W159" i="18"/>
  <c r="AF159" i="18"/>
  <c r="O160" i="18"/>
  <c r="R160" i="18"/>
  <c r="T160" i="18"/>
  <c r="V160" i="18"/>
  <c r="W160" i="18"/>
  <c r="Y160" i="18"/>
  <c r="AD160" i="18"/>
  <c r="AE160" i="18"/>
  <c r="AD169" i="18"/>
  <c r="AE169" i="18"/>
  <c r="AF169" i="18"/>
  <c r="AG169" i="18"/>
  <c r="AH169" i="18"/>
  <c r="AD172" i="18"/>
  <c r="AE172" i="18"/>
  <c r="AF172" i="18"/>
  <c r="AG172" i="18"/>
  <c r="AH172" i="18"/>
  <c r="AD177" i="18"/>
  <c r="AE177" i="18"/>
  <c r="AF177" i="18"/>
  <c r="AG177" i="18"/>
  <c r="AH177" i="18"/>
  <c r="AD180" i="18"/>
  <c r="AE180" i="18"/>
  <c r="AF180" i="18"/>
  <c r="AG180" i="18"/>
  <c r="AH180" i="18"/>
  <c r="CE242" i="18" a="1"/>
  <c r="CE242" i="18" s="1"/>
  <c r="CD242" i="18" a="1"/>
  <c r="CD242" i="18" s="1"/>
  <c r="CC242" i="18" a="1"/>
  <c r="CC242" i="18" s="1"/>
  <c r="CB242" i="18" a="1"/>
  <c r="CB242" i="18" s="1"/>
  <c r="BZ242" i="18" a="1"/>
  <c r="BZ242" i="18" s="1"/>
  <c r="BY242" i="18" a="1"/>
  <c r="BY242" i="18" s="1"/>
  <c r="BX242" i="18" a="1"/>
  <c r="BX242" i="18" s="1"/>
  <c r="BW242" i="18" a="1"/>
  <c r="BW242" i="18" s="1"/>
  <c r="BS180" i="18"/>
  <c r="BS177" i="18"/>
  <c r="BS172" i="18"/>
  <c r="BS169" i="18"/>
  <c r="BU53" i="7"/>
  <c r="BZ53" i="7" s="1"/>
  <c r="BT53" i="7"/>
  <c r="BY53" i="7" s="1"/>
  <c r="BS53" i="7"/>
  <c r="BX53" i="7" s="1"/>
  <c r="BR53" i="7"/>
  <c r="BW53" i="7" s="1"/>
  <c r="BQ53" i="7"/>
  <c r="BQ55" i="7"/>
  <c r="BZ221" i="18"/>
  <c r="BY221" i="18"/>
  <c r="BX221" i="18"/>
  <c r="BW221" i="18"/>
  <c r="BU221" i="18"/>
  <c r="BT25" i="18"/>
  <c r="BP65" i="7"/>
  <c r="BR65" i="7" s="1"/>
  <c r="BS65" i="7" s="1"/>
  <c r="BP84" i="7"/>
  <c r="BS129" i="18"/>
  <c r="BV211" i="18"/>
  <c r="BU212" i="18"/>
  <c r="BT146" i="18" l="1"/>
  <c r="BT147" i="18" s="1"/>
  <c r="BT122" i="18"/>
  <c r="BT66" i="18"/>
  <c r="BT64" i="18"/>
  <c r="BT65" i="18" s="1"/>
  <c r="BT60" i="18"/>
  <c r="BT44" i="18"/>
  <c r="X26" i="18"/>
  <c r="X47" i="18"/>
  <c r="V64" i="18"/>
  <c r="V150" i="18"/>
  <c r="W152" i="18" s="1"/>
  <c r="M146" i="18"/>
  <c r="M147" i="18" s="1"/>
  <c r="AG125" i="18"/>
  <c r="S73" i="18"/>
  <c r="AE63" i="18"/>
  <c r="AE62" i="18" s="1"/>
  <c r="AE54" i="18"/>
  <c r="R64" i="18"/>
  <c r="W65" i="18" s="1"/>
  <c r="V37" i="18"/>
  <c r="V164" i="18"/>
  <c r="Z159" i="18"/>
  <c r="Q159" i="18"/>
  <c r="Q150" i="18"/>
  <c r="Q151" i="18" s="1"/>
  <c r="U143" i="18"/>
  <c r="U144" i="18" s="1"/>
  <c r="U135" i="18"/>
  <c r="U137" i="18" s="1"/>
  <c r="V139" i="18" s="1"/>
  <c r="AE60" i="18"/>
  <c r="AE61" i="18" s="1"/>
  <c r="W61" i="18"/>
  <c r="Q60" i="18"/>
  <c r="V61" i="18" s="1"/>
  <c r="Z52" i="18"/>
  <c r="Z41" i="18"/>
  <c r="L41" i="18"/>
  <c r="AF37" i="18"/>
  <c r="Q37" i="18"/>
  <c r="E150" i="18"/>
  <c r="AH31" i="18"/>
  <c r="AH159" i="18" s="1"/>
  <c r="V163" i="18"/>
  <c r="M145" i="18"/>
  <c r="M137" i="18"/>
  <c r="M138" i="18" s="1"/>
  <c r="AE133" i="18"/>
  <c r="U124" i="18"/>
  <c r="AC123" i="18"/>
  <c r="AF101" i="18"/>
  <c r="AF98" i="18"/>
  <c r="G150" i="18"/>
  <c r="AH95" i="18"/>
  <c r="N95" i="18"/>
  <c r="N143" i="18" s="1"/>
  <c r="N71" i="18"/>
  <c r="AD64" i="18"/>
  <c r="AF164" i="18"/>
  <c r="W53" i="18"/>
  <c r="L52" i="18"/>
  <c r="V50" i="18"/>
  <c r="AE47" i="18"/>
  <c r="L47" i="18"/>
  <c r="Q36" i="18"/>
  <c r="AA37" i="18"/>
  <c r="X28" i="18"/>
  <c r="AH45" i="18"/>
  <c r="AH143" i="18"/>
  <c r="N124" i="18"/>
  <c r="P150" i="18"/>
  <c r="P151" i="18" s="1"/>
  <c r="P154" i="18" s="1"/>
  <c r="U145" i="18"/>
  <c r="U146" i="18" s="1"/>
  <c r="AA138" i="18"/>
  <c r="P130" i="18"/>
  <c r="F150" i="18"/>
  <c r="Q61" i="18"/>
  <c r="AC48" i="18"/>
  <c r="AC33" i="18"/>
  <c r="AC28" i="18"/>
  <c r="X19" i="18"/>
  <c r="O32" i="18"/>
  <c r="Z143" i="18"/>
  <c r="Z135" i="18"/>
  <c r="Z128" i="18"/>
  <c r="AF100" i="18"/>
  <c r="R63" i="18"/>
  <c r="W66" i="18" s="1"/>
  <c r="X48" i="18"/>
  <c r="AE42" i="18"/>
  <c r="W42" i="18"/>
  <c r="AA160" i="18"/>
  <c r="AE159" i="18"/>
  <c r="P159" i="18"/>
  <c r="V155" i="18"/>
  <c r="AA150" i="18"/>
  <c r="AF155" i="18" s="1"/>
  <c r="U150" i="18"/>
  <c r="M150" i="18"/>
  <c r="R153" i="18" s="1"/>
  <c r="AA145" i="18"/>
  <c r="AA146" i="18" s="1"/>
  <c r="AF147" i="18" s="1"/>
  <c r="AE143" i="18"/>
  <c r="L143" i="18"/>
  <c r="AE135" i="18"/>
  <c r="P135" i="18"/>
  <c r="P136" i="18" s="1"/>
  <c r="AE128" i="18"/>
  <c r="P128" i="18"/>
  <c r="AE124" i="18"/>
  <c r="L124" i="18"/>
  <c r="Q125" i="18" s="1"/>
  <c r="Y101" i="18"/>
  <c r="AB100" i="18"/>
  <c r="Y96" i="18"/>
  <c r="Y98" i="18" s="1"/>
  <c r="AE64" i="18"/>
  <c r="AA60" i="18"/>
  <c r="AF45" i="18"/>
  <c r="AC40" i="18"/>
  <c r="AF32" i="18"/>
  <c r="M32" i="18"/>
  <c r="G27" i="18"/>
  <c r="L28" i="18" s="1"/>
  <c r="U125" i="18"/>
  <c r="AF173" i="18"/>
  <c r="AE150" i="18"/>
  <c r="Z124" i="18"/>
  <c r="Z125" i="18" s="1"/>
  <c r="P101" i="18"/>
  <c r="R54" i="18"/>
  <c r="AG50" i="18"/>
  <c r="Y49" i="18"/>
  <c r="AC35" i="18"/>
  <c r="AF178" i="18"/>
  <c r="AF170" i="18"/>
  <c r="W164" i="18"/>
  <c r="Z163" i="18"/>
  <c r="AF160" i="18"/>
  <c r="Z160" i="18"/>
  <c r="U160" i="18"/>
  <c r="P160" i="18"/>
  <c r="AA159" i="18"/>
  <c r="U159" i="18"/>
  <c r="AB155" i="18"/>
  <c r="R155" i="18"/>
  <c r="Z150" i="18"/>
  <c r="AE155" i="18" s="1"/>
  <c r="R150" i="18"/>
  <c r="R152" i="18" s="1"/>
  <c r="L150" i="18"/>
  <c r="Q153" i="18" s="1"/>
  <c r="P143" i="18"/>
  <c r="U130" i="18"/>
  <c r="L130" i="18"/>
  <c r="X127" i="18"/>
  <c r="AH123" i="18"/>
  <c r="Q96" i="18"/>
  <c r="Q100" i="18" s="1"/>
  <c r="S75" i="18"/>
  <c r="AH73" i="18"/>
  <c r="Z63" i="18"/>
  <c r="AA52" i="18"/>
  <c r="AF53" i="18" s="1"/>
  <c r="T52" i="18"/>
  <c r="T54" i="18" s="1"/>
  <c r="W50" i="18"/>
  <c r="Z49" i="18"/>
  <c r="M50" i="18"/>
  <c r="AA47" i="18"/>
  <c r="O47" i="18"/>
  <c r="AA41" i="18"/>
  <c r="AA42" i="18" s="1"/>
  <c r="Y32" i="18"/>
  <c r="X30" i="18"/>
  <c r="P155" i="18"/>
  <c r="Z153" i="18"/>
  <c r="Z155" i="18"/>
  <c r="AA148" i="18"/>
  <c r="O143" i="18"/>
  <c r="W145" i="18"/>
  <c r="W163" i="18"/>
  <c r="AD133" i="18"/>
  <c r="AE132" i="18"/>
  <c r="Z132" i="18"/>
  <c r="Z133" i="18"/>
  <c r="AC131" i="18"/>
  <c r="AB34" i="18"/>
  <c r="AB36" i="18"/>
  <c r="Z151" i="18"/>
  <c r="AE153" i="18"/>
  <c r="AB145" i="18"/>
  <c r="AB144" i="18" s="1"/>
  <c r="L133" i="18"/>
  <c r="AE170" i="18"/>
  <c r="AE178" i="18"/>
  <c r="AF152" i="18"/>
  <c r="AE173" i="18"/>
  <c r="AE181" i="18"/>
  <c r="Q137" i="18"/>
  <c r="Q145" i="18"/>
  <c r="P132" i="18"/>
  <c r="P133" i="18"/>
  <c r="U151" i="18"/>
  <c r="AG145" i="18"/>
  <c r="AG137" i="18"/>
  <c r="Q136" i="18"/>
  <c r="L145" i="18"/>
  <c r="L146" i="18" s="1"/>
  <c r="L147" i="18" s="1"/>
  <c r="AH128" i="18"/>
  <c r="AH135" i="18"/>
  <c r="AH124" i="18"/>
  <c r="AH150" i="18"/>
  <c r="AD128" i="18"/>
  <c r="AD135" i="18"/>
  <c r="AD124" i="18"/>
  <c r="AD150" i="18"/>
  <c r="AD159" i="18"/>
  <c r="Y128" i="18"/>
  <c r="Y135" i="18"/>
  <c r="Y124" i="18"/>
  <c r="Y150" i="18"/>
  <c r="AD153" i="18" s="1"/>
  <c r="Y159" i="18"/>
  <c r="T96" i="18"/>
  <c r="T128" i="18"/>
  <c r="T135" i="18"/>
  <c r="U101" i="18"/>
  <c r="T124" i="18"/>
  <c r="T130" i="18"/>
  <c r="T133" i="18"/>
  <c r="T150" i="18"/>
  <c r="Y155" i="18" s="1"/>
  <c r="O128" i="18"/>
  <c r="O135" i="18"/>
  <c r="O101" i="18"/>
  <c r="O124" i="18"/>
  <c r="O150" i="18"/>
  <c r="O152" i="18" s="1"/>
  <c r="K96" i="18"/>
  <c r="AH60" i="18"/>
  <c r="U34" i="18"/>
  <c r="U36" i="18"/>
  <c r="AF163" i="18"/>
  <c r="AA163" i="18"/>
  <c r="T163" i="18"/>
  <c r="AG160" i="18"/>
  <c r="AB160" i="18"/>
  <c r="T159" i="18"/>
  <c r="O159" i="18"/>
  <c r="T153" i="18"/>
  <c r="J150" i="18"/>
  <c r="O155" i="18" s="1"/>
  <c r="V136" i="18"/>
  <c r="X130" i="18"/>
  <c r="Z50" i="18"/>
  <c r="Q49" i="18"/>
  <c r="AA49" i="18"/>
  <c r="AB41" i="18"/>
  <c r="AB42" i="18" s="1"/>
  <c r="O41" i="18"/>
  <c r="AB37" i="18"/>
  <c r="U37" i="18"/>
  <c r="AG32" i="18"/>
  <c r="AH21" i="18"/>
  <c r="AG159" i="18"/>
  <c r="AB159" i="18"/>
  <c r="AG150" i="18"/>
  <c r="AB150" i="18"/>
  <c r="V144" i="18"/>
  <c r="M144" i="18"/>
  <c r="N73" i="18"/>
  <c r="T63" i="18"/>
  <c r="AF61" i="18"/>
  <c r="T60" i="18"/>
  <c r="Y61" i="18" s="1"/>
  <c r="O60" i="18"/>
  <c r="O61" i="18" s="1"/>
  <c r="O50" i="18"/>
  <c r="AH48" i="18"/>
  <c r="AB47" i="18"/>
  <c r="T47" i="18"/>
  <c r="AB45" i="18"/>
  <c r="O45" i="18"/>
  <c r="T41" i="18"/>
  <c r="T32" i="18"/>
  <c r="L32" i="18"/>
  <c r="N19" i="18"/>
  <c r="O133" i="18"/>
  <c r="AH131" i="18"/>
  <c r="P96" i="18"/>
  <c r="P98" i="18" s="1"/>
  <c r="AC71" i="18"/>
  <c r="AB60" i="18"/>
  <c r="AC60" i="18" s="1"/>
  <c r="AB52" i="18"/>
  <c r="AB164" i="18" s="1"/>
  <c r="O52" i="18"/>
  <c r="AG49" i="18"/>
  <c r="M49" i="18"/>
  <c r="AH40" i="18"/>
  <c r="P37" i="18"/>
  <c r="P36" i="18"/>
  <c r="K32" i="18"/>
  <c r="F29" i="18"/>
  <c r="K30" i="18" s="1"/>
  <c r="AH28" i="18"/>
  <c r="H27" i="18"/>
  <c r="M28" i="18" s="1"/>
  <c r="S123" i="18"/>
  <c r="X17" i="18"/>
  <c r="AC17" i="18"/>
  <c r="AF148" i="18"/>
  <c r="V146" i="18"/>
  <c r="W139" i="18"/>
  <c r="V138" i="18"/>
  <c r="AB137" i="18"/>
  <c r="AB136" i="18"/>
  <c r="T137" i="18"/>
  <c r="U133" i="18"/>
  <c r="U132" i="18"/>
  <c r="AC127" i="18"/>
  <c r="W125" i="18"/>
  <c r="AB125" i="18"/>
  <c r="X123" i="18"/>
  <c r="AF144" i="18"/>
  <c r="W153" i="18"/>
  <c r="Z152" i="18"/>
  <c r="AF137" i="18"/>
  <c r="AF136" i="18"/>
  <c r="L137" i="18"/>
  <c r="L136" i="18"/>
  <c r="AG133" i="18"/>
  <c r="AG132" i="18"/>
  <c r="Y133" i="18"/>
  <c r="Y132" i="18"/>
  <c r="AA125" i="18"/>
  <c r="AF125" i="18"/>
  <c r="AC49" i="18"/>
  <c r="Q133" i="18"/>
  <c r="Q132" i="18"/>
  <c r="M133" i="18"/>
  <c r="M132" i="18"/>
  <c r="Z154" i="18"/>
  <c r="AE152" i="18"/>
  <c r="AG148" i="18"/>
  <c r="AB146" i="18"/>
  <c r="AG136" i="18"/>
  <c r="P137" i="18"/>
  <c r="AD132" i="18"/>
  <c r="U98" i="18"/>
  <c r="U100" i="18"/>
  <c r="R96" i="18"/>
  <c r="T101" i="18"/>
  <c r="W96" i="18"/>
  <c r="R101" i="18"/>
  <c r="R130" i="18"/>
  <c r="R135" i="18"/>
  <c r="R128" i="18"/>
  <c r="R133" i="18"/>
  <c r="N130" i="18"/>
  <c r="N135" i="18"/>
  <c r="J96" i="18"/>
  <c r="O96" i="18"/>
  <c r="O153" i="18"/>
  <c r="S71" i="18"/>
  <c r="S95" i="18"/>
  <c r="X71" i="18"/>
  <c r="X60" i="18"/>
  <c r="AA61" i="18"/>
  <c r="Q98" i="18"/>
  <c r="V96" i="18"/>
  <c r="AA96" i="18"/>
  <c r="V101" i="18"/>
  <c r="Z62" i="18"/>
  <c r="Z61" i="18"/>
  <c r="T56" i="18"/>
  <c r="P53" i="18"/>
  <c r="P54" i="18"/>
  <c r="P64" i="18"/>
  <c r="P65" i="18" s="1"/>
  <c r="P63" i="18"/>
  <c r="P62" i="18" s="1"/>
  <c r="N29" i="18"/>
  <c r="Z96" i="18"/>
  <c r="AE96" i="18"/>
  <c r="Z101" i="18"/>
  <c r="AA101" i="18"/>
  <c r="AD62" i="18"/>
  <c r="AD61" i="18"/>
  <c r="V63" i="18"/>
  <c r="V54" i="18"/>
  <c r="W56" i="18" s="1"/>
  <c r="AH49" i="18"/>
  <c r="AC44" i="18"/>
  <c r="AH44" i="18"/>
  <c r="AC30" i="18"/>
  <c r="AC31" i="18"/>
  <c r="AC50" i="18" s="1"/>
  <c r="AG98" i="18"/>
  <c r="AG100" i="18"/>
  <c r="AD96" i="18"/>
  <c r="AD101" i="18"/>
  <c r="AE101" i="18"/>
  <c r="T98" i="18"/>
  <c r="T100" i="18"/>
  <c r="AC75" i="18"/>
  <c r="AH75" i="18"/>
  <c r="AC95" i="18"/>
  <c r="AC128" i="18" s="1"/>
  <c r="N75" i="18"/>
  <c r="I95" i="18"/>
  <c r="I150" i="18" s="1"/>
  <c r="X73" i="18"/>
  <c r="AC73" i="18"/>
  <c r="X95" i="18"/>
  <c r="R62" i="18"/>
  <c r="R61" i="18"/>
  <c r="AE56" i="18"/>
  <c r="W55" i="18"/>
  <c r="AF54" i="18"/>
  <c r="AF64" i="18"/>
  <c r="AF63" i="18"/>
  <c r="AA64" i="18"/>
  <c r="AA63" i="18"/>
  <c r="O34" i="18"/>
  <c r="O36" i="18"/>
  <c r="U49" i="18"/>
  <c r="X45" i="18"/>
  <c r="X44" i="18"/>
  <c r="R32" i="18"/>
  <c r="R37" i="18"/>
  <c r="W32" i="18"/>
  <c r="T37" i="18"/>
  <c r="R47" i="18"/>
  <c r="J32" i="18"/>
  <c r="J27" i="18"/>
  <c r="N22" i="18"/>
  <c r="N21" i="18"/>
  <c r="S21" i="18"/>
  <c r="AD53" i="18"/>
  <c r="P50" i="18"/>
  <c r="S48" i="18"/>
  <c r="P49" i="18"/>
  <c r="L50" i="18"/>
  <c r="L49" i="18"/>
  <c r="AC41" i="18"/>
  <c r="AD32" i="18"/>
  <c r="AD37" i="18"/>
  <c r="AD47" i="18"/>
  <c r="Z32" i="18"/>
  <c r="AE32" i="18"/>
  <c r="Z47" i="18"/>
  <c r="V32" i="18"/>
  <c r="W37" i="18"/>
  <c r="AA32" i="18"/>
  <c r="V47" i="18"/>
  <c r="Q47" i="18"/>
  <c r="Q52" i="18"/>
  <c r="Q41" i="18"/>
  <c r="Q42" i="18" s="1"/>
  <c r="Q45" i="18"/>
  <c r="M47" i="18"/>
  <c r="M52" i="18"/>
  <c r="R53" i="18" s="1"/>
  <c r="O37" i="18"/>
  <c r="M41" i="18"/>
  <c r="M45" i="18"/>
  <c r="E27" i="18"/>
  <c r="I27" i="18" s="1"/>
  <c r="I28" i="18" s="1"/>
  <c r="E29" i="18"/>
  <c r="I29" i="18" s="1"/>
  <c r="I30" i="18" s="1"/>
  <c r="S31" i="18"/>
  <c r="S22" i="18"/>
  <c r="S23" i="18" s="1"/>
  <c r="AC19" i="18"/>
  <c r="AH19" i="18"/>
  <c r="AF50" i="18"/>
  <c r="AF49" i="18"/>
  <c r="AB50" i="18"/>
  <c r="AB49" i="18"/>
  <c r="X50" i="18"/>
  <c r="T50" i="18"/>
  <c r="T49" i="18"/>
  <c r="AC47" i="18"/>
  <c r="R42" i="18"/>
  <c r="X41" i="18"/>
  <c r="X40" i="18"/>
  <c r="AG37" i="18"/>
  <c r="AG47" i="18"/>
  <c r="AG52" i="18"/>
  <c r="AH52" i="18" s="1"/>
  <c r="AG41" i="18"/>
  <c r="AG45" i="18"/>
  <c r="Y47" i="18"/>
  <c r="Y52" i="18"/>
  <c r="Y37" i="18"/>
  <c r="Y41" i="18"/>
  <c r="Y45" i="18"/>
  <c r="U47" i="18"/>
  <c r="U52" i="18"/>
  <c r="U41" i="18"/>
  <c r="U42" i="18" s="1"/>
  <c r="U45" i="18"/>
  <c r="AH30" i="18"/>
  <c r="Z23" i="18"/>
  <c r="AE23" i="18"/>
  <c r="AC22" i="18"/>
  <c r="X22" i="18"/>
  <c r="AE49" i="18"/>
  <c r="BT65" i="7"/>
  <c r="BU65" i="7" s="1"/>
  <c r="BW65" i="7" s="1"/>
  <c r="BB133" i="20"/>
  <c r="AX114" i="20"/>
  <c r="AW114" i="20"/>
  <c r="AV114" i="20"/>
  <c r="AU114" i="20"/>
  <c r="BA114" i="20"/>
  <c r="AZ114" i="20"/>
  <c r="BB111" i="20"/>
  <c r="BA55" i="20"/>
  <c r="BA54" i="20"/>
  <c r="BA53" i="20"/>
  <c r="BA52" i="20"/>
  <c r="BA51" i="20"/>
  <c r="BA50" i="20"/>
  <c r="BT11" i="18"/>
  <c r="BT10" i="18"/>
  <c r="BT124" i="18" l="1"/>
  <c r="BT125" i="18" s="1"/>
  <c r="BT131" i="18"/>
  <c r="BT123" i="18"/>
  <c r="BT62" i="18"/>
  <c r="BT61" i="18"/>
  <c r="L53" i="18"/>
  <c r="L64" i="18"/>
  <c r="L65" i="18" s="1"/>
  <c r="AA65" i="18"/>
  <c r="AA153" i="18"/>
  <c r="S60" i="18"/>
  <c r="AH160" i="18"/>
  <c r="AA53" i="18"/>
  <c r="Y100" i="18"/>
  <c r="N133" i="18"/>
  <c r="S97" i="18"/>
  <c r="M139" i="18"/>
  <c r="AE151" i="18"/>
  <c r="W151" i="18"/>
  <c r="L144" i="18"/>
  <c r="AH61" i="18"/>
  <c r="T155" i="18"/>
  <c r="L54" i="18"/>
  <c r="T136" i="18"/>
  <c r="Y125" i="18"/>
  <c r="U155" i="18"/>
  <c r="U153" i="18"/>
  <c r="AA144" i="18"/>
  <c r="P156" i="18"/>
  <c r="AE66" i="18"/>
  <c r="V153" i="18"/>
  <c r="AH47" i="18"/>
  <c r="AH130" i="18"/>
  <c r="AA155" i="18"/>
  <c r="AH41" i="18"/>
  <c r="AH32" i="18"/>
  <c r="V152" i="18"/>
  <c r="V151" i="18"/>
  <c r="V154" i="18" s="1"/>
  <c r="AH26" i="18"/>
  <c r="AC42" i="18"/>
  <c r="AC23" i="18"/>
  <c r="N128" i="18"/>
  <c r="S99" i="18"/>
  <c r="AA147" i="18"/>
  <c r="AH50" i="18"/>
  <c r="L63" i="18"/>
  <c r="L62" i="18" s="1"/>
  <c r="AD155" i="18"/>
  <c r="Q152" i="18"/>
  <c r="Z54" i="18"/>
  <c r="AE55" i="18" s="1"/>
  <c r="Z64" i="18"/>
  <c r="AE65" i="18" s="1"/>
  <c r="AE53" i="18"/>
  <c r="AF36" i="18"/>
  <c r="AF34" i="18"/>
  <c r="Q156" i="18"/>
  <c r="Q154" i="18"/>
  <c r="T152" i="18"/>
  <c r="Y153" i="18"/>
  <c r="T125" i="18"/>
  <c r="AG61" i="18"/>
  <c r="AF153" i="18"/>
  <c r="AF151" i="18"/>
  <c r="P163" i="18"/>
  <c r="P145" i="18"/>
  <c r="P146" i="18" s="1"/>
  <c r="P147" i="18" s="1"/>
  <c r="P164" i="18"/>
  <c r="AA152" i="18"/>
  <c r="R151" i="18"/>
  <c r="W155" i="18"/>
  <c r="V156" i="18"/>
  <c r="AE125" i="18"/>
  <c r="AE137" i="18"/>
  <c r="AE145" i="18"/>
  <c r="AE144" i="18" s="1"/>
  <c r="AE136" i="18"/>
  <c r="AE164" i="18"/>
  <c r="Z136" i="18"/>
  <c r="Z145" i="18"/>
  <c r="Z137" i="18"/>
  <c r="Z164" i="18"/>
  <c r="AF42" i="18"/>
  <c r="Y42" i="18"/>
  <c r="AA151" i="18"/>
  <c r="AA154" i="18" s="1"/>
  <c r="Y36" i="18"/>
  <c r="Y34" i="18"/>
  <c r="AA164" i="18"/>
  <c r="AA54" i="18"/>
  <c r="AA56" i="18" s="1"/>
  <c r="AE163" i="18"/>
  <c r="U136" i="18"/>
  <c r="AB152" i="18"/>
  <c r="AB151" i="18"/>
  <c r="O54" i="18"/>
  <c r="P56" i="18" s="1"/>
  <c r="O163" i="18"/>
  <c r="O63" i="18"/>
  <c r="O53" i="18"/>
  <c r="AG173" i="18"/>
  <c r="AG181" i="18"/>
  <c r="AG178" i="18"/>
  <c r="AG151" i="18"/>
  <c r="AG152" i="18"/>
  <c r="AG170" i="18"/>
  <c r="AG34" i="18"/>
  <c r="AG36" i="18"/>
  <c r="P152" i="18"/>
  <c r="AB148" i="18"/>
  <c r="AG153" i="18"/>
  <c r="T64" i="18"/>
  <c r="W146" i="18"/>
  <c r="W144" i="18"/>
  <c r="T34" i="18"/>
  <c r="T36" i="18"/>
  <c r="T53" i="18"/>
  <c r="AH145" i="18"/>
  <c r="AH137" i="18"/>
  <c r="Q144" i="18"/>
  <c r="Q146" i="18"/>
  <c r="V147" i="18" s="1"/>
  <c r="AG42" i="18"/>
  <c r="P100" i="18"/>
  <c r="AH42" i="18"/>
  <c r="AB53" i="18"/>
  <c r="AB54" i="18"/>
  <c r="AB63" i="18"/>
  <c r="AB66" i="18" s="1"/>
  <c r="AB64" i="18"/>
  <c r="AB65" i="18" s="1"/>
  <c r="AB163" i="18"/>
  <c r="AH133" i="18"/>
  <c r="AH132" i="18"/>
  <c r="AG155" i="18"/>
  <c r="T42" i="18"/>
  <c r="T62" i="18"/>
  <c r="T61" i="18"/>
  <c r="L55" i="18"/>
  <c r="L56" i="18"/>
  <c r="T151" i="18"/>
  <c r="T154" i="18" s="1"/>
  <c r="AD151" i="18"/>
  <c r="AD173" i="18"/>
  <c r="AD181" i="18"/>
  <c r="AD170" i="18"/>
  <c r="AD178" i="18"/>
  <c r="AG146" i="18"/>
  <c r="AG147" i="18" s="1"/>
  <c r="AG144" i="18"/>
  <c r="U156" i="18"/>
  <c r="U154" i="18"/>
  <c r="Z156" i="18"/>
  <c r="AB147" i="18"/>
  <c r="T156" i="18"/>
  <c r="O137" i="18"/>
  <c r="O138" i="18" s="1"/>
  <c r="O136" i="18"/>
  <c r="O145" i="18"/>
  <c r="O146" i="18" s="1"/>
  <c r="O147" i="18" s="1"/>
  <c r="O164" i="18"/>
  <c r="AD136" i="18"/>
  <c r="AD163" i="18"/>
  <c r="AD145" i="18"/>
  <c r="AD137" i="18"/>
  <c r="AD164" i="18"/>
  <c r="X23" i="18"/>
  <c r="AD152" i="18"/>
  <c r="Q148" i="18"/>
  <c r="AB61" i="18"/>
  <c r="O151" i="18"/>
  <c r="O156" i="18" s="1"/>
  <c r="T145" i="18"/>
  <c r="T164" i="18"/>
  <c r="Y151" i="18"/>
  <c r="Y152" i="18"/>
  <c r="Y136" i="18"/>
  <c r="Y137" i="18"/>
  <c r="Y145" i="18"/>
  <c r="AD125" i="18"/>
  <c r="AH173" i="18"/>
  <c r="AH181" i="18"/>
  <c r="AH178" i="18"/>
  <c r="AH170" i="18"/>
  <c r="V148" i="18"/>
  <c r="U152" i="18"/>
  <c r="U53" i="18"/>
  <c r="X52" i="18"/>
  <c r="U54" i="18"/>
  <c r="V56" i="18" s="1"/>
  <c r="U64" i="18"/>
  <c r="U63" i="18"/>
  <c r="U163" i="18"/>
  <c r="U164" i="18"/>
  <c r="AA34" i="18"/>
  <c r="AA36" i="18"/>
  <c r="AE34" i="18"/>
  <c r="AE36" i="18"/>
  <c r="AD34" i="18"/>
  <c r="AD36" i="18"/>
  <c r="S49" i="18"/>
  <c r="S50" i="18"/>
  <c r="J28" i="18"/>
  <c r="O28" i="18"/>
  <c r="N27" i="18"/>
  <c r="W34" i="18"/>
  <c r="W36" i="18"/>
  <c r="N96" i="18"/>
  <c r="R98" i="18"/>
  <c r="R100" i="18"/>
  <c r="AC52" i="18"/>
  <c r="AH53" i="18" s="1"/>
  <c r="Y54" i="18"/>
  <c r="Y53" i="18"/>
  <c r="Y63" i="18"/>
  <c r="Y164" i="18"/>
  <c r="Y163" i="18"/>
  <c r="AG53" i="18"/>
  <c r="AG54" i="18"/>
  <c r="AG64" i="18"/>
  <c r="AG63" i="18"/>
  <c r="AG163" i="18"/>
  <c r="AG164" i="18"/>
  <c r="M53" i="18"/>
  <c r="M64" i="18"/>
  <c r="M63" i="18"/>
  <c r="M54" i="18"/>
  <c r="Q53" i="18"/>
  <c r="Q54" i="18"/>
  <c r="V55" i="18" s="1"/>
  <c r="Q64" i="18"/>
  <c r="Q63" i="18"/>
  <c r="V66" i="18" s="1"/>
  <c r="Q164" i="18"/>
  <c r="Q163" i="18"/>
  <c r="Z34" i="18"/>
  <c r="Z36" i="18"/>
  <c r="N23" i="18"/>
  <c r="N31" i="18"/>
  <c r="S32" i="18" s="1"/>
  <c r="AF66" i="18"/>
  <c r="AF62" i="18"/>
  <c r="AC97" i="18"/>
  <c r="X96" i="18"/>
  <c r="AC99" i="18"/>
  <c r="X124" i="18"/>
  <c r="X128" i="18"/>
  <c r="X150" i="18"/>
  <c r="X160" i="18"/>
  <c r="X135" i="18"/>
  <c r="X159" i="18"/>
  <c r="AD98" i="18"/>
  <c r="AD100" i="18"/>
  <c r="J30" i="18"/>
  <c r="S52" i="18"/>
  <c r="V98" i="18"/>
  <c r="V100" i="18"/>
  <c r="S96" i="18"/>
  <c r="X99" i="18"/>
  <c r="S150" i="18"/>
  <c r="X97" i="18"/>
  <c r="S135" i="18"/>
  <c r="S160" i="18"/>
  <c r="S128" i="18"/>
  <c r="AC143" i="18"/>
  <c r="U147" i="18"/>
  <c r="AF138" i="18"/>
  <c r="AG139" i="18"/>
  <c r="AE154" i="18"/>
  <c r="AE156" i="18"/>
  <c r="U139" i="18"/>
  <c r="N30" i="18"/>
  <c r="S30" i="18"/>
  <c r="P55" i="18"/>
  <c r="O98" i="18"/>
  <c r="O100" i="18"/>
  <c r="AH63" i="18"/>
  <c r="AH54" i="18"/>
  <c r="AH164" i="18"/>
  <c r="AH163" i="18"/>
  <c r="V34" i="18"/>
  <c r="V36" i="18"/>
  <c r="R34" i="18"/>
  <c r="R36" i="18"/>
  <c r="AA66" i="18"/>
  <c r="AA62" i="18"/>
  <c r="AF65" i="18"/>
  <c r="AC135" i="18"/>
  <c r="AH97" i="18"/>
  <c r="AH99" i="18"/>
  <c r="AC124" i="18"/>
  <c r="AC96" i="18"/>
  <c r="AC150" i="18"/>
  <c r="AC160" i="18"/>
  <c r="AH96" i="18"/>
  <c r="AE98" i="18"/>
  <c r="AE100" i="18"/>
  <c r="V62" i="18"/>
  <c r="W98" i="18"/>
  <c r="W100" i="18"/>
  <c r="P138" i="18"/>
  <c r="U138" i="18"/>
  <c r="Q139" i="18"/>
  <c r="X143" i="18"/>
  <c r="W156" i="18"/>
  <c r="W154" i="18"/>
  <c r="S124" i="18"/>
  <c r="S125" i="18" s="1"/>
  <c r="AC61" i="18"/>
  <c r="AA98" i="18"/>
  <c r="AA100" i="18"/>
  <c r="N136" i="18"/>
  <c r="N145" i="18"/>
  <c r="N137" i="18"/>
  <c r="AD42" i="18"/>
  <c r="X49" i="18"/>
  <c r="S26" i="18"/>
  <c r="X32" i="18"/>
  <c r="S41" i="18"/>
  <c r="X42" i="18" s="1"/>
  <c r="S47" i="18"/>
  <c r="X33" i="18"/>
  <c r="X35" i="18"/>
  <c r="S45" i="18"/>
  <c r="S159" i="18"/>
  <c r="Z42" i="18"/>
  <c r="Z53" i="18"/>
  <c r="AF56" i="18"/>
  <c r="AH33" i="18"/>
  <c r="AH35" i="18"/>
  <c r="AC26" i="18"/>
  <c r="AC130" i="18"/>
  <c r="AC32" i="18"/>
  <c r="AC159" i="18"/>
  <c r="AC45" i="18"/>
  <c r="V53" i="18"/>
  <c r="Z98" i="18"/>
  <c r="Z100" i="18"/>
  <c r="AC100" i="18" s="1"/>
  <c r="X61" i="18"/>
  <c r="R136" i="18"/>
  <c r="W136" i="18"/>
  <c r="R145" i="18"/>
  <c r="R137" i="18"/>
  <c r="R164" i="18"/>
  <c r="R163" i="18"/>
  <c r="S130" i="18"/>
  <c r="AC133" i="18"/>
  <c r="L138" i="18"/>
  <c r="Q138" i="18"/>
  <c r="L139" i="18"/>
  <c r="V42" i="18"/>
  <c r="AB138" i="18"/>
  <c r="AB139" i="18"/>
  <c r="AG138" i="18"/>
  <c r="S143" i="18"/>
  <c r="AH23" i="18"/>
  <c r="Q147" i="18"/>
  <c r="BV65" i="7"/>
  <c r="BT95" i="18"/>
  <c r="BT93" i="18"/>
  <c r="BT90" i="18"/>
  <c r="BT87" i="18"/>
  <c r="BT84" i="18"/>
  <c r="BT86" i="18" s="1"/>
  <c r="BT81" i="18"/>
  <c r="BT78" i="18"/>
  <c r="BT80" i="18" s="1"/>
  <c r="BT14" i="18"/>
  <c r="BT22" i="18"/>
  <c r="BT21" i="18"/>
  <c r="BT19" i="18"/>
  <c r="BT17" i="18"/>
  <c r="BT133" i="18" l="1"/>
  <c r="BT132" i="18"/>
  <c r="AA55" i="18"/>
  <c r="AA156" i="18"/>
  <c r="X98" i="18"/>
  <c r="AG65" i="18"/>
  <c r="Z139" i="18"/>
  <c r="AE138" i="18"/>
  <c r="AF156" i="18"/>
  <c r="AF55" i="18"/>
  <c r="AC36" i="18"/>
  <c r="Z148" i="18"/>
  <c r="Z144" i="18"/>
  <c r="Z146" i="18"/>
  <c r="Z147" i="18" s="1"/>
  <c r="R154" i="18"/>
  <c r="R156" i="18"/>
  <c r="AF139" i="18"/>
  <c r="AE146" i="18"/>
  <c r="AE148" i="18"/>
  <c r="X36" i="18"/>
  <c r="Y138" i="18"/>
  <c r="AH98" i="18"/>
  <c r="U148" i="18"/>
  <c r="AA139" i="18"/>
  <c r="Z138" i="18"/>
  <c r="AF154" i="18"/>
  <c r="P144" i="18"/>
  <c r="X34" i="18"/>
  <c r="AD138" i="18"/>
  <c r="AE139" i="18"/>
  <c r="AB55" i="18"/>
  <c r="AB56" i="18"/>
  <c r="AD56" i="18"/>
  <c r="AH146" i="18"/>
  <c r="AH144" i="18"/>
  <c r="AG156" i="18"/>
  <c r="AG154" i="18"/>
  <c r="O154" i="18"/>
  <c r="S36" i="18"/>
  <c r="S100" i="18"/>
  <c r="T138" i="18"/>
  <c r="X100" i="18"/>
  <c r="Y146" i="18"/>
  <c r="Y148" i="18"/>
  <c r="Y144" i="18"/>
  <c r="Y154" i="18"/>
  <c r="Y156" i="18"/>
  <c r="AD148" i="18"/>
  <c r="AD146" i="18"/>
  <c r="AD144" i="18"/>
  <c r="O144" i="18"/>
  <c r="O62" i="18"/>
  <c r="O64" i="18"/>
  <c r="O65" i="18" s="1"/>
  <c r="AB154" i="18"/>
  <c r="AB156" i="18"/>
  <c r="T148" i="18"/>
  <c r="T144" i="18"/>
  <c r="T146" i="18"/>
  <c r="T147" i="18" s="1"/>
  <c r="AD156" i="18"/>
  <c r="AH156" i="18" s="1"/>
  <c r="AD154" i="18"/>
  <c r="AH154" i="18" s="1"/>
  <c r="O55" i="18"/>
  <c r="T55" i="18"/>
  <c r="AH100" i="18"/>
  <c r="AC98" i="18"/>
  <c r="P139" i="18"/>
  <c r="S34" i="18"/>
  <c r="S98" i="18"/>
  <c r="AH34" i="18"/>
  <c r="AB62" i="18"/>
  <c r="T66" i="18"/>
  <c r="AH64" i="18"/>
  <c r="AH62" i="18"/>
  <c r="N146" i="18"/>
  <c r="N147" i="18" s="1"/>
  <c r="N144" i="18"/>
  <c r="X151" i="18"/>
  <c r="AC153" i="18"/>
  <c r="AC155" i="18"/>
  <c r="AC34" i="18"/>
  <c r="Q65" i="18"/>
  <c r="V65" i="18"/>
  <c r="M62" i="18"/>
  <c r="R66" i="18"/>
  <c r="AG55" i="18"/>
  <c r="AG56" i="18"/>
  <c r="Y62" i="18"/>
  <c r="AD66" i="18"/>
  <c r="Y64" i="18"/>
  <c r="Y66" i="18"/>
  <c r="U55" i="18"/>
  <c r="Z55" i="18"/>
  <c r="U56" i="18"/>
  <c r="S137" i="18"/>
  <c r="S131" i="18"/>
  <c r="S136" i="18"/>
  <c r="S145" i="18"/>
  <c r="S144" i="18" s="1"/>
  <c r="S164" i="18"/>
  <c r="AC54" i="18"/>
  <c r="AH55" i="18" s="1"/>
  <c r="AC53" i="18"/>
  <c r="AC63" i="18"/>
  <c r="AC163" i="18"/>
  <c r="AC151" i="18"/>
  <c r="AH153" i="18"/>
  <c r="AH155" i="18"/>
  <c r="AH151" i="18"/>
  <c r="X153" i="18"/>
  <c r="X155" i="18"/>
  <c r="X156" i="18"/>
  <c r="X154" i="18"/>
  <c r="N32" i="18"/>
  <c r="N47" i="18"/>
  <c r="N26" i="18"/>
  <c r="N41" i="18"/>
  <c r="S42" i="18" s="1"/>
  <c r="N52" i="18"/>
  <c r="S53" i="18" s="1"/>
  <c r="N50" i="18"/>
  <c r="N60" i="18"/>
  <c r="N45" i="18"/>
  <c r="N159" i="18"/>
  <c r="N160" i="18"/>
  <c r="N150" i="18"/>
  <c r="S153" i="18" s="1"/>
  <c r="S33" i="18"/>
  <c r="S35" i="18"/>
  <c r="Q55" i="18"/>
  <c r="Q56" i="18"/>
  <c r="R56" i="18"/>
  <c r="M65" i="18"/>
  <c r="R65" i="18"/>
  <c r="N28" i="18"/>
  <c r="S28" i="18"/>
  <c r="X54" i="18"/>
  <c r="X53" i="18"/>
  <c r="X63" i="18"/>
  <c r="X163" i="18"/>
  <c r="R139" i="18"/>
  <c r="R138" i="18"/>
  <c r="W138" i="18"/>
  <c r="AH125" i="18"/>
  <c r="AC125" i="18"/>
  <c r="Q62" i="18"/>
  <c r="Q66" i="18"/>
  <c r="M55" i="18"/>
  <c r="O56" i="18"/>
  <c r="M56" i="18"/>
  <c r="R55" i="18"/>
  <c r="U65" i="18"/>
  <c r="Z65" i="18"/>
  <c r="R146" i="18"/>
  <c r="R148" i="18"/>
  <c r="W148" i="18"/>
  <c r="R144" i="18"/>
  <c r="N138" i="18"/>
  <c r="O139" i="18"/>
  <c r="AC145" i="18"/>
  <c r="AC137" i="18"/>
  <c r="AC164" i="18"/>
  <c r="AC136" i="18"/>
  <c r="AH136" i="18"/>
  <c r="S54" i="18"/>
  <c r="S63" i="18"/>
  <c r="S163" i="18"/>
  <c r="X137" i="18"/>
  <c r="X131" i="18"/>
  <c r="X136" i="18"/>
  <c r="X145" i="18"/>
  <c r="X144" i="18" s="1"/>
  <c r="X164" i="18"/>
  <c r="X125" i="18"/>
  <c r="AG62" i="18"/>
  <c r="AG66" i="18"/>
  <c r="Y55" i="18"/>
  <c r="Y56" i="18"/>
  <c r="Z56" i="18"/>
  <c r="AD55" i="18"/>
  <c r="AH36" i="18"/>
  <c r="U62" i="18"/>
  <c r="Z66" i="18"/>
  <c r="U66" i="18"/>
  <c r="BT88" i="18"/>
  <c r="BT82" i="18"/>
  <c r="AC154" i="18" l="1"/>
  <c r="AE147" i="18"/>
  <c r="AC156" i="18"/>
  <c r="Y147" i="18"/>
  <c r="AD147" i="18"/>
  <c r="T65" i="18"/>
  <c r="AC148" i="18"/>
  <c r="AH148" i="18"/>
  <c r="AC146" i="18"/>
  <c r="X133" i="18"/>
  <c r="X132" i="18"/>
  <c r="AC132" i="18"/>
  <c r="S64" i="18"/>
  <c r="S66" i="18"/>
  <c r="S62" i="18"/>
  <c r="X55" i="18"/>
  <c r="N53" i="18"/>
  <c r="N54" i="18"/>
  <c r="S55" i="18" s="1"/>
  <c r="N63" i="18"/>
  <c r="N64" i="18" s="1"/>
  <c r="N65" i="18" s="1"/>
  <c r="N163" i="18"/>
  <c r="N164" i="18"/>
  <c r="AC55" i="18"/>
  <c r="S132" i="18"/>
  <c r="S133" i="18"/>
  <c r="S151" i="18"/>
  <c r="S138" i="18"/>
  <c r="T139" i="18"/>
  <c r="AC144" i="18"/>
  <c r="X138" i="18"/>
  <c r="Y139" i="18"/>
  <c r="X146" i="18"/>
  <c r="X148" i="18"/>
  <c r="AC138" i="18"/>
  <c r="AH138" i="18"/>
  <c r="AD139" i="18"/>
  <c r="R147" i="18"/>
  <c r="W147" i="18"/>
  <c r="X64" i="18"/>
  <c r="X66" i="18"/>
  <c r="X62" i="18"/>
  <c r="N61" i="18"/>
  <c r="S61" i="18"/>
  <c r="AC64" i="18"/>
  <c r="AC66" i="18"/>
  <c r="AC62" i="18"/>
  <c r="S146" i="18"/>
  <c r="S147" i="18" s="1"/>
  <c r="S148" i="18"/>
  <c r="Y65" i="18"/>
  <c r="AD65" i="18"/>
  <c r="AH66" i="18"/>
  <c r="N62" i="18" l="1"/>
  <c r="AC65" i="18"/>
  <c r="S65" i="18"/>
  <c r="AC147" i="18"/>
  <c r="AH147" i="18"/>
  <c r="S154" i="18"/>
  <c r="S156" i="18"/>
  <c r="N56" i="18"/>
  <c r="N55" i="18"/>
  <c r="X147" i="18"/>
  <c r="AH65" i="18"/>
  <c r="X65" i="18"/>
  <c r="CF216" i="18"/>
  <c r="BZ216" i="18"/>
  <c r="BY216" i="18"/>
  <c r="BX216" i="18"/>
  <c r="BW216" i="18"/>
  <c r="BU216" i="18"/>
  <c r="BT216" i="18"/>
  <c r="CF206" i="18"/>
  <c r="CF207" i="18"/>
  <c r="CF208" i="18"/>
  <c r="CF209" i="18"/>
  <c r="CF210" i="18"/>
  <c r="BW212" i="18"/>
  <c r="BX212" i="18"/>
  <c r="BY212" i="18"/>
  <c r="BZ212" i="18"/>
  <c r="CB212" i="18"/>
  <c r="CC212" i="18"/>
  <c r="CD212" i="18"/>
  <c r="CE212" i="18"/>
  <c r="BT212" i="18"/>
  <c r="CA210" i="18"/>
  <c r="BV210" i="18"/>
  <c r="BS25" i="18" l="1"/>
  <c r="BS11" i="18" l="1"/>
  <c r="BA138" i="20"/>
  <c r="BA133" i="20"/>
  <c r="BA135" i="20"/>
  <c r="BB132" i="20" s="1"/>
  <c r="BA127" i="20"/>
  <c r="BA88" i="20"/>
  <c r="BB88" i="20" s="1"/>
  <c r="BA83" i="20"/>
  <c r="BB83" i="20" s="1"/>
  <c r="BA82" i="20"/>
  <c r="BB82" i="20" s="1"/>
  <c r="BA81" i="20"/>
  <c r="BB81" i="20" s="1"/>
  <c r="BA80" i="20"/>
  <c r="BB80" i="20" s="1"/>
  <c r="BA79" i="20"/>
  <c r="BB79" i="20" s="1"/>
  <c r="BA76" i="20"/>
  <c r="BB76" i="20" s="1"/>
  <c r="BA64" i="20"/>
  <c r="AZ66" i="20"/>
  <c r="BA66" i="20" s="1"/>
  <c r="CA206" i="18"/>
  <c r="CA207" i="18"/>
  <c r="CA208" i="18"/>
  <c r="CA209" i="18"/>
  <c r="BS212" i="18"/>
  <c r="BR212" i="18"/>
  <c r="BV209" i="18"/>
  <c r="BA65" i="20"/>
  <c r="BA60" i="20"/>
  <c r="BB60" i="20" s="1"/>
  <c r="BB112" i="20" s="1"/>
  <c r="AZ56" i="20"/>
  <c r="BA56" i="20" s="1"/>
  <c r="BA48" i="20"/>
  <c r="BA45" i="20"/>
  <c r="BA44" i="20"/>
  <c r="BA43" i="20"/>
  <c r="BA29" i="20"/>
  <c r="BY43" i="18"/>
  <c r="BX43" i="18"/>
  <c r="BW43" i="18"/>
  <c r="BU43" i="18"/>
  <c r="BZ43" i="18" s="1"/>
  <c r="BS10" i="18" l="1"/>
  <c r="BN84" i="7" l="1"/>
  <c r="BN83" i="7"/>
  <c r="BN82" i="7"/>
  <c r="BS131" i="18"/>
  <c r="BS127" i="18"/>
  <c r="BS123" i="18"/>
  <c r="BS107" i="18"/>
  <c r="BS110" i="18" s="1"/>
  <c r="BS95" i="18"/>
  <c r="BS81" i="18"/>
  <c r="BS87" i="18"/>
  <c r="BS84" i="18"/>
  <c r="BS86" i="18" s="1"/>
  <c r="BS93" i="18"/>
  <c r="BS90" i="18"/>
  <c r="BS78" i="18"/>
  <c r="BS48" i="18"/>
  <c r="BS50" i="18" s="1"/>
  <c r="BS44" i="18"/>
  <c r="BS40" i="18"/>
  <c r="BS31" i="18"/>
  <c r="BS52" i="18" s="1"/>
  <c r="BS63" i="18" s="1"/>
  <c r="BS30" i="18"/>
  <c r="BS28" i="18"/>
  <c r="BS14" i="18" s="1"/>
  <c r="BR22" i="18"/>
  <c r="BS22" i="18"/>
  <c r="BS19" i="18"/>
  <c r="BS21" i="18"/>
  <c r="BS17" i="18"/>
  <c r="BS82" i="18" l="1"/>
  <c r="BS143" i="18"/>
  <c r="BT101" i="18"/>
  <c r="BS47" i="18"/>
  <c r="BS26" i="18"/>
  <c r="BS88" i="18"/>
  <c r="BS41" i="18"/>
  <c r="BS60" i="18"/>
  <c r="BS12" i="18" s="1"/>
  <c r="BS128" i="18"/>
  <c r="BS150" i="18"/>
  <c r="BS130" i="18"/>
  <c r="BS133" i="18"/>
  <c r="BS45" i="18"/>
  <c r="BS54" i="18"/>
  <c r="BS80" i="18"/>
  <c r="BS135" i="18"/>
  <c r="BS137" i="18" s="1"/>
  <c r="BS124" i="18"/>
  <c r="BS178" i="18" l="1"/>
  <c r="BS173" i="18"/>
  <c r="BS170" i="18"/>
  <c r="BS181" i="18"/>
  <c r="BS62" i="18"/>
  <c r="BS64" i="18"/>
  <c r="BS145" i="18"/>
  <c r="BS144" i="18" s="1"/>
  <c r="BM134" i="20" l="1"/>
  <c r="BL134" i="20"/>
  <c r="BK134" i="20"/>
  <c r="BJ134" i="20"/>
  <c r="BM133" i="20"/>
  <c r="BL133" i="20"/>
  <c r="BK133" i="20"/>
  <c r="BJ133" i="20"/>
  <c r="BN88" i="20"/>
  <c r="BN85" i="20"/>
  <c r="BN84" i="20"/>
  <c r="BN83" i="20"/>
  <c r="BN81" i="20"/>
  <c r="BN80" i="20"/>
  <c r="BN79" i="20"/>
  <c r="BN78" i="20"/>
  <c r="BN77" i="20"/>
  <c r="BN76" i="20"/>
  <c r="BN75" i="20"/>
  <c r="BN66" i="20"/>
  <c r="BN65" i="20"/>
  <c r="BN64" i="20"/>
  <c r="BN56" i="20"/>
  <c r="BN48" i="20"/>
  <c r="BN47" i="20"/>
  <c r="BN46" i="20"/>
  <c r="BM27" i="20"/>
  <c r="BN27" i="20" s="1"/>
  <c r="BK27" i="20"/>
  <c r="CA84" i="7"/>
  <c r="CA81" i="7"/>
  <c r="CA71" i="7"/>
  <c r="CA55" i="7"/>
  <c r="BZ40" i="7"/>
  <c r="BZ70" i="7" s="1"/>
  <c r="BY40" i="7"/>
  <c r="BY70" i="7" s="1"/>
  <c r="BX40" i="7"/>
  <c r="BX70" i="7" s="1"/>
  <c r="BW40" i="7"/>
  <c r="BW70" i="7" s="1"/>
  <c r="BW12" i="7"/>
  <c r="CF220" i="18"/>
  <c r="CF218" i="18"/>
  <c r="CF217" i="18"/>
  <c r="CF205" i="18"/>
  <c r="CF204" i="18"/>
  <c r="CF203" i="18"/>
  <c r="CF202" i="18"/>
  <c r="CF201" i="18"/>
  <c r="CF200" i="18"/>
  <c r="CF199" i="18"/>
  <c r="CF198" i="18"/>
  <c r="CF197" i="18"/>
  <c r="CF196" i="18"/>
  <c r="CF195" i="18"/>
  <c r="CF194" i="18"/>
  <c r="CF193" i="18"/>
  <c r="CF129" i="18"/>
  <c r="CF46" i="18"/>
  <c r="CF212" i="18" l="1"/>
  <c r="CD223" i="18"/>
  <c r="CF219" i="18"/>
  <c r="BQ65" i="7"/>
  <c r="BX83" i="7"/>
  <c r="CA70" i="7"/>
  <c r="BW83" i="7"/>
  <c r="BY83" i="7"/>
  <c r="BZ83" i="7"/>
  <c r="CA40" i="7"/>
  <c r="CE223" i="18"/>
  <c r="CF221" i="18"/>
  <c r="CC223" i="18"/>
  <c r="CB223" i="18"/>
  <c r="CF222" i="18" l="1"/>
  <c r="CF223" i="18" s="1"/>
  <c r="CA83" i="7"/>
  <c r="BX65" i="7" l="1"/>
  <c r="BY65" i="7" s="1"/>
  <c r="BZ65" i="7" s="1"/>
  <c r="BU27" i="18"/>
  <c r="CA65" i="7" l="1"/>
  <c r="BR180" i="18" l="1"/>
  <c r="BR177" i="18"/>
  <c r="BR93" i="18" l="1"/>
  <c r="BQ118" i="18"/>
  <c r="BE60" i="20" l="1"/>
  <c r="BJ60" i="20" s="1"/>
  <c r="AZ138" i="20"/>
  <c r="AZ135" i="20"/>
  <c r="BA132" i="20" s="1"/>
  <c r="AZ133" i="20"/>
  <c r="BA111" i="20"/>
  <c r="AZ113" i="20"/>
  <c r="AZ112" i="20"/>
  <c r="AZ127" i="20"/>
  <c r="BY128" i="18"/>
  <c r="CD128" i="18" s="1"/>
  <c r="BU59" i="18"/>
  <c r="BR95" i="18"/>
  <c r="BA134" i="20" l="1"/>
  <c r="BA136" i="20"/>
  <c r="BA137" i="20" s="1"/>
  <c r="BW95" i="7"/>
  <c r="BJ112" i="20"/>
  <c r="BE112" i="20"/>
  <c r="CB43" i="18" l="1"/>
  <c r="BV43" i="18"/>
  <c r="BR221" i="18"/>
  <c r="BR91" i="18" s="1"/>
  <c r="BR216" i="18"/>
  <c r="BS216" i="18"/>
  <c r="BV207" i="18"/>
  <c r="BV208" i="18"/>
  <c r="BR11" i="18"/>
  <c r="BR10" i="18"/>
  <c r="BV216" i="18" l="1"/>
  <c r="BR222" i="18"/>
  <c r="CB44" i="18"/>
  <c r="CC43" i="18"/>
  <c r="AZ63" i="20"/>
  <c r="BA63" i="20" s="1"/>
  <c r="AZ47" i="20"/>
  <c r="BR129" i="18"/>
  <c r="BV129" i="18" s="1"/>
  <c r="BR172" i="18"/>
  <c r="BR169" i="18"/>
  <c r="BA47" i="20" l="1"/>
  <c r="BA57" i="20" s="1"/>
  <c r="AZ57" i="20"/>
  <c r="CD43" i="18"/>
  <c r="CC44" i="18"/>
  <c r="BR131" i="18"/>
  <c r="BR127" i="18"/>
  <c r="BR123" i="18"/>
  <c r="BR107" i="18"/>
  <c r="BR110" i="18" s="1"/>
  <c r="BR87" i="18"/>
  <c r="BR81" i="18"/>
  <c r="BR90" i="18"/>
  <c r="BR84" i="18"/>
  <c r="BR78" i="18"/>
  <c r="BR30" i="18"/>
  <c r="BR28" i="18"/>
  <c r="BR14" i="18" s="1"/>
  <c r="BR25" i="18"/>
  <c r="BR21" i="18"/>
  <c r="BR19" i="18"/>
  <c r="BR17" i="18"/>
  <c r="CD44" i="18" l="1"/>
  <c r="CE43" i="18"/>
  <c r="CE44" i="18" s="1"/>
  <c r="CF43" i="18"/>
  <c r="BR94" i="18"/>
  <c r="BR88" i="18"/>
  <c r="BR80" i="18"/>
  <c r="BR82" i="18"/>
  <c r="BR86" i="18"/>
  <c r="BR92" i="18"/>
  <c r="AY63" i="20" l="1"/>
  <c r="AY56" i="20"/>
  <c r="AY47" i="20"/>
  <c r="AX127" i="20"/>
  <c r="BU85" i="18" l="1"/>
  <c r="BQ180" i="18" l="1"/>
  <c r="BP179" i="18"/>
  <c r="BQ177" i="18"/>
  <c r="BP176" i="18"/>
  <c r="Y12" i="7" l="1"/>
  <c r="Z12" i="7"/>
  <c r="AA12" i="7"/>
  <c r="AB12" i="7"/>
  <c r="AD12" i="7"/>
  <c r="AE12" i="7"/>
  <c r="AF12" i="7"/>
  <c r="AG12" i="7"/>
  <c r="AI12" i="7"/>
  <c r="AJ12" i="7"/>
  <c r="AK12" i="7"/>
  <c r="AL12" i="7"/>
  <c r="AN12" i="7"/>
  <c r="AO12" i="7"/>
  <c r="AP12" i="7"/>
  <c r="AQ12" i="7"/>
  <c r="AS12" i="7"/>
  <c r="AT12" i="7"/>
  <c r="AU12" i="7"/>
  <c r="AV12" i="7"/>
  <c r="AX12" i="7"/>
  <c r="AY12" i="7"/>
  <c r="AZ12" i="7"/>
  <c r="BA12" i="7"/>
  <c r="BC12" i="7"/>
  <c r="BH12" i="7"/>
  <c r="BQ200" i="18"/>
  <c r="AX138" i="20" l="1"/>
  <c r="AX135" i="20"/>
  <c r="AZ132" i="20" l="1"/>
  <c r="BC13" i="20"/>
  <c r="CA53" i="7" l="1"/>
  <c r="AZ134" i="20"/>
  <c r="AZ136" i="20"/>
  <c r="AZ137" i="20" s="1"/>
  <c r="BP25" i="18"/>
  <c r="BT221" i="18"/>
  <c r="BT91" i="18" s="1"/>
  <c r="BU91" i="18"/>
  <c r="BS221" i="18"/>
  <c r="BS91" i="18" s="1"/>
  <c r="BP85" i="18"/>
  <c r="BV206" i="18"/>
  <c r="BP221" i="18"/>
  <c r="BP91" i="18" s="1"/>
  <c r="BQ208" i="18"/>
  <c r="BQ207" i="18"/>
  <c r="BO180" i="18"/>
  <c r="BO177" i="18"/>
  <c r="BQ171" i="18"/>
  <c r="BQ168" i="18"/>
  <c r="BP212" i="18"/>
  <c r="BO212" i="18"/>
  <c r="BN212" i="18"/>
  <c r="BM212" i="18"/>
  <c r="BK212" i="18"/>
  <c r="BJ212" i="18"/>
  <c r="BI212" i="18"/>
  <c r="BH212" i="18"/>
  <c r="BT92" i="18" l="1"/>
  <c r="BT94" i="18"/>
  <c r="BS92" i="18"/>
  <c r="BS94" i="18"/>
  <c r="BQ9" i="18"/>
  <c r="BP11" i="18"/>
  <c r="BP10" i="18"/>
  <c r="BP129" i="18" l="1"/>
  <c r="BK40" i="7" s="1"/>
  <c r="BK37" i="7"/>
  <c r="BK33" i="7"/>
  <c r="BP127" i="18"/>
  <c r="BP48" i="18"/>
  <c r="BP40" i="18"/>
  <c r="BQ120" i="18"/>
  <c r="BQ119" i="18"/>
  <c r="BQ117" i="18"/>
  <c r="BQ116" i="18"/>
  <c r="BQ115" i="18"/>
  <c r="BQ114" i="18"/>
  <c r="BP107" i="18"/>
  <c r="BQ109" i="18"/>
  <c r="BQ108" i="18"/>
  <c r="BQ106" i="18"/>
  <c r="BQ105" i="18"/>
  <c r="BQ104" i="18"/>
  <c r="BP90" i="18"/>
  <c r="BP84" i="18"/>
  <c r="BP86" i="18" s="1"/>
  <c r="BP78" i="18"/>
  <c r="BP28" i="18"/>
  <c r="BP14" i="18" s="1"/>
  <c r="BP22" i="18"/>
  <c r="BP21" i="18"/>
  <c r="BP19" i="18"/>
  <c r="BP17" i="18"/>
  <c r="BQ24" i="18"/>
  <c r="BQ20" i="18"/>
  <c r="BQ18" i="18"/>
  <c r="BQ16" i="18"/>
  <c r="BQ107" i="18" l="1"/>
  <c r="BP110" i="18"/>
  <c r="AX125" i="20"/>
  <c r="BC125" i="20" s="1"/>
  <c r="BH125" i="20" s="1"/>
  <c r="BP88" i="18"/>
  <c r="BP131" i="18"/>
  <c r="BQ110" i="18" l="1"/>
  <c r="BZ59" i="18" l="1"/>
  <c r="CE59" i="18" s="1"/>
  <c r="BY59" i="18"/>
  <c r="CD59" i="18" s="1"/>
  <c r="BX59" i="18"/>
  <c r="CC59" i="18" s="1"/>
  <c r="BW59" i="18"/>
  <c r="CB59" i="18" s="1"/>
  <c r="CF59" i="18" l="1"/>
  <c r="BO22" i="18"/>
  <c r="BT23" i="18" l="1"/>
  <c r="BQ206" i="18" l="1"/>
  <c r="BB203" i="18" l="1"/>
  <c r="BG203" i="18"/>
  <c r="BC111" i="18"/>
  <c r="BD111" i="18"/>
  <c r="AW138" i="20"/>
  <c r="AW135" i="20"/>
  <c r="AX132" i="20" s="1"/>
  <c r="AW127" i="20"/>
  <c r="AW85" i="20"/>
  <c r="AW83" i="20"/>
  <c r="AX83" i="20" s="1"/>
  <c r="AW75" i="20"/>
  <c r="AW133" i="20" s="1"/>
  <c r="AW46" i="20"/>
  <c r="AX46" i="20" s="1"/>
  <c r="AW29" i="20"/>
  <c r="AW36" i="20" s="1"/>
  <c r="BO120" i="18"/>
  <c r="BO25" i="18"/>
  <c r="AX134" i="20" l="1"/>
  <c r="AX136" i="20"/>
  <c r="AX137" i="20" s="1"/>
  <c r="AX75" i="20"/>
  <c r="AX85" i="20"/>
  <c r="BN180" i="18"/>
  <c r="BN177" i="18"/>
  <c r="AX133" i="20" l="1"/>
  <c r="BJ84" i="7"/>
  <c r="BJ33" i="7"/>
  <c r="BJ37" i="7"/>
  <c r="BJ42" i="7"/>
  <c r="BO172" i="18"/>
  <c r="BO169" i="18"/>
  <c r="BO129" i="18"/>
  <c r="BJ40" i="7" s="1"/>
  <c r="BJ70" i="7" s="1"/>
  <c r="BO127" i="18"/>
  <c r="BO123" i="18"/>
  <c r="BO107" i="18"/>
  <c r="BO110" i="18" s="1"/>
  <c r="BO95" i="18"/>
  <c r="BO93" i="18"/>
  <c r="BO90" i="18"/>
  <c r="BO92" i="18" s="1"/>
  <c r="BO87" i="18"/>
  <c r="BO81" i="18"/>
  <c r="BO84" i="18"/>
  <c r="BO78" i="18"/>
  <c r="BO48" i="18"/>
  <c r="BO44" i="18"/>
  <c r="BO40" i="18"/>
  <c r="BO31" i="18"/>
  <c r="BO30" i="18"/>
  <c r="BO28" i="18"/>
  <c r="BO19" i="18"/>
  <c r="BO21" i="18"/>
  <c r="BO17" i="18"/>
  <c r="BO11" i="18"/>
  <c r="BO10" i="18"/>
  <c r="BO14" i="18" l="1"/>
  <c r="BO143" i="18"/>
  <c r="BT99" i="18"/>
  <c r="BT248" i="18" s="1"/>
  <c r="BT96" i="18"/>
  <c r="BT97" i="18"/>
  <c r="BJ17" i="7"/>
  <c r="BJ69" i="7"/>
  <c r="BO128" i="18"/>
  <c r="BO26" i="18"/>
  <c r="BO135" i="18"/>
  <c r="BO45" i="18"/>
  <c r="BO50" i="18"/>
  <c r="BO160" i="18"/>
  <c r="BO150" i="18"/>
  <c r="BO159" i="18"/>
  <c r="BO124" i="18"/>
  <c r="AW125" i="20"/>
  <c r="BJ9" i="7"/>
  <c r="BO47" i="18"/>
  <c r="BO60" i="18"/>
  <c r="BO41" i="18"/>
  <c r="BO52" i="18"/>
  <c r="BO88" i="18"/>
  <c r="BO94" i="18"/>
  <c r="BJ43" i="7"/>
  <c r="BO137" i="18"/>
  <c r="BO86" i="18"/>
  <c r="BO145" i="18" l="1"/>
  <c r="BO146" i="18" s="1"/>
  <c r="BT100" i="18"/>
  <c r="BT98" i="18"/>
  <c r="BJ25" i="7"/>
  <c r="BJ35" i="7" s="1"/>
  <c r="BO173" i="18"/>
  <c r="BO181" i="18"/>
  <c r="BO178" i="18"/>
  <c r="BO164" i="18"/>
  <c r="AW126" i="20"/>
  <c r="BO170" i="18"/>
  <c r="BO54" i="18"/>
  <c r="BO163" i="18"/>
  <c r="BO63" i="18"/>
  <c r="BO62" i="18" s="1"/>
  <c r="BJ45" i="7" l="1"/>
  <c r="BJ47" i="7"/>
  <c r="BJ68" i="7" s="1"/>
  <c r="BJ72" i="7" s="1"/>
  <c r="BJ39" i="7"/>
  <c r="BO144" i="18"/>
  <c r="BJ41" i="7"/>
  <c r="AW123" i="20"/>
  <c r="AW124" i="20" s="1"/>
  <c r="AW128" i="20"/>
  <c r="BO64" i="18"/>
  <c r="BJ49" i="7" l="1"/>
  <c r="BJ56" i="7"/>
  <c r="BJ59" i="7" s="1"/>
  <c r="BJ74" i="7"/>
  <c r="BJ62" i="7" l="1"/>
  <c r="BJ63" i="7" s="1"/>
  <c r="BJ80" i="7"/>
  <c r="AV55" i="20"/>
  <c r="AW55" i="20" s="1"/>
  <c r="AX55" i="20" s="1"/>
  <c r="AV54" i="20"/>
  <c r="AW54" i="20" s="1"/>
  <c r="AX54" i="20" s="1"/>
  <c r="AV53" i="20"/>
  <c r="AW53" i="20" s="1"/>
  <c r="AX53" i="20" s="1"/>
  <c r="AV52" i="20"/>
  <c r="AW52" i="20" s="1"/>
  <c r="AX52" i="20" s="1"/>
  <c r="AV51" i="20"/>
  <c r="AW51" i="20" s="1"/>
  <c r="AX51" i="20" s="1"/>
  <c r="AV50" i="20"/>
  <c r="AV43" i="20"/>
  <c r="AW43" i="20" l="1"/>
  <c r="AW50" i="20"/>
  <c r="AI97" i="7"/>
  <c r="AH97" i="7"/>
  <c r="AG97" i="7"/>
  <c r="AF97" i="7"/>
  <c r="AE97" i="7"/>
  <c r="AD97" i="7"/>
  <c r="AD99" i="7" s="1"/>
  <c r="AC97" i="7"/>
  <c r="AB97" i="7"/>
  <c r="AA97" i="7"/>
  <c r="Z97" i="7"/>
  <c r="Z98" i="7" s="1"/>
  <c r="Y97" i="7"/>
  <c r="Y98" i="7" s="1"/>
  <c r="BR95" i="7"/>
  <c r="BM95" i="7"/>
  <c r="BH95" i="7"/>
  <c r="BG95" i="7"/>
  <c r="BC95" i="7"/>
  <c r="BA95" i="7"/>
  <c r="AZ95" i="7"/>
  <c r="AY95" i="7"/>
  <c r="AX95" i="7"/>
  <c r="AW95" i="7"/>
  <c r="AV95" i="7"/>
  <c r="AU95" i="7"/>
  <c r="AT95" i="7"/>
  <c r="AS95" i="7"/>
  <c r="AR95" i="7"/>
  <c r="AQ95" i="7"/>
  <c r="AP95" i="7"/>
  <c r="AO95" i="7"/>
  <c r="AN95" i="7"/>
  <c r="AL95" i="7"/>
  <c r="AK95" i="7"/>
  <c r="AJ95" i="7"/>
  <c r="AI94" i="7"/>
  <c r="AH94" i="7"/>
  <c r="AC94" i="7"/>
  <c r="AB94" i="7"/>
  <c r="AA94" i="7"/>
  <c r="Z94" i="7"/>
  <c r="Y94" i="7"/>
  <c r="AX43" i="20" l="1"/>
  <c r="AX50" i="20"/>
  <c r="AC99" i="7"/>
  <c r="AH98" i="7"/>
  <c r="AD98" i="7"/>
  <c r="AE98" i="7"/>
  <c r="AF98" i="7"/>
  <c r="AE99" i="7"/>
  <c r="AB99" i="7"/>
  <c r="AB98" i="7"/>
  <c r="AI99" i="7"/>
  <c r="AI98" i="7"/>
  <c r="AA99" i="7"/>
  <c r="AA98" i="7"/>
  <c r="AG98" i="7"/>
  <c r="AF99" i="7"/>
  <c r="Y99" i="7"/>
  <c r="AG99" i="7"/>
  <c r="AC98" i="7"/>
  <c r="Z99" i="7"/>
  <c r="AH99" i="7"/>
  <c r="BV84" i="7"/>
  <c r="BQ84" i="7"/>
  <c r="BL84" i="7"/>
  <c r="BG84" i="7"/>
  <c r="BB84" i="7"/>
  <c r="AW84" i="7"/>
  <c r="AR84" i="7"/>
  <c r="AL84" i="7"/>
  <c r="AK84" i="7"/>
  <c r="AJ84" i="7"/>
  <c r="AF84" i="7"/>
  <c r="AH84" i="7" s="1"/>
  <c r="AB84" i="7"/>
  <c r="AC84" i="7" s="1"/>
  <c r="BG83" i="7"/>
  <c r="BB83" i="7"/>
  <c r="AW83" i="7"/>
  <c r="AR83" i="7"/>
  <c r="AM83" i="7"/>
  <c r="AH83" i="7"/>
  <c r="AC83" i="7"/>
  <c r="BP82" i="7"/>
  <c r="BU82" i="7" s="1"/>
  <c r="BZ82" i="7" s="1"/>
  <c r="BT82" i="7"/>
  <c r="BY82" i="7" s="1"/>
  <c r="BR82" i="7"/>
  <c r="BW82" i="7" s="1"/>
  <c r="BL82" i="7"/>
  <c r="BG82" i="7"/>
  <c r="BB82" i="7"/>
  <c r="AZ82" i="7"/>
  <c r="AS82" i="7"/>
  <c r="AW82" i="7" s="1"/>
  <c r="AN82" i="7"/>
  <c r="AR82" i="7" s="1"/>
  <c r="AM82" i="7"/>
  <c r="AH82" i="7"/>
  <c r="AC82" i="7"/>
  <c r="BV81" i="7"/>
  <c r="BQ81" i="7"/>
  <c r="BL81" i="7"/>
  <c r="BG81" i="7"/>
  <c r="BB81" i="7"/>
  <c r="AW81" i="7"/>
  <c r="AR81" i="7"/>
  <c r="AM81" i="7"/>
  <c r="AF81" i="7"/>
  <c r="AH81" i="7" s="1"/>
  <c r="AC81" i="7"/>
  <c r="BV71" i="7"/>
  <c r="BQ71" i="7"/>
  <c r="BL71" i="7"/>
  <c r="BG71" i="7"/>
  <c r="BB71" i="7"/>
  <c r="AW71" i="7"/>
  <c r="AR71" i="7"/>
  <c r="AM71" i="7"/>
  <c r="AH71" i="7"/>
  <c r="AC71" i="7"/>
  <c r="X71" i="7"/>
  <c r="S71" i="7"/>
  <c r="N71" i="7"/>
  <c r="B70" i="7"/>
  <c r="B69" i="7"/>
  <c r="B68" i="7"/>
  <c r="BB65" i="7"/>
  <c r="AR65" i="7"/>
  <c r="AM65" i="7"/>
  <c r="BG60" i="7"/>
  <c r="BB60" i="7"/>
  <c r="AW60" i="7"/>
  <c r="AR60" i="7"/>
  <c r="AM60" i="7"/>
  <c r="AH60" i="7"/>
  <c r="AC60" i="7"/>
  <c r="BG58" i="7"/>
  <c r="BB58" i="7"/>
  <c r="AW58" i="7"/>
  <c r="AR58" i="7"/>
  <c r="AM58" i="7"/>
  <c r="AH58" i="7"/>
  <c r="AC58" i="7"/>
  <c r="X58" i="7"/>
  <c r="BV55" i="7"/>
  <c r="BL55" i="7"/>
  <c r="BG55" i="7"/>
  <c r="BB55" i="7"/>
  <c r="AW55" i="7"/>
  <c r="AR55" i="7"/>
  <c r="AM55" i="7"/>
  <c r="AH55" i="7"/>
  <c r="AC55" i="7"/>
  <c r="BG54" i="7"/>
  <c r="BB54" i="7"/>
  <c r="AW54" i="7"/>
  <c r="AR54" i="7"/>
  <c r="AM54" i="7"/>
  <c r="AH54" i="7"/>
  <c r="AC54" i="7"/>
  <c r="BL53" i="7"/>
  <c r="BG53" i="7"/>
  <c r="BB53" i="7"/>
  <c r="AW53" i="7"/>
  <c r="AR53" i="7"/>
  <c r="AM53" i="7"/>
  <c r="AH53" i="7"/>
  <c r="AC53" i="7"/>
  <c r="BI42" i="7"/>
  <c r="BH42" i="7"/>
  <c r="BF42" i="7"/>
  <c r="BE42" i="7"/>
  <c r="BD42" i="7"/>
  <c r="BC42" i="7"/>
  <c r="BA42" i="7"/>
  <c r="AZ42" i="7"/>
  <c r="AY42" i="7"/>
  <c r="AX42" i="7"/>
  <c r="AV42" i="7"/>
  <c r="AU42" i="7"/>
  <c r="AT42" i="7"/>
  <c r="AS42" i="7"/>
  <c r="AQ42" i="7"/>
  <c r="AP42" i="7"/>
  <c r="AO42" i="7"/>
  <c r="AN42" i="7"/>
  <c r="AL42" i="7"/>
  <c r="AK42" i="7"/>
  <c r="AJ42" i="7"/>
  <c r="AI42" i="7"/>
  <c r="AG42" i="7"/>
  <c r="AF42" i="7"/>
  <c r="AE42" i="7"/>
  <c r="AD42" i="7"/>
  <c r="AB42" i="7"/>
  <c r="AA42" i="7"/>
  <c r="Z42" i="7"/>
  <c r="Y42" i="7"/>
  <c r="W42" i="7"/>
  <c r="V42" i="7"/>
  <c r="U42" i="7"/>
  <c r="T42" i="7"/>
  <c r="R42" i="7"/>
  <c r="Q42" i="7"/>
  <c r="P42" i="7"/>
  <c r="O42" i="7"/>
  <c r="M42" i="7"/>
  <c r="L42" i="7"/>
  <c r="K42" i="7"/>
  <c r="J42" i="7"/>
  <c r="I42" i="7"/>
  <c r="H42" i="7"/>
  <c r="G42" i="7"/>
  <c r="BU40" i="7"/>
  <c r="BT40" i="7"/>
  <c r="BS40" i="7"/>
  <c r="BR40" i="7"/>
  <c r="BP40" i="7"/>
  <c r="BP83" i="7" s="1"/>
  <c r="BO40" i="7"/>
  <c r="BN40" i="7"/>
  <c r="BM40" i="7"/>
  <c r="BH40" i="7"/>
  <c r="BF40" i="7"/>
  <c r="BF70" i="7" s="1"/>
  <c r="BE40" i="7"/>
  <c r="BE70" i="7" s="1"/>
  <c r="BD40" i="7"/>
  <c r="BD70" i="7" s="1"/>
  <c r="BC40" i="7"/>
  <c r="BA40" i="7"/>
  <c r="AZ40" i="7"/>
  <c r="AY40" i="7"/>
  <c r="AY70" i="7" s="1"/>
  <c r="AX40" i="7"/>
  <c r="AX70" i="7" s="1"/>
  <c r="AV40" i="7"/>
  <c r="AV70" i="7" s="1"/>
  <c r="AU40" i="7"/>
  <c r="AT40" i="7"/>
  <c r="AT70" i="7" s="1"/>
  <c r="AS40" i="7"/>
  <c r="AQ40" i="7"/>
  <c r="AQ70" i="7" s="1"/>
  <c r="AP40" i="7"/>
  <c r="AP70" i="7" s="1"/>
  <c r="AO40" i="7"/>
  <c r="AO70" i="7" s="1"/>
  <c r="AN40" i="7"/>
  <c r="AN70" i="7" s="1"/>
  <c r="AL40" i="7"/>
  <c r="AL70" i="7" s="1"/>
  <c r="AF40" i="7"/>
  <c r="AF70" i="7" s="1"/>
  <c r="AE40" i="7"/>
  <c r="AD40" i="7"/>
  <c r="AB40" i="7"/>
  <c r="AA40" i="7"/>
  <c r="AA70" i="7" s="1"/>
  <c r="Z40" i="7"/>
  <c r="Z70" i="7" s="1"/>
  <c r="Y40" i="7"/>
  <c r="Y70" i="7" s="1"/>
  <c r="W40" i="7"/>
  <c r="V40" i="7"/>
  <c r="V70" i="7" s="1"/>
  <c r="U40" i="7"/>
  <c r="T40" i="7"/>
  <c r="R40" i="7"/>
  <c r="R70" i="7" s="1"/>
  <c r="Q40" i="7"/>
  <c r="Q70" i="7" s="1"/>
  <c r="P40" i="7"/>
  <c r="P70" i="7" s="1"/>
  <c r="O40" i="7"/>
  <c r="M40" i="7"/>
  <c r="L40" i="7"/>
  <c r="K40" i="7"/>
  <c r="K70" i="7" s="1"/>
  <c r="J40" i="7"/>
  <c r="J70" i="7" s="1"/>
  <c r="I40" i="7"/>
  <c r="I70" i="7" s="1"/>
  <c r="H40" i="7"/>
  <c r="H70" i="7" s="1"/>
  <c r="G40" i="7"/>
  <c r="BI37" i="7"/>
  <c r="BH37" i="7"/>
  <c r="BF37" i="7"/>
  <c r="BE37" i="7"/>
  <c r="BD37" i="7"/>
  <c r="BC37" i="7"/>
  <c r="BA37" i="7"/>
  <c r="AZ37" i="7"/>
  <c r="AY37" i="7"/>
  <c r="AX37" i="7"/>
  <c r="AV37" i="7"/>
  <c r="AU37" i="7"/>
  <c r="AT37" i="7"/>
  <c r="AS37" i="7"/>
  <c r="AQ37" i="7"/>
  <c r="AP37" i="7"/>
  <c r="AO37" i="7"/>
  <c r="AN37" i="7"/>
  <c r="AL37" i="7"/>
  <c r="AK37" i="7"/>
  <c r="AJ37" i="7"/>
  <c r="AI37" i="7"/>
  <c r="AG37" i="7"/>
  <c r="AF37" i="7"/>
  <c r="AE37" i="7"/>
  <c r="AD37" i="7"/>
  <c r="AB37" i="7"/>
  <c r="AA37" i="7"/>
  <c r="Z37" i="7"/>
  <c r="Y37" i="7"/>
  <c r="W37" i="7"/>
  <c r="V37" i="7"/>
  <c r="U37" i="7"/>
  <c r="T37" i="7"/>
  <c r="T69" i="7" s="1"/>
  <c r="R37" i="7"/>
  <c r="R69" i="7" s="1"/>
  <c r="Q37" i="7"/>
  <c r="Q69" i="7" s="1"/>
  <c r="P37" i="7"/>
  <c r="P69" i="7" s="1"/>
  <c r="O37" i="7"/>
  <c r="M37" i="7"/>
  <c r="L37" i="7"/>
  <c r="L69" i="7" s="1"/>
  <c r="K37" i="7"/>
  <c r="J37" i="7"/>
  <c r="J69" i="7" s="1"/>
  <c r="I37" i="7"/>
  <c r="I69" i="7" s="1"/>
  <c r="H37" i="7"/>
  <c r="H69" i="7" s="1"/>
  <c r="G37" i="7"/>
  <c r="G38" i="7" s="1"/>
  <c r="BM36" i="7"/>
  <c r="BH36" i="7"/>
  <c r="BC36" i="7"/>
  <c r="BA36" i="7"/>
  <c r="AZ36" i="7"/>
  <c r="AY36" i="7"/>
  <c r="AX36" i="7"/>
  <c r="AV36" i="7"/>
  <c r="AU36" i="7"/>
  <c r="AT36" i="7"/>
  <c r="AS36" i="7"/>
  <c r="AQ36" i="7"/>
  <c r="AP36" i="7"/>
  <c r="AO36" i="7"/>
  <c r="AN36" i="7"/>
  <c r="AM36" i="7"/>
  <c r="BI33" i="7"/>
  <c r="BH33" i="7"/>
  <c r="BF33" i="7"/>
  <c r="BE33" i="7"/>
  <c r="BD33" i="7"/>
  <c r="BC33" i="7"/>
  <c r="BA33" i="7"/>
  <c r="AZ33" i="7"/>
  <c r="AY33" i="7"/>
  <c r="AX33" i="7"/>
  <c r="AV33" i="7"/>
  <c r="AJ33" i="7"/>
  <c r="AI33" i="7"/>
  <c r="AG33" i="7"/>
  <c r="AE33" i="7"/>
  <c r="AD33" i="7"/>
  <c r="AB33" i="7"/>
  <c r="AA33" i="7"/>
  <c r="Z33" i="7"/>
  <c r="Y33" i="7"/>
  <c r="W33" i="7"/>
  <c r="V33" i="7"/>
  <c r="U33" i="7"/>
  <c r="T33" i="7"/>
  <c r="R33" i="7"/>
  <c r="Q33" i="7"/>
  <c r="P33" i="7"/>
  <c r="O33" i="7"/>
  <c r="M33" i="7"/>
  <c r="L33" i="7"/>
  <c r="K33" i="7"/>
  <c r="K34" i="7" s="1"/>
  <c r="J33" i="7"/>
  <c r="I33" i="7"/>
  <c r="H33" i="7"/>
  <c r="H34" i="7" s="1"/>
  <c r="G33" i="7"/>
  <c r="G34" i="7" s="1"/>
  <c r="N30" i="7"/>
  <c r="L30" i="7"/>
  <c r="I30" i="7"/>
  <c r="I28" i="7"/>
  <c r="I26" i="7"/>
  <c r="B23" i="7"/>
  <c r="AV22" i="7"/>
  <c r="AU22" i="7"/>
  <c r="AT22" i="7"/>
  <c r="AS22" i="7"/>
  <c r="AQ22" i="7"/>
  <c r="AO22" i="7"/>
  <c r="AN22" i="7"/>
  <c r="AL22" i="7"/>
  <c r="AK22" i="7"/>
  <c r="AJ22" i="7"/>
  <c r="AI22" i="7"/>
  <c r="AG22" i="7"/>
  <c r="AF22" i="7"/>
  <c r="AE22" i="7"/>
  <c r="AD22" i="7"/>
  <c r="AB22" i="7"/>
  <c r="AA22" i="7"/>
  <c r="Z22" i="7"/>
  <c r="Y22" i="7"/>
  <c r="W22" i="7"/>
  <c r="V22" i="7"/>
  <c r="U22" i="7"/>
  <c r="T22" i="7"/>
  <c r="R22" i="7"/>
  <c r="Q22" i="7"/>
  <c r="P22" i="7"/>
  <c r="O22" i="7"/>
  <c r="M22" i="7"/>
  <c r="L22" i="7"/>
  <c r="K22" i="7"/>
  <c r="J22" i="7"/>
  <c r="B22" i="7"/>
  <c r="B21" i="7"/>
  <c r="Z20" i="7"/>
  <c r="Y20" i="7"/>
  <c r="W20" i="7"/>
  <c r="V20" i="7"/>
  <c r="U20" i="7"/>
  <c r="T20" i="7"/>
  <c r="R20" i="7"/>
  <c r="P20" i="7"/>
  <c r="O20" i="7"/>
  <c r="M20" i="7"/>
  <c r="L20" i="7"/>
  <c r="K20" i="7"/>
  <c r="J20" i="7"/>
  <c r="B20" i="7"/>
  <c r="B19" i="7"/>
  <c r="B18" i="7"/>
  <c r="B15" i="7"/>
  <c r="BE14" i="7"/>
  <c r="BD14" i="7"/>
  <c r="AX14" i="7"/>
  <c r="AV14" i="7"/>
  <c r="AU14" i="7"/>
  <c r="AT14" i="7"/>
  <c r="AS14" i="7"/>
  <c r="AQ14" i="7"/>
  <c r="AP14" i="7"/>
  <c r="AO14" i="7"/>
  <c r="AN14" i="7"/>
  <c r="AL14" i="7"/>
  <c r="AK14" i="7"/>
  <c r="AJ14" i="7"/>
  <c r="AI14" i="7"/>
  <c r="AG14" i="7"/>
  <c r="AF14" i="7"/>
  <c r="AE14" i="7"/>
  <c r="AD14" i="7"/>
  <c r="AB14" i="7"/>
  <c r="AA14" i="7"/>
  <c r="Z14" i="7"/>
  <c r="Y14" i="7"/>
  <c r="W14" i="7"/>
  <c r="V14" i="7"/>
  <c r="U14" i="7"/>
  <c r="T14" i="7"/>
  <c r="R14" i="7"/>
  <c r="Q14" i="7"/>
  <c r="P14" i="7"/>
  <c r="O14" i="7"/>
  <c r="M14" i="7"/>
  <c r="L14" i="7"/>
  <c r="K14" i="7"/>
  <c r="J14" i="7"/>
  <c r="B14" i="7"/>
  <c r="B13" i="7"/>
  <c r="W12" i="7"/>
  <c r="V12" i="7"/>
  <c r="U12" i="7"/>
  <c r="T12" i="7"/>
  <c r="R12" i="7"/>
  <c r="Q12" i="7"/>
  <c r="P12" i="7"/>
  <c r="O12" i="7"/>
  <c r="M12" i="7"/>
  <c r="L12" i="7"/>
  <c r="K12" i="7"/>
  <c r="J12" i="7"/>
  <c r="B12" i="7"/>
  <c r="B11" i="7"/>
  <c r="B10" i="7"/>
  <c r="BO70" i="7" l="1"/>
  <c r="BO83" i="7"/>
  <c r="N89" i="7"/>
  <c r="Z69" i="7"/>
  <c r="AJ69" i="7"/>
  <c r="BD69" i="7"/>
  <c r="BJ38" i="7"/>
  <c r="BK34" i="7"/>
  <c r="AB69" i="7"/>
  <c r="AV69" i="7"/>
  <c r="BK38" i="7"/>
  <c r="AN69" i="7"/>
  <c r="BH69" i="7"/>
  <c r="AV125" i="20"/>
  <c r="AF69" i="7"/>
  <c r="AP69" i="7"/>
  <c r="AZ69" i="7"/>
  <c r="AW36" i="7"/>
  <c r="AM84" i="7"/>
  <c r="AA34" i="7"/>
  <c r="X89" i="7"/>
  <c r="AH37" i="7"/>
  <c r="U34" i="7"/>
  <c r="AR70" i="7"/>
  <c r="M34" i="7"/>
  <c r="BD34" i="7"/>
  <c r="X42" i="7"/>
  <c r="AH42" i="7"/>
  <c r="AR42" i="7"/>
  <c r="BF38" i="7"/>
  <c r="AI34" i="7"/>
  <c r="BB36" i="7"/>
  <c r="AS38" i="7"/>
  <c r="BC38" i="7"/>
  <c r="BQ40" i="7"/>
  <c r="AM42" i="7"/>
  <c r="AW42" i="7"/>
  <c r="BG42" i="7"/>
  <c r="S89" i="7"/>
  <c r="AT38" i="7"/>
  <c r="AE34" i="7"/>
  <c r="BA34" i="7"/>
  <c r="BC34" i="7"/>
  <c r="AK38" i="7"/>
  <c r="AU38" i="7"/>
  <c r="BI34" i="7"/>
  <c r="S42" i="7"/>
  <c r="H38" i="7"/>
  <c r="BJ34" i="7"/>
  <c r="W38" i="7"/>
  <c r="X33" i="7"/>
  <c r="S37" i="7"/>
  <c r="Z38" i="7"/>
  <c r="AC42" i="7"/>
  <c r="AW37" i="7"/>
  <c r="AD43" i="7"/>
  <c r="AD70" i="7"/>
  <c r="W34" i="7"/>
  <c r="BG37" i="7"/>
  <c r="O34" i="7"/>
  <c r="V43" i="7"/>
  <c r="N42" i="7"/>
  <c r="P34" i="7"/>
  <c r="O38" i="7"/>
  <c r="BB42" i="7"/>
  <c r="BL65" i="7"/>
  <c r="AC33" i="7"/>
  <c r="I34" i="7"/>
  <c r="Q34" i="7"/>
  <c r="Y34" i="7"/>
  <c r="AG34" i="7"/>
  <c r="BE34" i="7"/>
  <c r="Y69" i="7"/>
  <c r="Y38" i="7"/>
  <c r="AG69" i="7"/>
  <c r="AG38" i="7"/>
  <c r="AO69" i="7"/>
  <c r="AO38" i="7"/>
  <c r="BE69" i="7"/>
  <c r="BE38" i="7"/>
  <c r="T70" i="7"/>
  <c r="T43" i="7"/>
  <c r="AB70" i="7"/>
  <c r="AC70" i="7" s="1"/>
  <c r="AB43" i="7"/>
  <c r="AS70" i="7"/>
  <c r="AW40" i="7"/>
  <c r="BC70" i="7"/>
  <c r="BG70" i="7" s="1"/>
  <c r="BC43" i="7"/>
  <c r="BG40" i="7"/>
  <c r="Q43" i="7"/>
  <c r="N33" i="7"/>
  <c r="BB33" i="7"/>
  <c r="J34" i="7"/>
  <c r="R34" i="7"/>
  <c r="Z34" i="7"/>
  <c r="BF34" i="7"/>
  <c r="AS139" i="7"/>
  <c r="AX69" i="7"/>
  <c r="BF69" i="7"/>
  <c r="AJ38" i="7"/>
  <c r="BD38" i="7"/>
  <c r="U70" i="7"/>
  <c r="U43" i="7"/>
  <c r="AC40" i="7"/>
  <c r="BD43" i="7"/>
  <c r="AQ139" i="7"/>
  <c r="AT139" i="7"/>
  <c r="K69" i="7"/>
  <c r="K38" i="7"/>
  <c r="AA38" i="7"/>
  <c r="AA69" i="7"/>
  <c r="AI38" i="7"/>
  <c r="AI69" i="7"/>
  <c r="AQ69" i="7"/>
  <c r="AQ38" i="7"/>
  <c r="AY69" i="7"/>
  <c r="AY38" i="7"/>
  <c r="P38" i="7"/>
  <c r="L70" i="7"/>
  <c r="L43" i="7"/>
  <c r="N40" i="7"/>
  <c r="AU70" i="7"/>
  <c r="Y43" i="7"/>
  <c r="BE43" i="7"/>
  <c r="BJ44" i="7" s="1"/>
  <c r="L34" i="7"/>
  <c r="T34" i="7"/>
  <c r="AB34" i="7"/>
  <c r="AJ34" i="7"/>
  <c r="BH34" i="7"/>
  <c r="AI139" i="7"/>
  <c r="AJ139" i="7"/>
  <c r="AU139" i="7"/>
  <c r="AR37" i="7"/>
  <c r="Q38" i="7"/>
  <c r="AB38" i="7"/>
  <c r="AL38" i="7"/>
  <c r="AV38" i="7"/>
  <c r="BH38" i="7"/>
  <c r="M70" i="7"/>
  <c r="M43" i="7"/>
  <c r="W70" i="7"/>
  <c r="W43" i="7"/>
  <c r="AE70" i="7"/>
  <c r="AE43" i="7"/>
  <c r="BP70" i="7"/>
  <c r="M69" i="7"/>
  <c r="U69" i="7"/>
  <c r="AC37" i="7"/>
  <c r="AK69" i="7"/>
  <c r="AS69" i="7"/>
  <c r="BA69" i="7"/>
  <c r="BI69" i="7"/>
  <c r="I38" i="7"/>
  <c r="R38" i="7"/>
  <c r="AX38" i="7"/>
  <c r="BI38" i="7"/>
  <c r="O70" i="7"/>
  <c r="S70" i="7" s="1"/>
  <c r="O43" i="7"/>
  <c r="S40" i="7"/>
  <c r="X40" i="7"/>
  <c r="BH70" i="7"/>
  <c r="BH43" i="7"/>
  <c r="V34" i="7"/>
  <c r="AD34" i="7"/>
  <c r="AO139" i="7"/>
  <c r="AL139" i="7"/>
  <c r="N37" i="7"/>
  <c r="V69" i="7"/>
  <c r="AD69" i="7"/>
  <c r="AL69" i="7"/>
  <c r="AT69" i="7"/>
  <c r="BB37" i="7"/>
  <c r="J38" i="7"/>
  <c r="T38" i="7"/>
  <c r="AD38" i="7"/>
  <c r="AN38" i="7"/>
  <c r="AZ38" i="7"/>
  <c r="G70" i="7"/>
  <c r="G43" i="7"/>
  <c r="H43" i="7"/>
  <c r="S33" i="7"/>
  <c r="BG33" i="7"/>
  <c r="AP139" i="7"/>
  <c r="AX139" i="7"/>
  <c r="G69" i="7"/>
  <c r="O69" i="7"/>
  <c r="S69" i="7" s="1"/>
  <c r="W69" i="7"/>
  <c r="AE69" i="7"/>
  <c r="AM37" i="7"/>
  <c r="AU69" i="7"/>
  <c r="BC69" i="7"/>
  <c r="L38" i="7"/>
  <c r="U38" i="7"/>
  <c r="AE38" i="7"/>
  <c r="AP38" i="7"/>
  <c r="BA38" i="7"/>
  <c r="AZ70" i="7"/>
  <c r="AZ43" i="7"/>
  <c r="BB40" i="7"/>
  <c r="I43" i="7"/>
  <c r="AN139" i="7"/>
  <c r="AK139" i="7"/>
  <c r="AR36" i="7"/>
  <c r="AV139" i="7"/>
  <c r="X37" i="7"/>
  <c r="M38" i="7"/>
  <c r="V38" i="7"/>
  <c r="AF38" i="7"/>
  <c r="AR40" i="7"/>
  <c r="BA70" i="7"/>
  <c r="BA43" i="7"/>
  <c r="P43" i="7"/>
  <c r="AV43" i="7"/>
  <c r="BR83" i="7"/>
  <c r="BR70" i="7"/>
  <c r="J43" i="7"/>
  <c r="R43" i="7"/>
  <c r="Z43" i="7"/>
  <c r="AX43" i="7"/>
  <c r="BF43" i="7"/>
  <c r="BL83" i="7"/>
  <c r="BK70" i="7"/>
  <c r="BS83" i="7"/>
  <c r="BS70" i="7"/>
  <c r="K43" i="7"/>
  <c r="AA43" i="7"/>
  <c r="AY43" i="7"/>
  <c r="BT83" i="7"/>
  <c r="BT70" i="7"/>
  <c r="BV53" i="7"/>
  <c r="BL60" i="7"/>
  <c r="BM70" i="7"/>
  <c r="BU83" i="7"/>
  <c r="BU70" i="7"/>
  <c r="BN70" i="7"/>
  <c r="BV40" i="7"/>
  <c r="BS82" i="7"/>
  <c r="BX82" i="7" s="1"/>
  <c r="CA82" i="7" s="1"/>
  <c r="BQ82" i="7"/>
  <c r="BV82" i="7" l="1"/>
  <c r="AR69" i="7"/>
  <c r="AH38" i="7"/>
  <c r="V44" i="7"/>
  <c r="BB70" i="7"/>
  <c r="X34" i="7"/>
  <c r="N70" i="7"/>
  <c r="N69" i="7"/>
  <c r="AW38" i="7"/>
  <c r="X70" i="7"/>
  <c r="X69" i="7"/>
  <c r="BB69" i="7"/>
  <c r="H44" i="7"/>
  <c r="K44" i="7"/>
  <c r="Z44" i="7"/>
  <c r="BA44" i="7"/>
  <c r="G44" i="7"/>
  <c r="BB38" i="7"/>
  <c r="Y44" i="7"/>
  <c r="AC43" i="7"/>
  <c r="BV70" i="7"/>
  <c r="N34" i="7"/>
  <c r="J44" i="7"/>
  <c r="N43" i="7"/>
  <c r="BV83" i="7"/>
  <c r="S34" i="7"/>
  <c r="M44" i="7"/>
  <c r="BG38" i="7"/>
  <c r="Q44" i="7"/>
  <c r="AW70" i="7"/>
  <c r="T44" i="7"/>
  <c r="X43" i="7"/>
  <c r="AC69" i="7"/>
  <c r="AC34" i="7"/>
  <c r="AM38" i="7"/>
  <c r="R44" i="7"/>
  <c r="BQ70" i="7"/>
  <c r="I44" i="7"/>
  <c r="O44" i="7"/>
  <c r="S43" i="7"/>
  <c r="AW69" i="7"/>
  <c r="AE44" i="7"/>
  <c r="BG34" i="7"/>
  <c r="N38" i="7"/>
  <c r="BF44" i="7"/>
  <c r="P44" i="7"/>
  <c r="AR38" i="7"/>
  <c r="L44" i="7"/>
  <c r="U44" i="7"/>
  <c r="BC44" i="7"/>
  <c r="BG43" i="7"/>
  <c r="S38" i="7"/>
  <c r="BB43" i="7"/>
  <c r="X38" i="7"/>
  <c r="BG69" i="7"/>
  <c r="AH69" i="7"/>
  <c r="BH44" i="7"/>
  <c r="AA44" i="7"/>
  <c r="AC38" i="7"/>
  <c r="W44" i="7"/>
  <c r="BE44" i="7"/>
  <c r="AD44" i="7"/>
  <c r="AM69" i="7"/>
  <c r="BD44" i="7"/>
  <c r="AB44" i="7"/>
  <c r="BG44" i="7" l="1"/>
  <c r="N44" i="7"/>
  <c r="X44" i="7"/>
  <c r="S44" i="7"/>
  <c r="AC44" i="7"/>
  <c r="BP60" i="7" l="1"/>
  <c r="BR60" i="7" l="1"/>
  <c r="BQ60" i="7"/>
  <c r="BS60" i="7" l="1"/>
  <c r="BT60" i="7" l="1"/>
  <c r="BM10" i="18"/>
  <c r="BN10" i="18"/>
  <c r="BN25" i="18"/>
  <c r="BG120" i="18"/>
  <c r="BG119" i="18"/>
  <c r="BG118" i="18"/>
  <c r="BG117" i="18"/>
  <c r="AV133" i="20"/>
  <c r="AV135" i="20"/>
  <c r="AW132" i="20" s="1"/>
  <c r="AW136" i="20" s="1"/>
  <c r="AV138" i="20"/>
  <c r="AV127" i="20"/>
  <c r="BX29" i="18"/>
  <c r="CC29" i="18" s="1"/>
  <c r="BW29" i="18"/>
  <c r="CB29" i="18" s="1"/>
  <c r="BL119" i="18"/>
  <c r="BL118" i="18"/>
  <c r="BL117" i="18"/>
  <c r="BL116" i="18"/>
  <c r="BL115" i="18"/>
  <c r="BL114" i="18"/>
  <c r="BY29" i="18" l="1"/>
  <c r="CD29" i="18" s="1"/>
  <c r="BU60" i="7"/>
  <c r="BL120" i="18"/>
  <c r="BW60" i="7" l="1"/>
  <c r="BV60" i="7"/>
  <c r="AV88" i="20"/>
  <c r="AV81" i="20"/>
  <c r="AW81" i="20" s="1"/>
  <c r="AX81" i="20" s="1"/>
  <c r="AV82" i="20"/>
  <c r="AV80" i="20"/>
  <c r="AV79" i="20"/>
  <c r="AV65" i="20"/>
  <c r="AV66" i="20"/>
  <c r="AW66" i="20" s="1"/>
  <c r="AX66" i="20" s="1"/>
  <c r="AV60" i="20"/>
  <c r="AV47" i="20"/>
  <c r="AW47" i="20" s="1"/>
  <c r="AX47" i="20" s="1"/>
  <c r="AV48" i="20"/>
  <c r="AW48" i="20" s="1"/>
  <c r="AX48" i="20" s="1"/>
  <c r="AV45" i="20"/>
  <c r="AV44" i="20"/>
  <c r="AV29" i="20"/>
  <c r="AV36" i="20" s="1"/>
  <c r="AV14" i="20"/>
  <c r="BX60" i="7" l="1"/>
  <c r="AW60" i="20"/>
  <c r="BI95" i="7"/>
  <c r="AW88" i="20"/>
  <c r="AW80" i="20"/>
  <c r="AW65" i="20"/>
  <c r="AW79" i="20"/>
  <c r="AW44" i="20"/>
  <c r="AW45" i="20"/>
  <c r="BI36" i="7"/>
  <c r="AW82" i="20"/>
  <c r="BN129" i="18"/>
  <c r="BI40" i="7" s="1"/>
  <c r="BN172" i="18"/>
  <c r="BN169" i="18"/>
  <c r="BN107" i="18"/>
  <c r="BN110" i="18" s="1"/>
  <c r="BS111" i="18" s="1"/>
  <c r="BN93" i="18"/>
  <c r="BN90" i="18"/>
  <c r="BN92" i="18" s="1"/>
  <c r="BN84" i="18"/>
  <c r="BN81" i="18"/>
  <c r="BN78" i="18"/>
  <c r="BN48" i="18"/>
  <c r="BS49" i="18" s="1"/>
  <c r="BN44" i="18"/>
  <c r="BN40" i="18"/>
  <c r="BN31" i="18"/>
  <c r="BN30" i="18"/>
  <c r="BN28" i="18"/>
  <c r="BN14" i="18" s="1"/>
  <c r="BN22" i="18"/>
  <c r="BN19" i="18"/>
  <c r="BN21" i="18"/>
  <c r="BN17" i="18"/>
  <c r="BN131" i="18" l="1"/>
  <c r="BS132" i="18" s="1"/>
  <c r="BI9" i="7"/>
  <c r="BS32" i="18"/>
  <c r="BS35" i="18"/>
  <c r="BS246" i="18" s="1"/>
  <c r="BS33" i="18"/>
  <c r="BS23" i="18"/>
  <c r="BY60" i="7"/>
  <c r="AX80" i="20"/>
  <c r="AX44" i="20"/>
  <c r="AW57" i="20"/>
  <c r="AX79" i="20"/>
  <c r="AW86" i="20"/>
  <c r="AX45" i="20"/>
  <c r="BJ36" i="7"/>
  <c r="AX88" i="20"/>
  <c r="AX82" i="20"/>
  <c r="AX60" i="20"/>
  <c r="BC60" i="20" s="1"/>
  <c r="BJ95" i="7"/>
  <c r="AX65" i="20"/>
  <c r="BF60" i="20"/>
  <c r="BN95" i="7"/>
  <c r="BI70" i="7"/>
  <c r="BL70" i="7" s="1"/>
  <c r="BI43" i="7"/>
  <c r="BL40" i="7"/>
  <c r="BN86" i="18"/>
  <c r="BN88" i="18"/>
  <c r="BN45" i="18"/>
  <c r="BN26" i="18"/>
  <c r="BN50" i="18"/>
  <c r="BN94" i="18"/>
  <c r="BN82" i="18"/>
  <c r="BN41" i="18"/>
  <c r="BS42" i="18" s="1"/>
  <c r="BN52" i="18"/>
  <c r="BS53" i="18" s="1"/>
  <c r="BN80" i="18"/>
  <c r="BN47" i="18"/>
  <c r="BN60" i="18"/>
  <c r="BN12" i="18" l="1"/>
  <c r="BS13" i="18" s="1"/>
  <c r="BS61" i="18"/>
  <c r="BK60" i="20"/>
  <c r="BZ60" i="7"/>
  <c r="CA60" i="7" s="1"/>
  <c r="BJ77" i="7"/>
  <c r="BG60" i="20"/>
  <c r="BK36" i="7"/>
  <c r="BL36" i="7" s="1"/>
  <c r="AW69" i="20"/>
  <c r="BK95" i="7"/>
  <c r="BI44" i="7"/>
  <c r="BN63" i="18"/>
  <c r="BN64" i="18" s="1"/>
  <c r="BN54" i="18"/>
  <c r="BH139" i="7" l="1"/>
  <c r="BF139" i="7"/>
  <c r="BN62" i="18"/>
  <c r="BL60" i="20"/>
  <c r="BO56" i="18"/>
  <c r="BS55" i="18"/>
  <c r="BK112" i="20"/>
  <c r="BX95" i="7"/>
  <c r="BH60" i="20"/>
  <c r="BD60" i="20"/>
  <c r="AW70" i="20"/>
  <c r="BM60" i="20" l="1"/>
  <c r="BY95" i="7"/>
  <c r="BL112" i="20"/>
  <c r="BH134" i="20"/>
  <c r="BG134" i="20"/>
  <c r="BF134" i="20"/>
  <c r="BE134" i="20"/>
  <c r="BH133" i="20"/>
  <c r="BG133" i="20"/>
  <c r="BF133" i="20"/>
  <c r="BE133" i="20"/>
  <c r="BI88" i="20"/>
  <c r="BI85" i="20"/>
  <c r="BI84" i="20"/>
  <c r="BI83" i="20"/>
  <c r="BI81" i="20"/>
  <c r="BI80" i="20"/>
  <c r="BI79" i="20"/>
  <c r="BI78" i="20"/>
  <c r="BI77" i="20"/>
  <c r="BI76" i="20"/>
  <c r="BI75" i="20"/>
  <c r="BI66" i="20"/>
  <c r="BI65" i="20"/>
  <c r="BI64" i="20"/>
  <c r="BI56" i="20"/>
  <c r="BI48" i="20"/>
  <c r="BI47" i="20"/>
  <c r="BI46" i="20"/>
  <c r="BH27" i="20"/>
  <c r="BI27" i="20" s="1"/>
  <c r="BF27" i="20"/>
  <c r="CA220" i="18"/>
  <c r="BZ219" i="18"/>
  <c r="BY219" i="18"/>
  <c r="BX219" i="18"/>
  <c r="BW219" i="18"/>
  <c r="CA218" i="18"/>
  <c r="CA217" i="18"/>
  <c r="CA205" i="18"/>
  <c r="CA204" i="18"/>
  <c r="CA203" i="18"/>
  <c r="CA202" i="18"/>
  <c r="CA201" i="18"/>
  <c r="CA200" i="18"/>
  <c r="CA199" i="18"/>
  <c r="CA198" i="18"/>
  <c r="CA197" i="18"/>
  <c r="CA196" i="18"/>
  <c r="CA195" i="18"/>
  <c r="CA194" i="18"/>
  <c r="CA193" i="18"/>
  <c r="CA129" i="18"/>
  <c r="CA46" i="18"/>
  <c r="CA212" i="18" l="1"/>
  <c r="BM112" i="20"/>
  <c r="BZ95" i="7"/>
  <c r="BN60" i="20"/>
  <c r="CA221" i="18"/>
  <c r="BY222" i="18"/>
  <c r="BY223" i="18" s="1"/>
  <c r="CA216" i="18"/>
  <c r="CA219" i="18"/>
  <c r="BX222" i="18"/>
  <c r="BX223" i="18" s="1"/>
  <c r="BZ222" i="18"/>
  <c r="BZ223" i="18" s="1"/>
  <c r="BW222" i="18"/>
  <c r="BW223" i="18" s="1"/>
  <c r="CA222" i="18" l="1"/>
  <c r="CA223" i="18" s="1"/>
  <c r="CA95" i="7"/>
  <c r="BL95" i="7" l="1"/>
  <c r="AU138" i="20" l="1"/>
  <c r="AU133" i="20"/>
  <c r="AU135" i="20"/>
  <c r="AV132" i="20" s="1"/>
  <c r="AU127" i="20"/>
  <c r="AV134" i="20" l="1"/>
  <c r="AV136" i="20"/>
  <c r="AV137" i="20" s="1"/>
  <c r="AU63" i="20"/>
  <c r="AV63" i="20" s="1"/>
  <c r="AU56" i="20"/>
  <c r="AU29" i="20"/>
  <c r="AU36" i="20" s="1"/>
  <c r="AU14" i="20"/>
  <c r="AU21" i="20" l="1"/>
  <c r="AV56" i="20"/>
  <c r="AV67" i="20"/>
  <c r="AW63" i="20"/>
  <c r="AU57" i="20"/>
  <c r="AU129" i="20"/>
  <c r="BM180" i="18"/>
  <c r="BM177" i="18"/>
  <c r="BM172" i="18"/>
  <c r="BM169" i="18"/>
  <c r="BM25" i="18"/>
  <c r="BH93" i="7" l="1"/>
  <c r="AX56" i="20"/>
  <c r="AV57" i="20"/>
  <c r="AX63" i="20"/>
  <c r="AW67" i="20"/>
  <c r="BM131" i="18"/>
  <c r="BR132" i="18" s="1"/>
  <c r="BM127" i="18"/>
  <c r="BM123" i="18"/>
  <c r="BM107" i="18"/>
  <c r="BM110" i="18" s="1"/>
  <c r="BM95" i="18"/>
  <c r="BM84" i="18"/>
  <c r="BM88" i="18" s="1"/>
  <c r="BM78" i="18"/>
  <c r="BM80" i="18" s="1"/>
  <c r="BM48" i="18"/>
  <c r="BM40" i="18"/>
  <c r="BM44" i="18"/>
  <c r="BM22" i="18"/>
  <c r="BR23" i="18" s="1"/>
  <c r="BM21" i="18"/>
  <c r="BM30" i="18"/>
  <c r="BM28" i="18"/>
  <c r="BM14" i="18" s="1"/>
  <c r="BM19" i="18"/>
  <c r="BM17" i="18"/>
  <c r="BL9" i="18"/>
  <c r="BQ10" i="18" s="1"/>
  <c r="AW89" i="20" l="1"/>
  <c r="BI93" i="7"/>
  <c r="AV69" i="20"/>
  <c r="BH97" i="7"/>
  <c r="AX57" i="20"/>
  <c r="AX129" i="20"/>
  <c r="BR111" i="18"/>
  <c r="BQ22" i="18"/>
  <c r="BM124" i="18"/>
  <c r="BH17" i="7"/>
  <c r="BM11" i="18"/>
  <c r="BN11" i="18"/>
  <c r="BM128" i="18"/>
  <c r="BM135" i="18"/>
  <c r="BM137" i="18" s="1"/>
  <c r="BM143" i="18"/>
  <c r="BM130" i="18"/>
  <c r="BM82" i="18"/>
  <c r="BM133" i="18"/>
  <c r="BM86" i="18"/>
  <c r="BI97" i="7" l="1"/>
  <c r="BH99" i="7"/>
  <c r="BM145" i="18"/>
  <c r="BM146" i="18" s="1"/>
  <c r="AS138" i="20"/>
  <c r="BK171" i="18"/>
  <c r="BP172" i="18" s="1"/>
  <c r="BK168" i="18"/>
  <c r="BI99" i="7" l="1"/>
  <c r="BK169" i="18"/>
  <c r="BP169" i="18"/>
  <c r="BM144" i="18"/>
  <c r="BL168" i="18"/>
  <c r="BQ169" i="18" s="1"/>
  <c r="BL171" i="18"/>
  <c r="BQ172" i="18" s="1"/>
  <c r="BK172" i="18"/>
  <c r="AS85" i="20" l="1"/>
  <c r="AS84" i="20"/>
  <c r="AT56" i="20"/>
  <c r="BK179" i="18" l="1"/>
  <c r="BP180" i="18" s="1"/>
  <c r="BK176" i="18"/>
  <c r="BP177" i="18" s="1"/>
  <c r="BL180" i="18"/>
  <c r="BJ180" i="18"/>
  <c r="BJ177" i="18"/>
  <c r="BL83" i="18" l="1"/>
  <c r="BL77" i="18"/>
  <c r="BL109" i="18"/>
  <c r="BL108" i="18"/>
  <c r="BL106" i="18"/>
  <c r="BL105" i="18"/>
  <c r="BL104" i="18"/>
  <c r="BK25" i="18" l="1"/>
  <c r="BL24" i="18"/>
  <c r="BQ25" i="18" s="1"/>
  <c r="BF112" i="20" l="1"/>
  <c r="BS95" i="7"/>
  <c r="BP95" i="7"/>
  <c r="BO95" i="7"/>
  <c r="BI60" i="20"/>
  <c r="BU95" i="7" l="1"/>
  <c r="BH112" i="20"/>
  <c r="BT95" i="7"/>
  <c r="BG112" i="20"/>
  <c r="BV95" i="7"/>
  <c r="AS127" i="20" l="1"/>
  <c r="BE45" i="20"/>
  <c r="BJ45" i="20" s="1"/>
  <c r="BW36" i="7" s="1"/>
  <c r="AS83" i="20"/>
  <c r="AS75" i="20"/>
  <c r="AS66" i="20"/>
  <c r="AT65" i="20"/>
  <c r="AS64" i="20"/>
  <c r="AT63" i="20"/>
  <c r="AT47" i="20"/>
  <c r="BR36" i="7" l="1"/>
  <c r="BK131" i="18"/>
  <c r="BP132" i="18" s="1"/>
  <c r="BK127" i="18"/>
  <c r="BK123" i="18"/>
  <c r="BK107" i="18"/>
  <c r="BK95" i="18"/>
  <c r="BK93" i="18"/>
  <c r="BK87" i="18"/>
  <c r="BK81" i="18"/>
  <c r="BK90" i="18"/>
  <c r="BK92" i="18" s="1"/>
  <c r="BK84" i="18"/>
  <c r="BK78" i="18"/>
  <c r="BK48" i="18"/>
  <c r="BP49" i="18" s="1"/>
  <c r="BK44" i="18"/>
  <c r="BK40" i="18"/>
  <c r="BK31" i="18"/>
  <c r="BP35" i="18" s="1"/>
  <c r="BP246" i="18" s="1"/>
  <c r="BK30" i="18"/>
  <c r="BK28" i="18"/>
  <c r="BL20" i="18"/>
  <c r="BL18" i="18"/>
  <c r="BL16" i="18"/>
  <c r="BK22" i="18"/>
  <c r="BP23" i="18" s="1"/>
  <c r="BK21" i="18"/>
  <c r="BK19" i="18"/>
  <c r="BK17" i="18"/>
  <c r="BK11" i="18"/>
  <c r="BK10" i="18"/>
  <c r="BK94" i="18" l="1"/>
  <c r="BF17" i="7"/>
  <c r="BP99" i="18"/>
  <c r="BP248" i="18" s="1"/>
  <c r="BQ17" i="18"/>
  <c r="BF9" i="7"/>
  <c r="BQ19" i="18"/>
  <c r="BQ21" i="18"/>
  <c r="BK82" i="18"/>
  <c r="BK50" i="18"/>
  <c r="BK60" i="18"/>
  <c r="BK12" i="18" s="1"/>
  <c r="BK135" i="18"/>
  <c r="BK137" i="18" s="1"/>
  <c r="BM139" i="18" s="1"/>
  <c r="BL107" i="18"/>
  <c r="BK110" i="18"/>
  <c r="BP111" i="18" s="1"/>
  <c r="BK133" i="18"/>
  <c r="BK124" i="18"/>
  <c r="BK150" i="18"/>
  <c r="BK14" i="18"/>
  <c r="BK26" i="18"/>
  <c r="BK130" i="18"/>
  <c r="BK80" i="18"/>
  <c r="BK88" i="18"/>
  <c r="BK86" i="18"/>
  <c r="BK45" i="18"/>
  <c r="BK47" i="18"/>
  <c r="BK128" i="18"/>
  <c r="BK41" i="18"/>
  <c r="BK52" i="18"/>
  <c r="BF25" i="7" l="1"/>
  <c r="BF35" i="7" s="1"/>
  <c r="BP155" i="18"/>
  <c r="BL110" i="18"/>
  <c r="BQ111" i="18" s="1"/>
  <c r="BK173" i="18"/>
  <c r="BK170" i="18"/>
  <c r="BK178" i="18"/>
  <c r="BK181" i="18"/>
  <c r="BK54" i="18"/>
  <c r="BK63" i="18"/>
  <c r="AQ65" i="20"/>
  <c r="AQ48" i="20"/>
  <c r="AR48" i="20" s="1"/>
  <c r="BJ25" i="18"/>
  <c r="BZ27" i="18"/>
  <c r="CE27" i="18" s="1"/>
  <c r="BL27" i="18"/>
  <c r="BF45" i="7" l="1"/>
  <c r="BF39" i="7"/>
  <c r="AR65" i="20"/>
  <c r="BF41" i="7"/>
  <c r="BF47" i="7"/>
  <c r="BX27" i="18"/>
  <c r="CC27" i="18" s="1"/>
  <c r="BK64" i="18"/>
  <c r="BK62" i="18"/>
  <c r="CC31" i="18" l="1"/>
  <c r="AS65" i="20"/>
  <c r="BF68" i="7"/>
  <c r="BF72" i="7" s="1"/>
  <c r="BF74" i="7" s="1"/>
  <c r="BF49" i="7"/>
  <c r="BF56" i="7"/>
  <c r="CC45" i="18" l="1"/>
  <c r="CC60" i="18"/>
  <c r="BX9" i="7"/>
  <c r="CC47" i="18"/>
  <c r="BF62" i="7"/>
  <c r="BF80" i="7" s="1"/>
  <c r="BF85" i="7" s="1"/>
  <c r="BF59" i="7"/>
  <c r="BF63" i="7" l="1"/>
  <c r="BF88" i="7"/>
  <c r="AE129" i="20"/>
  <c r="AF129" i="20"/>
  <c r="AN129" i="20"/>
  <c r="AS111" i="20" l="1"/>
  <c r="AR111" i="20"/>
  <c r="AR97" i="20"/>
  <c r="AR96" i="20"/>
  <c r="AR98" i="20" s="1"/>
  <c r="AR127" i="20"/>
  <c r="AR133" i="20"/>
  <c r="AR135" i="20"/>
  <c r="AS132" i="20" s="1"/>
  <c r="AR138" i="20"/>
  <c r="BJ246" i="18"/>
  <c r="AR14" i="20" l="1"/>
  <c r="AR29" i="20"/>
  <c r="AR36" i="20" s="1"/>
  <c r="AQ88" i="20"/>
  <c r="AQ82" i="20"/>
  <c r="AQ80" i="20"/>
  <c r="AQ81" i="20"/>
  <c r="AR81" i="20" s="1"/>
  <c r="AS81" i="20" s="1"/>
  <c r="AQ79" i="20"/>
  <c r="AQ76" i="20"/>
  <c r="AQ50" i="20"/>
  <c r="AQ54" i="20"/>
  <c r="AR54" i="20" s="1"/>
  <c r="AS54" i="20" s="1"/>
  <c r="AQ55" i="20"/>
  <c r="AR55" i="20" s="1"/>
  <c r="AS55" i="20" s="1"/>
  <c r="AQ53" i="20"/>
  <c r="AR53" i="20" s="1"/>
  <c r="AS53" i="20" s="1"/>
  <c r="AQ52" i="20"/>
  <c r="AR52" i="20" s="1"/>
  <c r="AS52" i="20" s="1"/>
  <c r="AQ51" i="20"/>
  <c r="AR51" i="20" s="1"/>
  <c r="AS51" i="20" s="1"/>
  <c r="AQ45" i="20"/>
  <c r="AQ44" i="20"/>
  <c r="AQ43" i="20"/>
  <c r="AO43" i="20"/>
  <c r="AR80" i="20" l="1"/>
  <c r="AR79" i="20"/>
  <c r="AS82" i="20"/>
  <c r="AR88" i="20"/>
  <c r="AR44" i="20"/>
  <c r="BD36" i="7"/>
  <c r="AR43" i="20"/>
  <c r="AR21" i="20"/>
  <c r="AR45" i="20"/>
  <c r="AR50" i="20"/>
  <c r="AQ86" i="20"/>
  <c r="AR76" i="20"/>
  <c r="AS88" i="20" l="1"/>
  <c r="BF45" i="20"/>
  <c r="BN36" i="7"/>
  <c r="BI139" i="7" s="1"/>
  <c r="AS79" i="20"/>
  <c r="BE36" i="7"/>
  <c r="AZ139" i="7" s="1"/>
  <c r="AR38" i="20"/>
  <c r="AY139" i="7"/>
  <c r="AS80" i="20"/>
  <c r="AS76" i="20"/>
  <c r="AR86" i="20"/>
  <c r="AS50" i="20"/>
  <c r="BJ169" i="18"/>
  <c r="BJ131" i="18"/>
  <c r="BJ123" i="18"/>
  <c r="BJ107" i="18"/>
  <c r="BJ110" i="18" s="1"/>
  <c r="BO111" i="18" s="1"/>
  <c r="BJ95" i="18"/>
  <c r="BJ93" i="18"/>
  <c r="BJ90" i="18"/>
  <c r="BJ87" i="18"/>
  <c r="BJ84" i="18"/>
  <c r="BJ86" i="18" s="1"/>
  <c r="BJ81" i="18"/>
  <c r="BJ78" i="18"/>
  <c r="BJ48" i="18"/>
  <c r="BO49" i="18" s="1"/>
  <c r="BJ40" i="18"/>
  <c r="BJ31" i="18"/>
  <c r="BJ30" i="18"/>
  <c r="BJ28" i="18"/>
  <c r="BJ22" i="18"/>
  <c r="BO23" i="18" s="1"/>
  <c r="BJ19" i="18"/>
  <c r="BJ21" i="18"/>
  <c r="BJ17" i="18"/>
  <c r="BJ11" i="18"/>
  <c r="BJ10" i="18"/>
  <c r="BK45" i="20" l="1"/>
  <c r="BS36" i="7"/>
  <c r="AR39" i="20"/>
  <c r="BJ143" i="18"/>
  <c r="BO96" i="18"/>
  <c r="BO99" i="18"/>
  <c r="BE17" i="7"/>
  <c r="BJ52" i="18"/>
  <c r="BO53" i="18" s="1"/>
  <c r="BO35" i="18"/>
  <c r="BO32" i="18"/>
  <c r="BJ10" i="7" s="1"/>
  <c r="BE9" i="7"/>
  <c r="BG45" i="20"/>
  <c r="BO36" i="7"/>
  <c r="BJ14" i="18"/>
  <c r="BJ41" i="18"/>
  <c r="BO42" i="18" s="1"/>
  <c r="BJ88" i="18"/>
  <c r="BJ82" i="18"/>
  <c r="BJ150" i="18"/>
  <c r="BJ124" i="18"/>
  <c r="BO125" i="18" s="1"/>
  <c r="BJ130" i="18"/>
  <c r="BJ133" i="18"/>
  <c r="BJ94" i="18"/>
  <c r="BJ135" i="18"/>
  <c r="BJ47" i="18"/>
  <c r="BK101" i="18"/>
  <c r="BF19" i="7" s="1"/>
  <c r="BJ160" i="18"/>
  <c r="BJ50" i="18"/>
  <c r="BJ80" i="18"/>
  <c r="BJ92" i="18"/>
  <c r="BJ26" i="18"/>
  <c r="BJ159" i="18"/>
  <c r="BJ60" i="18"/>
  <c r="AR125" i="20"/>
  <c r="AR126" i="20" s="1"/>
  <c r="BL45" i="20" l="1"/>
  <c r="BX36" i="7"/>
  <c r="BT36" i="7"/>
  <c r="BE25" i="7"/>
  <c r="BJ181" i="18"/>
  <c r="BO151" i="18"/>
  <c r="BO246" i="18"/>
  <c r="BJ14" i="7"/>
  <c r="BO248" i="18"/>
  <c r="BJ22" i="7"/>
  <c r="BO155" i="18"/>
  <c r="BJ30" i="7" s="1"/>
  <c r="BJ54" i="18"/>
  <c r="BO55" i="18" s="1"/>
  <c r="BJ18" i="7"/>
  <c r="BO61" i="18"/>
  <c r="BJ12" i="18"/>
  <c r="BJ63" i="18"/>
  <c r="BO66" i="18" s="1"/>
  <c r="BJ137" i="18"/>
  <c r="BO136" i="18"/>
  <c r="BJ139" i="7"/>
  <c r="BJ164" i="18"/>
  <c r="BJ170" i="18"/>
  <c r="BJ173" i="18"/>
  <c r="BK152" i="18"/>
  <c r="BF27" i="7" s="1"/>
  <c r="BJ178" i="18"/>
  <c r="BJ163" i="18"/>
  <c r="BJ145" i="18"/>
  <c r="BE39" i="7" l="1"/>
  <c r="AR128" i="20"/>
  <c r="BE35" i="7"/>
  <c r="BY36" i="7"/>
  <c r="AR123" i="20"/>
  <c r="AR124" i="20" s="1"/>
  <c r="BE45" i="7"/>
  <c r="BE41" i="7"/>
  <c r="BE47" i="7"/>
  <c r="BK56" i="18"/>
  <c r="BJ62" i="18"/>
  <c r="BJ26" i="7"/>
  <c r="BJ64" i="18"/>
  <c r="BO65" i="18" s="1"/>
  <c r="BJ146" i="18"/>
  <c r="BO147" i="18" s="1"/>
  <c r="BO148" i="18"/>
  <c r="BK139" i="18"/>
  <c r="BO138" i="18"/>
  <c r="BJ144" i="18"/>
  <c r="BE56" i="7" l="1"/>
  <c r="BE49" i="7"/>
  <c r="BJ50" i="7" s="1"/>
  <c r="BJ48" i="7"/>
  <c r="BE68" i="7"/>
  <c r="BE72" i="7" s="1"/>
  <c r="BJ73" i="7" s="1"/>
  <c r="BI177" i="18"/>
  <c r="BI180" i="18"/>
  <c r="BE59" i="7" l="1"/>
  <c r="BE74" i="7"/>
  <c r="BJ75" i="7" s="1"/>
  <c r="BE62" i="7"/>
  <c r="BJ76" i="7"/>
  <c r="BE77" i="7"/>
  <c r="BF51" i="7"/>
  <c r="BE63" i="7" l="1"/>
  <c r="BJ64" i="7" s="1"/>
  <c r="BE80" i="7"/>
  <c r="BE85" i="7" s="1"/>
  <c r="BE90" i="7"/>
  <c r="BE88" i="7" l="1"/>
  <c r="BI25" i="18"/>
  <c r="BH25" i="18"/>
  <c r="BH81" i="18" l="1"/>
  <c r="BF81" i="18"/>
  <c r="BE81" i="18"/>
  <c r="AQ127" i="20" l="1"/>
  <c r="AP127" i="20"/>
  <c r="AN127" i="20"/>
  <c r="AM127" i="20"/>
  <c r="AL127" i="20"/>
  <c r="AK127" i="20"/>
  <c r="AI127" i="20"/>
  <c r="AH127" i="20"/>
  <c r="AG127" i="20"/>
  <c r="AF127" i="20"/>
  <c r="AD127" i="20"/>
  <c r="AC127" i="20"/>
  <c r="AB127" i="20"/>
  <c r="V127" i="20"/>
  <c r="T127" i="20"/>
  <c r="S127" i="20"/>
  <c r="R127" i="20"/>
  <c r="Q127" i="20"/>
  <c r="O127" i="20"/>
  <c r="N127" i="20"/>
  <c r="M127" i="20"/>
  <c r="L127" i="20"/>
  <c r="J127" i="20"/>
  <c r="AQ138" i="20"/>
  <c r="AQ133" i="20"/>
  <c r="AQ135" i="20"/>
  <c r="AR132" i="20" s="1"/>
  <c r="AP134" i="20"/>
  <c r="AP133" i="20"/>
  <c r="AN133" i="20"/>
  <c r="AQ60" i="20"/>
  <c r="BD95" i="7" l="1"/>
  <c r="AR134" i="20"/>
  <c r="AR136" i="20"/>
  <c r="AR137" i="20" s="1"/>
  <c r="AR60" i="20"/>
  <c r="BI48" i="18"/>
  <c r="BN49" i="18" s="1"/>
  <c r="BI95" i="18"/>
  <c r="BD17" i="7" s="1"/>
  <c r="BA90" i="18"/>
  <c r="BI78" i="18"/>
  <c r="BI80" i="18" s="1"/>
  <c r="BI84" i="18"/>
  <c r="BI86" i="18" s="1"/>
  <c r="BI90" i="18"/>
  <c r="BI92" i="18" s="1"/>
  <c r="BH89" i="18"/>
  <c r="BM93" i="18" s="1"/>
  <c r="BC90" i="18"/>
  <c r="BC91" i="18"/>
  <c r="BD91" i="18"/>
  <c r="BE91" i="18"/>
  <c r="BF91" i="18"/>
  <c r="BC93" i="18"/>
  <c r="BD93" i="18"/>
  <c r="BE93" i="18"/>
  <c r="BF93" i="18"/>
  <c r="BD90" i="18"/>
  <c r="BE90" i="18"/>
  <c r="BF90" i="18"/>
  <c r="BE95" i="7" l="1"/>
  <c r="BE96" i="7" s="1"/>
  <c r="BN97" i="18"/>
  <c r="BI20" i="7" s="1"/>
  <c r="BN99" i="18"/>
  <c r="AS60" i="20"/>
  <c r="BL89" i="18"/>
  <c r="BM90" i="18"/>
  <c r="BE92" i="18"/>
  <c r="AR112" i="20"/>
  <c r="BF92" i="18"/>
  <c r="BE94" i="18"/>
  <c r="BF94" i="18"/>
  <c r="BD92" i="18"/>
  <c r="BD94" i="18"/>
  <c r="BC94" i="18"/>
  <c r="BC92" i="18"/>
  <c r="BF95" i="7" l="1"/>
  <c r="BF96" i="7" s="1"/>
  <c r="BN248" i="18"/>
  <c r="BI22" i="7"/>
  <c r="BM92" i="18"/>
  <c r="BM94" i="18"/>
  <c r="BI135" i="18"/>
  <c r="BI131" i="18"/>
  <c r="BI130" i="18"/>
  <c r="BI128" i="18"/>
  <c r="BI127" i="18"/>
  <c r="BI124" i="18"/>
  <c r="BI123" i="18"/>
  <c r="BI107" i="18"/>
  <c r="BI110" i="18" s="1"/>
  <c r="BN111" i="18" s="1"/>
  <c r="BI88" i="18"/>
  <c r="BI44" i="18"/>
  <c r="BI40" i="18"/>
  <c r="BI30" i="18"/>
  <c r="BI22" i="18"/>
  <c r="BN23" i="18" s="1"/>
  <c r="BI19" i="18"/>
  <c r="BI21" i="18"/>
  <c r="BI17" i="18"/>
  <c r="BI11" i="18"/>
  <c r="BF11" i="18"/>
  <c r="BI10" i="18"/>
  <c r="BD10" i="18"/>
  <c r="BI111" i="18" l="1"/>
  <c r="BI133" i="18"/>
  <c r="BN132" i="18"/>
  <c r="BI145" i="18"/>
  <c r="BI137" i="18"/>
  <c r="BJ139" i="18" s="1"/>
  <c r="BH180" i="18" l="1"/>
  <c r="BH177" i="18"/>
  <c r="BH172" i="18"/>
  <c r="BH169" i="18"/>
  <c r="BF179" i="18" l="1"/>
  <c r="BF180" i="18" l="1"/>
  <c r="BK180" i="18"/>
  <c r="BG176" i="18"/>
  <c r="BL177" i="18" s="1"/>
  <c r="BF176" i="18" l="1"/>
  <c r="BK177" i="18" s="1"/>
  <c r="BF177" i="18" l="1"/>
  <c r="AP63" i="20"/>
  <c r="AP56" i="20"/>
  <c r="AQ56" i="20" l="1"/>
  <c r="AP129" i="20"/>
  <c r="AP67" i="20"/>
  <c r="AQ63" i="20"/>
  <c r="AP57" i="20"/>
  <c r="BC93" i="7" l="1"/>
  <c r="AQ57" i="20"/>
  <c r="AQ67" i="20"/>
  <c r="AR63" i="20"/>
  <c r="AR56" i="20"/>
  <c r="AQ129" i="20"/>
  <c r="BC134" i="20"/>
  <c r="BC133" i="20"/>
  <c r="BD88" i="20"/>
  <c r="BD85" i="20"/>
  <c r="BD84" i="20"/>
  <c r="BD83" i="20"/>
  <c r="BD81" i="20"/>
  <c r="BD80" i="20"/>
  <c r="BD79" i="20"/>
  <c r="BD78" i="20"/>
  <c r="BD77" i="20"/>
  <c r="BD76" i="20"/>
  <c r="BD75" i="20"/>
  <c r="BD66" i="20"/>
  <c r="BD65" i="20"/>
  <c r="BD64" i="20"/>
  <c r="BD48" i="20"/>
  <c r="BD47" i="20"/>
  <c r="BD46" i="20"/>
  <c r="BC27" i="20"/>
  <c r="BD27" i="20" s="1"/>
  <c r="BV220" i="18"/>
  <c r="BU219" i="18"/>
  <c r="BU79" i="18" s="1"/>
  <c r="BT219" i="18"/>
  <c r="BS219" i="18"/>
  <c r="BV218" i="18"/>
  <c r="BV217" i="18"/>
  <c r="BT153" i="18"/>
  <c r="BV205" i="18"/>
  <c r="BV204" i="18"/>
  <c r="BV203" i="18"/>
  <c r="BV202" i="18"/>
  <c r="BV201" i="18"/>
  <c r="BV200" i="18"/>
  <c r="BV199" i="18"/>
  <c r="BV198" i="18"/>
  <c r="BV197" i="18"/>
  <c r="BV196" i="18"/>
  <c r="BV195" i="18"/>
  <c r="BV194" i="18"/>
  <c r="BV193" i="18"/>
  <c r="BV212" i="18" l="1"/>
  <c r="BC97" i="7"/>
  <c r="BH94" i="7"/>
  <c r="BD93" i="7"/>
  <c r="AQ69" i="20"/>
  <c r="BS222" i="18"/>
  <c r="BS223" i="18" s="1"/>
  <c r="AS56" i="20"/>
  <c r="AR57" i="20"/>
  <c r="AS63" i="20"/>
  <c r="AR67" i="20"/>
  <c r="BT222" i="18"/>
  <c r="BT223" i="18" s="1"/>
  <c r="BU222" i="18"/>
  <c r="BU223" i="18" s="1"/>
  <c r="BV219" i="18"/>
  <c r="BV221" i="18"/>
  <c r="BR223" i="18"/>
  <c r="BD97" i="7" l="1"/>
  <c r="BI94" i="7"/>
  <c r="BC99" i="7"/>
  <c r="BH98" i="7"/>
  <c r="BE93" i="7"/>
  <c r="BV222" i="18"/>
  <c r="BV223" i="18" s="1"/>
  <c r="BV46" i="18"/>
  <c r="BD99" i="7" l="1"/>
  <c r="BI98" i="7"/>
  <c r="BE97" i="7"/>
  <c r="BE99" i="7" l="1"/>
  <c r="BE100" i="7"/>
  <c r="BQ27" i="18" l="1"/>
  <c r="BY27" i="18"/>
  <c r="CD27" i="18" s="1"/>
  <c r="CD31" i="18" l="1"/>
  <c r="BQ28" i="18"/>
  <c r="BQ14" i="18" s="1"/>
  <c r="AO81" i="20"/>
  <c r="CD47" i="18" l="1"/>
  <c r="BY9" i="7"/>
  <c r="CD45" i="18"/>
  <c r="CD60" i="18"/>
  <c r="CD37" i="18"/>
  <c r="BY11" i="7" s="1"/>
  <c r="AN111" i="20"/>
  <c r="AB117" i="20"/>
  <c r="W118" i="20"/>
  <c r="X118" i="20"/>
  <c r="Y118" i="20"/>
  <c r="AF118" i="20"/>
  <c r="V120" i="20"/>
  <c r="W117" i="20" s="1"/>
  <c r="AP138" i="20"/>
  <c r="AN135" i="20"/>
  <c r="AM135" i="20"/>
  <c r="AL135" i="20"/>
  <c r="BW44" i="18" l="1"/>
  <c r="BX44" i="18"/>
  <c r="BR44" i="18"/>
  <c r="AP14" i="20"/>
  <c r="AP26" i="20"/>
  <c r="AP29" i="20"/>
  <c r="AP36" i="20" s="1"/>
  <c r="AP97" i="20"/>
  <c r="AP112" i="20"/>
  <c r="AP135" i="20" l="1"/>
  <c r="AP21" i="20"/>
  <c r="AP38" i="20" s="1"/>
  <c r="AP96" i="20"/>
  <c r="AP98" i="20" s="1"/>
  <c r="AP69" i="20"/>
  <c r="AO10" i="20"/>
  <c r="AO97" i="20" s="1"/>
  <c r="AP39" i="20" l="1"/>
  <c r="BH110" i="18"/>
  <c r="BM111" i="18" s="1"/>
  <c r="BH131" i="18"/>
  <c r="BM132" i="18" s="1"/>
  <c r="BH127" i="18"/>
  <c r="BH123" i="18"/>
  <c r="BH93" i="18"/>
  <c r="BH87" i="18"/>
  <c r="BH95" i="18"/>
  <c r="BC17" i="7" s="1"/>
  <c r="BH90" i="18"/>
  <c r="BH84" i="18"/>
  <c r="BH86" i="18" s="1"/>
  <c r="BH78" i="18"/>
  <c r="BH48" i="18"/>
  <c r="BM49" i="18" s="1"/>
  <c r="BH44" i="18"/>
  <c r="BH40" i="18"/>
  <c r="BH31" i="18"/>
  <c r="BA31" i="18"/>
  <c r="AV9" i="7" s="1"/>
  <c r="AZ31" i="18"/>
  <c r="AU9" i="7" s="1"/>
  <c r="AY31" i="18"/>
  <c r="AT9" i="7" s="1"/>
  <c r="AX31" i="18"/>
  <c r="AS9" i="7" s="1"/>
  <c r="BC31" i="18"/>
  <c r="BD31" i="18"/>
  <c r="AY9" i="7" s="1"/>
  <c r="BH30" i="18"/>
  <c r="BH28" i="18"/>
  <c r="BH22" i="18"/>
  <c r="BH21" i="18"/>
  <c r="BH19" i="18"/>
  <c r="BH17" i="18"/>
  <c r="BH11" i="18"/>
  <c r="BH10" i="18"/>
  <c r="AP40" i="20" l="1"/>
  <c r="BM35" i="18"/>
  <c r="BC9" i="7"/>
  <c r="BC25" i="7" s="1"/>
  <c r="BH35" i="18"/>
  <c r="AX9" i="7"/>
  <c r="BH111" i="18"/>
  <c r="BH14" i="18"/>
  <c r="BM96" i="18"/>
  <c r="BM99" i="18"/>
  <c r="BH22" i="7" s="1"/>
  <c r="BM97" i="18"/>
  <c r="BH20" i="7" s="1"/>
  <c r="BL22" i="18"/>
  <c r="BM23" i="18"/>
  <c r="BH159" i="18"/>
  <c r="BH160" i="18"/>
  <c r="BH41" i="18"/>
  <c r="BH26" i="18"/>
  <c r="BH150" i="18"/>
  <c r="BH170" i="18" s="1"/>
  <c r="BH133" i="18"/>
  <c r="BH135" i="18"/>
  <c r="BM136" i="18" s="1"/>
  <c r="BH143" i="18"/>
  <c r="BH128" i="18"/>
  <c r="BH130" i="18"/>
  <c r="BH45" i="18"/>
  <c r="BH52" i="18"/>
  <c r="BH47" i="18"/>
  <c r="BH124" i="18"/>
  <c r="BM125" i="18" s="1"/>
  <c r="BH60" i="18"/>
  <c r="BH50" i="18"/>
  <c r="BH88" i="18"/>
  <c r="BH32" i="18"/>
  <c r="BC10" i="7" s="1"/>
  <c r="BH18" i="7" l="1"/>
  <c r="BM100" i="18"/>
  <c r="BQ23" i="18"/>
  <c r="BH246" i="18"/>
  <c r="BC14" i="7"/>
  <c r="BC41" i="7"/>
  <c r="BC96" i="7"/>
  <c r="BC39" i="7"/>
  <c r="BC35" i="7"/>
  <c r="BC45" i="7"/>
  <c r="BC47" i="7"/>
  <c r="BM246" i="18"/>
  <c r="BH14" i="7"/>
  <c r="BM153" i="18"/>
  <c r="BH28" i="7" s="1"/>
  <c r="BH178" i="18"/>
  <c r="BH163" i="18"/>
  <c r="BM248" i="18"/>
  <c r="BH173" i="18"/>
  <c r="BM98" i="18"/>
  <c r="BH21" i="7" s="1"/>
  <c r="BH23" i="7"/>
  <c r="BH181" i="18"/>
  <c r="BH145" i="18"/>
  <c r="BH146" i="18" s="1"/>
  <c r="BM147" i="18" s="1"/>
  <c r="BH164" i="18"/>
  <c r="BH137" i="18"/>
  <c r="BH54" i="18"/>
  <c r="BH63" i="18"/>
  <c r="BH62" i="18" s="1"/>
  <c r="BH36" i="18"/>
  <c r="BC15" i="7" s="1"/>
  <c r="BH34" i="18"/>
  <c r="BC13" i="7" s="1"/>
  <c r="BC68" i="7" l="1"/>
  <c r="BC49" i="7"/>
  <c r="BC56" i="7"/>
  <c r="BI139" i="18"/>
  <c r="BM138" i="18"/>
  <c r="BH144" i="18"/>
  <c r="BM148" i="18"/>
  <c r="AN29" i="20"/>
  <c r="AN36" i="20" s="1"/>
  <c r="AM29" i="20"/>
  <c r="AM36" i="20" s="1"/>
  <c r="AN14" i="20"/>
  <c r="AM14" i="20"/>
  <c r="AN96" i="20"/>
  <c r="AN97" i="20"/>
  <c r="AN112" i="20"/>
  <c r="AN113" i="20"/>
  <c r="AN119" i="20" s="1"/>
  <c r="AN138" i="20"/>
  <c r="AM21" i="20" l="1"/>
  <c r="AM38" i="20" s="1"/>
  <c r="AN21" i="20"/>
  <c r="AN38" i="20" s="1"/>
  <c r="BC59" i="7"/>
  <c r="BC62" i="7"/>
  <c r="BC72" i="7"/>
  <c r="BL29" i="18"/>
  <c r="AN114" i="20"/>
  <c r="AP111" i="20" s="1"/>
  <c r="AN98" i="20"/>
  <c r="AN39" i="20" l="1"/>
  <c r="AM39" i="20"/>
  <c r="BC100" i="7"/>
  <c r="BC77" i="7"/>
  <c r="BC74" i="7"/>
  <c r="BC80" i="7"/>
  <c r="BC63" i="7"/>
  <c r="BY31" i="18"/>
  <c r="BK37" i="18"/>
  <c r="BF11" i="7" s="1"/>
  <c r="BF25" i="18"/>
  <c r="BG24" i="18"/>
  <c r="BL25" i="18" s="1"/>
  <c r="CD33" i="18" l="1"/>
  <c r="BY12" i="7" s="1"/>
  <c r="CD32" i="18"/>
  <c r="AN40" i="20"/>
  <c r="BT9" i="7"/>
  <c r="BC85" i="7"/>
  <c r="BY47" i="18"/>
  <c r="BT31" i="18"/>
  <c r="BT26" i="18" s="1"/>
  <c r="BT150" i="18" l="1"/>
  <c r="CD34" i="18"/>
  <c r="BY13" i="7" s="1"/>
  <c r="BY10" i="7"/>
  <c r="BC88" i="7"/>
  <c r="BC90" i="7"/>
  <c r="BY32" i="18"/>
  <c r="BT10" i="7" s="1"/>
  <c r="BO9" i="7"/>
  <c r="BY33" i="18"/>
  <c r="BT12" i="7" s="1"/>
  <c r="BT152" i="18" l="1"/>
  <c r="BT151" i="18"/>
  <c r="BY34" i="18"/>
  <c r="BT13" i="7" s="1"/>
  <c r="BT154" i="18" l="1"/>
  <c r="BQ205" i="18" l="1"/>
  <c r="BQ204" i="18"/>
  <c r="BQ203" i="18"/>
  <c r="BQ202" i="18"/>
  <c r="BQ201" i="18"/>
  <c r="BQ199" i="18"/>
  <c r="BQ198" i="18"/>
  <c r="BQ197" i="18"/>
  <c r="BQ196" i="18"/>
  <c r="BQ195" i="18"/>
  <c r="BQ194" i="18"/>
  <c r="BQ193" i="18"/>
  <c r="BE199" i="18"/>
  <c r="BL205" i="18"/>
  <c r="BL204" i="18"/>
  <c r="BL203" i="18"/>
  <c r="BL202" i="18"/>
  <c r="BL201" i="18"/>
  <c r="BL200" i="18"/>
  <c r="BL199" i="18"/>
  <c r="BL198" i="18"/>
  <c r="BL197" i="18"/>
  <c r="BL196" i="18"/>
  <c r="BL195" i="18"/>
  <c r="BL194" i="18"/>
  <c r="BL193" i="18"/>
  <c r="BG20" i="18"/>
  <c r="BL21" i="18" s="1"/>
  <c r="BG18" i="18"/>
  <c r="BL19" i="18" s="1"/>
  <c r="BG16" i="18"/>
  <c r="BL17" i="18" s="1"/>
  <c r="BQ212" i="18" l="1"/>
  <c r="BL212" i="18"/>
  <c r="BG9" i="18"/>
  <c r="BL10" i="18" s="1"/>
  <c r="BF10" i="18"/>
  <c r="BF172" i="18" l="1"/>
  <c r="BF169" i="18"/>
  <c r="BF131" i="18"/>
  <c r="BK132" i="18" s="1"/>
  <c r="BF127" i="18"/>
  <c r="BF123" i="18"/>
  <c r="BA110" i="18"/>
  <c r="BB110" i="18" s="1"/>
  <c r="BB109" i="18"/>
  <c r="BB108" i="18"/>
  <c r="BB107" i="18"/>
  <c r="BG108" i="18"/>
  <c r="BG109" i="18"/>
  <c r="BG107" i="18"/>
  <c r="BF110" i="18"/>
  <c r="BK111" i="18" s="1"/>
  <c r="BF95" i="18"/>
  <c r="BA17" i="7" s="1"/>
  <c r="BF87" i="18"/>
  <c r="BF84" i="18"/>
  <c r="BF86" i="18" s="1"/>
  <c r="BF78" i="18"/>
  <c r="BF48" i="18"/>
  <c r="BK49" i="18" s="1"/>
  <c r="BE48" i="18"/>
  <c r="BJ49" i="18" s="1"/>
  <c r="BF44" i="18"/>
  <c r="BF40" i="18"/>
  <c r="BF30" i="18"/>
  <c r="BF28" i="18"/>
  <c r="BF22" i="18"/>
  <c r="BF21" i="18"/>
  <c r="BF19" i="18"/>
  <c r="BF17" i="18"/>
  <c r="BF14" i="18" l="1"/>
  <c r="BK97" i="18"/>
  <c r="BF20" i="7" s="1"/>
  <c r="BK96" i="18"/>
  <c r="BF18" i="7" s="1"/>
  <c r="BK99" i="18"/>
  <c r="BF22" i="7" s="1"/>
  <c r="BK23" i="18"/>
  <c r="BG110" i="18"/>
  <c r="BF111" i="18"/>
  <c r="BF128" i="18"/>
  <c r="BH101" i="18"/>
  <c r="BC19" i="7" s="1"/>
  <c r="BF130" i="18"/>
  <c r="BF143" i="18"/>
  <c r="BF135" i="18"/>
  <c r="BF124" i="18"/>
  <c r="BK125" i="18" s="1"/>
  <c r="BF88" i="18"/>
  <c r="BG111" i="18" l="1"/>
  <c r="BL111" i="18"/>
  <c r="BK248" i="18"/>
  <c r="BK136" i="18"/>
  <c r="BK100" i="18"/>
  <c r="BF23" i="7" s="1"/>
  <c r="BK98" i="18"/>
  <c r="BF21" i="7" s="1"/>
  <c r="BF137" i="18"/>
  <c r="BF145" i="18"/>
  <c r="BH139" i="18" l="1"/>
  <c r="BK138" i="18"/>
  <c r="BF146" i="18"/>
  <c r="BF144" i="18"/>
  <c r="BG59" i="18" l="1"/>
  <c r="BG205" i="18" l="1"/>
  <c r="BG204" i="18"/>
  <c r="BE180" i="18"/>
  <c r="BE177" i="18"/>
  <c r="BM241" i="18" l="1"/>
  <c r="BH241" i="18"/>
  <c r="BI240" i="18" s="1"/>
  <c r="BI241" i="18" s="1"/>
  <c r="BJ240" i="18" s="1"/>
  <c r="BJ241" i="18" l="1"/>
  <c r="BN240" i="18"/>
  <c r="BN241" i="18" s="1"/>
  <c r="BJ239" i="18" a="1"/>
  <c r="BJ239" i="18" l="1"/>
  <c r="BO240" i="18"/>
  <c r="BO241" i="18" s="1"/>
  <c r="BK240" i="18"/>
  <c r="BP240" i="18" l="1"/>
  <c r="BP241" i="18" s="1"/>
  <c r="BK241" i="18"/>
  <c r="BE25" i="18"/>
  <c r="BE110" i="18"/>
  <c r="BJ111" i="18" s="1"/>
  <c r="BE87" i="18"/>
  <c r="BE84" i="18"/>
  <c r="AP10" i="18"/>
  <c r="AO10" i="18"/>
  <c r="AQ10" i="18"/>
  <c r="BK239" i="18" a="1"/>
  <c r="BK239" i="18" l="1"/>
  <c r="BR240" i="18"/>
  <c r="BR241" i="18" s="1"/>
  <c r="BE88" i="18"/>
  <c r="BE86" i="18"/>
  <c r="AL11" i="18"/>
  <c r="AK11" i="18"/>
  <c r="AJ11" i="18"/>
  <c r="AQ11" i="18"/>
  <c r="AP11" i="18"/>
  <c r="AV11" i="18"/>
  <c r="AU11" i="18"/>
  <c r="AT11" i="18"/>
  <c r="AS11" i="18"/>
  <c r="BE11" i="18"/>
  <c r="BD11" i="18"/>
  <c r="BC11" i="18"/>
  <c r="BA11" i="18"/>
  <c r="AX11" i="18"/>
  <c r="AY11" i="18"/>
  <c r="AM9" i="18"/>
  <c r="BE10" i="18"/>
  <c r="BC10" i="18"/>
  <c r="BA10" i="18"/>
  <c r="AZ10" i="18"/>
  <c r="AY10" i="18"/>
  <c r="AX10" i="18"/>
  <c r="AV10" i="18"/>
  <c r="AU10" i="18"/>
  <c r="AT10" i="18"/>
  <c r="AN9" i="18"/>
  <c r="AO11" i="18" s="1"/>
  <c r="AW9" i="18"/>
  <c r="BB9" i="18"/>
  <c r="AZ11" i="18"/>
  <c r="BR242" i="18" a="1"/>
  <c r="BR242" i="18" l="1"/>
  <c r="BS240" i="18"/>
  <c r="AN11" i="18"/>
  <c r="AN10" i="18"/>
  <c r="BB10" i="18"/>
  <c r="BG10" i="18"/>
  <c r="AR9" i="18"/>
  <c r="BS241" i="18" l="1"/>
  <c r="AW10" i="18"/>
  <c r="AR10" i="18"/>
  <c r="BS242" i="18" a="1"/>
  <c r="BS242" i="18" l="1"/>
  <c r="BT240" i="18"/>
  <c r="BE219" i="18"/>
  <c r="BT241" i="18" l="1"/>
  <c r="BE171" i="18"/>
  <c r="BE169" i="18"/>
  <c r="BT242" i="18" a="1"/>
  <c r="BT242" i="18" l="1"/>
  <c r="BU240" i="18"/>
  <c r="BU241" i="18" s="1"/>
  <c r="BW240" i="18" s="1"/>
  <c r="BW241" i="18" s="1"/>
  <c r="BX240" i="18" s="1"/>
  <c r="BX241" i="18" s="1"/>
  <c r="BY240" i="18" s="1"/>
  <c r="BY241" i="18" s="1"/>
  <c r="BZ240" i="18" s="1"/>
  <c r="BZ241" i="18" s="1"/>
  <c r="CB240" i="18" s="1"/>
  <c r="CB241" i="18" s="1"/>
  <c r="CC240" i="18" s="1"/>
  <c r="CC241" i="18" s="1"/>
  <c r="CD240" i="18" s="1"/>
  <c r="CD241" i="18" s="1"/>
  <c r="CE240" i="18" s="1"/>
  <c r="CE241" i="18" s="1"/>
  <c r="BE172" i="18"/>
  <c r="BJ172" i="18"/>
  <c r="AM138" i="20"/>
  <c r="BD180" i="18"/>
  <c r="BD177" i="18"/>
  <c r="AO85" i="20"/>
  <c r="AO66" i="20"/>
  <c r="BE44" i="18"/>
  <c r="BE31" i="18"/>
  <c r="AZ9" i="7" s="1"/>
  <c r="BE30" i="18"/>
  <c r="BE131" i="18"/>
  <c r="BJ132" i="18" s="1"/>
  <c r="BE127" i="18"/>
  <c r="AZ110" i="18"/>
  <c r="BE111" i="18" s="1"/>
  <c r="BE95" i="18"/>
  <c r="AZ17" i="7" s="1"/>
  <c r="BE78" i="18"/>
  <c r="BE28" i="18"/>
  <c r="BE22" i="18"/>
  <c r="BJ23" i="18" s="1"/>
  <c r="BE19" i="18"/>
  <c r="BE21" i="18"/>
  <c r="BE17" i="18"/>
  <c r="BU242" i="18" a="1"/>
  <c r="BU242" i="18" l="1"/>
  <c r="AZ25" i="7"/>
  <c r="AZ47" i="7" s="1"/>
  <c r="BE159" i="18"/>
  <c r="BF101" i="18"/>
  <c r="BA19" i="7" s="1"/>
  <c r="BE160" i="18"/>
  <c r="BJ97" i="18"/>
  <c r="BE20" i="7" s="1"/>
  <c r="BJ96" i="18"/>
  <c r="BE18" i="7" s="1"/>
  <c r="BJ99" i="18"/>
  <c r="BE22" i="7" s="1"/>
  <c r="BE14" i="18"/>
  <c r="AM125" i="20"/>
  <c r="AM126" i="20" s="1"/>
  <c r="AZ86" i="20"/>
  <c r="AO60" i="20"/>
  <c r="AO88" i="20"/>
  <c r="AN134" i="20"/>
  <c r="BE50" i="18"/>
  <c r="BE26" i="18"/>
  <c r="BE82" i="18"/>
  <c r="BE52" i="18"/>
  <c r="BE150" i="18"/>
  <c r="BJ151" i="18" s="1"/>
  <c r="BE26" i="7" s="1"/>
  <c r="BE60" i="18"/>
  <c r="BJ61" i="18" s="1"/>
  <c r="BE41" i="18"/>
  <c r="BJ42" i="18" s="1"/>
  <c r="BE45" i="18"/>
  <c r="BE47" i="18"/>
  <c r="BE133" i="18"/>
  <c r="BE124" i="18"/>
  <c r="BJ125" i="18" s="1"/>
  <c r="BE143" i="18"/>
  <c r="BE80" i="18"/>
  <c r="BE128" i="18"/>
  <c r="BE130" i="18"/>
  <c r="BE135" i="18"/>
  <c r="AZ45" i="7" l="1"/>
  <c r="BB95" i="7"/>
  <c r="AZ35" i="7"/>
  <c r="AZ39" i="7"/>
  <c r="AZ96" i="7"/>
  <c r="AZ41" i="7"/>
  <c r="AZ49" i="7"/>
  <c r="AZ68" i="7"/>
  <c r="AZ72" i="7" s="1"/>
  <c r="AZ56" i="7"/>
  <c r="BE48" i="7"/>
  <c r="BJ98" i="18"/>
  <c r="BE21" i="7" s="1"/>
  <c r="BE63" i="18"/>
  <c r="BJ66" i="18" s="1"/>
  <c r="BE163" i="18"/>
  <c r="BJ53" i="18"/>
  <c r="BJ155" i="18"/>
  <c r="BE30" i="7" s="1"/>
  <c r="BE164" i="18"/>
  <c r="BJ136" i="18"/>
  <c r="BJ248" i="18"/>
  <c r="BE54" i="18"/>
  <c r="BJ55" i="18" s="1"/>
  <c r="BA86" i="20"/>
  <c r="AO76" i="20"/>
  <c r="AN86" i="20"/>
  <c r="AM86" i="20"/>
  <c r="BE12" i="18"/>
  <c r="BE173" i="18"/>
  <c r="BE181" i="18"/>
  <c r="BJ245" i="18" s="1"/>
  <c r="BE178" i="18"/>
  <c r="BE170" i="18"/>
  <c r="BE137" i="18"/>
  <c r="BJ138" i="18" s="1"/>
  <c r="BE145" i="18"/>
  <c r="BJ148" i="18" s="1"/>
  <c r="AZ59" i="7" l="1"/>
  <c r="AZ62" i="7"/>
  <c r="AZ74" i="7"/>
  <c r="AZ77" i="7"/>
  <c r="BE76" i="7"/>
  <c r="BE73" i="7"/>
  <c r="BE50" i="7"/>
  <c r="BE64" i="18"/>
  <c r="BJ65" i="18" s="1"/>
  <c r="BE62" i="18"/>
  <c r="BJ249" i="18"/>
  <c r="BJ247" i="18"/>
  <c r="BC82" i="20"/>
  <c r="BB86" i="20"/>
  <c r="BF139" i="18"/>
  <c r="BE146" i="18"/>
  <c r="BJ147" i="18" s="1"/>
  <c r="BE144" i="18"/>
  <c r="BE82" i="20" l="1"/>
  <c r="BE75" i="7"/>
  <c r="AZ63" i="7"/>
  <c r="AZ80" i="7"/>
  <c r="AZ85" i="7" s="1"/>
  <c r="BD82" i="20"/>
  <c r="BC86" i="20"/>
  <c r="BD25" i="18"/>
  <c r="BC25" i="18"/>
  <c r="BE86" i="20" l="1"/>
  <c r="BF82" i="20"/>
  <c r="BF86" i="20" s="1"/>
  <c r="AZ90" i="7"/>
  <c r="AZ88" i="7"/>
  <c r="BE86" i="7"/>
  <c r="BE64" i="7"/>
  <c r="BD86" i="20"/>
  <c r="AX86" i="20"/>
  <c r="AV86" i="20"/>
  <c r="AU86" i="20"/>
  <c r="AY27" i="20"/>
  <c r="BO221" i="18"/>
  <c r="BN221" i="18"/>
  <c r="BM221" i="18"/>
  <c r="BQ220" i="18"/>
  <c r="BP219" i="18"/>
  <c r="BO219" i="18"/>
  <c r="BN219" i="18"/>
  <c r="BM219" i="18"/>
  <c r="BQ218" i="18"/>
  <c r="BQ217" i="18"/>
  <c r="BP216" i="18"/>
  <c r="BP33" i="18" s="1"/>
  <c r="BO216" i="18"/>
  <c r="BO33" i="18" s="1"/>
  <c r="BJ12" i="7" s="1"/>
  <c r="BN216" i="18"/>
  <c r="BM216" i="18"/>
  <c r="BG82" i="20" l="1"/>
  <c r="BG86" i="20" s="1"/>
  <c r="BP79" i="18"/>
  <c r="BP80" i="18" s="1"/>
  <c r="BP222" i="18"/>
  <c r="BP223" i="18" s="1"/>
  <c r="BP224" i="18" s="1"/>
  <c r="BK12" i="7"/>
  <c r="BE89" i="7"/>
  <c r="BH82" i="20"/>
  <c r="AY86" i="20"/>
  <c r="BO222" i="18"/>
  <c r="BO223" i="18" s="1"/>
  <c r="BN222" i="18"/>
  <c r="BN223" i="18" s="1"/>
  <c r="BQ219" i="18"/>
  <c r="BQ216" i="18"/>
  <c r="BQ221" i="18"/>
  <c r="BM222" i="18"/>
  <c r="BP82" i="18" l="1"/>
  <c r="BJ82" i="20"/>
  <c r="BI82" i="20"/>
  <c r="BI86" i="20"/>
  <c r="BH86" i="20"/>
  <c r="BQ222" i="18"/>
  <c r="BQ223" i="18" s="1"/>
  <c r="BM223" i="18"/>
  <c r="BJ86" i="20" l="1"/>
  <c r="BK82" i="20"/>
  <c r="BF221" i="18"/>
  <c r="BK219" i="18"/>
  <c r="BJ219" i="18"/>
  <c r="BI219" i="18"/>
  <c r="BH219" i="18"/>
  <c r="BF219" i="18"/>
  <c r="BD219" i="18"/>
  <c r="BC219" i="18"/>
  <c r="BH221" i="18"/>
  <c r="BC221" i="18"/>
  <c r="BD87" i="18"/>
  <c r="BC87" i="18"/>
  <c r="BD84" i="18"/>
  <c r="BD86" i="18" s="1"/>
  <c r="BC84" i="18"/>
  <c r="BC81" i="18"/>
  <c r="BD81" i="18"/>
  <c r="BC79" i="18"/>
  <c r="BL82" i="20" l="1"/>
  <c r="BK86" i="20"/>
  <c r="BI82" i="18"/>
  <c r="BH80" i="18"/>
  <c r="BH82" i="18"/>
  <c r="BH94" i="18"/>
  <c r="BH92" i="18"/>
  <c r="BF82" i="18"/>
  <c r="BF80" i="18"/>
  <c r="BC88" i="18"/>
  <c r="BD88" i="18"/>
  <c r="BG129" i="18"/>
  <c r="BG126" i="18"/>
  <c r="BC86" i="18"/>
  <c r="BL86" i="20" l="1"/>
  <c r="BM82" i="20"/>
  <c r="BY44" i="18"/>
  <c r="BY45" i="18"/>
  <c r="BD171" i="18"/>
  <c r="BI172" i="18" s="1"/>
  <c r="AL29" i="20"/>
  <c r="AL36" i="20" s="1"/>
  <c r="AL14" i="20"/>
  <c r="BN82" i="20" l="1"/>
  <c r="BN86" i="20" s="1"/>
  <c r="BM86" i="20"/>
  <c r="AL21" i="20"/>
  <c r="AL38" i="20" s="1"/>
  <c r="BZ44" i="18"/>
  <c r="CA43" i="18"/>
  <c r="CF44" i="18" s="1"/>
  <c r="BL43" i="18"/>
  <c r="BU44" i="18"/>
  <c r="BD172" i="18"/>
  <c r="BG171" i="18"/>
  <c r="BL172" i="18" s="1"/>
  <c r="BJ44" i="18"/>
  <c r="BL129" i="18"/>
  <c r="BD131" i="18"/>
  <c r="BI132" i="18" s="1"/>
  <c r="BD127" i="18"/>
  <c r="BD95" i="18"/>
  <c r="AY17" i="7" s="1"/>
  <c r="AY25" i="7" s="1"/>
  <c r="BD78" i="18"/>
  <c r="BD48" i="18"/>
  <c r="BI49" i="18" s="1"/>
  <c r="BD44" i="18"/>
  <c r="BD30" i="18"/>
  <c r="BD28" i="18"/>
  <c r="BD22" i="18"/>
  <c r="BD17" i="18"/>
  <c r="BD19" i="18"/>
  <c r="BD21" i="18"/>
  <c r="BD14" i="18" l="1"/>
  <c r="CA44" i="18"/>
  <c r="AY96" i="7"/>
  <c r="AY41" i="7"/>
  <c r="AY35" i="7"/>
  <c r="AY39" i="7"/>
  <c r="AY45" i="7"/>
  <c r="AY47" i="7"/>
  <c r="BD160" i="18"/>
  <c r="BD159" i="18"/>
  <c r="BI99" i="18"/>
  <c r="BD22" i="7" s="1"/>
  <c r="BI97" i="18"/>
  <c r="BD20" i="7" s="1"/>
  <c r="BI96" i="18"/>
  <c r="BD18" i="7" s="1"/>
  <c r="BI23" i="18"/>
  <c r="BQ129" i="18"/>
  <c r="BD130" i="18"/>
  <c r="BE101" i="18"/>
  <c r="AZ19" i="7" s="1"/>
  <c r="BE37" i="18"/>
  <c r="AZ11" i="7" s="1"/>
  <c r="BD133" i="18"/>
  <c r="BD80" i="18"/>
  <c r="BD82" i="18"/>
  <c r="BL126" i="18"/>
  <c r="BL127" i="18" s="1"/>
  <c r="BJ127" i="18"/>
  <c r="BD124" i="18"/>
  <c r="BI125" i="18" s="1"/>
  <c r="BD135" i="18"/>
  <c r="BD128" i="18"/>
  <c r="AY68" i="7" l="1"/>
  <c r="AY72" i="7" s="1"/>
  <c r="AY49" i="7"/>
  <c r="AY56" i="7"/>
  <c r="BI136" i="18"/>
  <c r="BI98" i="18"/>
  <c r="BD21" i="7" s="1"/>
  <c r="BI100" i="18"/>
  <c r="BD23" i="7" s="1"/>
  <c r="BD45" i="18"/>
  <c r="BD26" i="18"/>
  <c r="BD50" i="18"/>
  <c r="BD52" i="18"/>
  <c r="BD163" i="18" s="1"/>
  <c r="BD41" i="18"/>
  <c r="BD47" i="18"/>
  <c r="BD137" i="18"/>
  <c r="BI138" i="18" s="1"/>
  <c r="AY59" i="7" l="1"/>
  <c r="AY62" i="7"/>
  <c r="AZ51" i="7"/>
  <c r="AY77" i="7"/>
  <c r="AY74" i="7"/>
  <c r="BD164" i="18"/>
  <c r="BD54" i="18"/>
  <c r="BE139" i="18"/>
  <c r="BD60" i="18"/>
  <c r="AY80" i="7" l="1"/>
  <c r="AY85" i="7" s="1"/>
  <c r="AY63" i="7"/>
  <c r="BE56" i="18"/>
  <c r="BD12" i="18"/>
  <c r="BC246" i="18"/>
  <c r="AV248" i="18"/>
  <c r="AT248" i="18"/>
  <c r="AS248" i="18"/>
  <c r="AV246" i="18"/>
  <c r="AU246" i="18"/>
  <c r="AT246" i="18"/>
  <c r="AS246" i="18"/>
  <c r="AY90" i="7" l="1"/>
  <c r="AY88" i="7"/>
  <c r="BQ46" i="18"/>
  <c r="BP44" i="18"/>
  <c r="BQ43" i="18"/>
  <c r="BV44" i="18" s="1"/>
  <c r="AN241" i="18"/>
  <c r="AO240" i="18" s="1"/>
  <c r="AO241" i="18" s="1"/>
  <c r="AP240" i="18" s="1"/>
  <c r="AP241" i="18" s="1"/>
  <c r="AQ240" i="18" s="1"/>
  <c r="AQ241" i="18" s="1"/>
  <c r="BA25" i="18" l="1"/>
  <c r="AZ25" i="18"/>
  <c r="AY25" i="18"/>
  <c r="AX25" i="18"/>
  <c r="AV25" i="18"/>
  <c r="AU25" i="18"/>
  <c r="AT25" i="18"/>
  <c r="AS25" i="18"/>
  <c r="AO25" i="18"/>
  <c r="AP25" i="18"/>
  <c r="AQ25" i="18"/>
  <c r="AN25" i="18"/>
  <c r="AM24" i="18"/>
  <c r="AR24" i="18"/>
  <c r="BB24" i="18"/>
  <c r="BG25" i="18" s="1"/>
  <c r="AW24" i="18"/>
  <c r="BB25" i="18" l="1"/>
  <c r="AW25" i="18"/>
  <c r="AR25" i="18"/>
  <c r="AM25" i="18"/>
  <c r="AK86" i="20" l="1"/>
  <c r="AK129" i="20"/>
  <c r="AK29" i="20"/>
  <c r="AK14" i="20"/>
  <c r="AK21" i="20" l="1"/>
  <c r="AK57" i="20"/>
  <c r="AK67" i="20"/>
  <c r="AK118" i="20"/>
  <c r="BB89" i="18"/>
  <c r="AZ90" i="18"/>
  <c r="AY90" i="18"/>
  <c r="AX90" i="18"/>
  <c r="BB83" i="18"/>
  <c r="BB77" i="18"/>
  <c r="BA84" i="18"/>
  <c r="AZ84" i="18"/>
  <c r="AY84" i="18"/>
  <c r="AX84" i="18"/>
  <c r="AY78" i="18"/>
  <c r="AZ78" i="18"/>
  <c r="BA78" i="18"/>
  <c r="AX78" i="18"/>
  <c r="AW89" i="18"/>
  <c r="AW83" i="18"/>
  <c r="AW77" i="18"/>
  <c r="AX93" i="7" l="1"/>
  <c r="AO56" i="20"/>
  <c r="AL129" i="20"/>
  <c r="BG81" i="18"/>
  <c r="BG93" i="18"/>
  <c r="BG91" i="18"/>
  <c r="BG92" i="18"/>
  <c r="BG94" i="18"/>
  <c r="AL118" i="20"/>
  <c r="BG79" i="18"/>
  <c r="BG88" i="18"/>
  <c r="BG85" i="18"/>
  <c r="BB84" i="18"/>
  <c r="BB78" i="18"/>
  <c r="BB90" i="18"/>
  <c r="AX97" i="7" l="1"/>
  <c r="BC94" i="7"/>
  <c r="AM57" i="20"/>
  <c r="AM129" i="20"/>
  <c r="AM118" i="20"/>
  <c r="AM67" i="20"/>
  <c r="BG27" i="18"/>
  <c r="AK138" i="20"/>
  <c r="BK216" i="18"/>
  <c r="BK221" i="18"/>
  <c r="BK222" i="18" s="1"/>
  <c r="BL220" i="18"/>
  <c r="BL218" i="18"/>
  <c r="BL217" i="18"/>
  <c r="BJ221" i="18"/>
  <c r="BI221" i="18"/>
  <c r="BG220" i="18"/>
  <c r="BD217" i="18"/>
  <c r="BC222" i="18"/>
  <c r="BC180" i="18"/>
  <c r="BC177" i="18"/>
  <c r="AM69" i="20" l="1"/>
  <c r="AZ93" i="7"/>
  <c r="AM89" i="20"/>
  <c r="AX99" i="7"/>
  <c r="BC98" i="7"/>
  <c r="BI94" i="18"/>
  <c r="AN118" i="20"/>
  <c r="AN67" i="20"/>
  <c r="BJ222" i="18"/>
  <c r="BK223" i="18"/>
  <c r="BF222" i="18"/>
  <c r="BG219" i="18"/>
  <c r="BH222" i="18"/>
  <c r="BI222" i="18"/>
  <c r="BL221" i="18"/>
  <c r="BL219" i="18"/>
  <c r="BF31" i="18"/>
  <c r="BA9" i="7" s="1"/>
  <c r="BA25" i="7" s="1"/>
  <c r="AK31" i="20"/>
  <c r="AZ97" i="7" l="1"/>
  <c r="BE94" i="7"/>
  <c r="BA41" i="7"/>
  <c r="BA96" i="7"/>
  <c r="BA35" i="7"/>
  <c r="BA39" i="7"/>
  <c r="BA45" i="7"/>
  <c r="BA47" i="7"/>
  <c r="BC141" i="7"/>
  <c r="AX135" i="7"/>
  <c r="BK35" i="18"/>
  <c r="BF14" i="7" s="1"/>
  <c r="BK32" i="18"/>
  <c r="BF10" i="7" s="1"/>
  <c r="BF159" i="18"/>
  <c r="BF160" i="18"/>
  <c r="BK33" i="18"/>
  <c r="BF12" i="7" s="1"/>
  <c r="AK36" i="20"/>
  <c r="AK38" i="20" s="1"/>
  <c r="AK135" i="20"/>
  <c r="BH37" i="18"/>
  <c r="BC11" i="7" s="1"/>
  <c r="BF26" i="18"/>
  <c r="BF47" i="18"/>
  <c r="BF52" i="18"/>
  <c r="BF45" i="18"/>
  <c r="BF60" i="18"/>
  <c r="BK61" i="18" s="1"/>
  <c r="BF41" i="18"/>
  <c r="BK42" i="18" s="1"/>
  <c r="BF50" i="18"/>
  <c r="BF150" i="18"/>
  <c r="BK151" i="18" s="1"/>
  <c r="BF26" i="7" s="1"/>
  <c r="BF37" i="18"/>
  <c r="BA11" i="7" s="1"/>
  <c r="BG29" i="18"/>
  <c r="BL222" i="18"/>
  <c r="AJ86" i="20"/>
  <c r="AJ66" i="20"/>
  <c r="AJ63" i="20"/>
  <c r="AJ56" i="20"/>
  <c r="AJ53" i="20"/>
  <c r="AI14" i="20"/>
  <c r="BC169" i="18"/>
  <c r="BC172" i="18"/>
  <c r="BC131" i="18"/>
  <c r="BH132" i="18" s="1"/>
  <c r="BC127" i="18"/>
  <c r="BC78" i="18"/>
  <c r="BC95" i="18"/>
  <c r="AX17" i="7" s="1"/>
  <c r="AX25" i="7" s="1"/>
  <c r="BC44" i="18"/>
  <c r="BC22" i="18"/>
  <c r="BH23" i="18" s="1"/>
  <c r="BC21" i="18"/>
  <c r="BC19" i="18"/>
  <c r="BC17" i="18"/>
  <c r="BC30" i="18"/>
  <c r="BC28" i="18"/>
  <c r="AZ99" i="7" l="1"/>
  <c r="BE98" i="7"/>
  <c r="AZ100" i="7"/>
  <c r="AI21" i="20"/>
  <c r="AK39" i="20"/>
  <c r="BA141" i="7"/>
  <c r="BA68" i="7"/>
  <c r="BA72" i="7" s="1"/>
  <c r="BA49" i="7"/>
  <c r="BA56" i="7"/>
  <c r="BF48" i="7"/>
  <c r="AX39" i="7"/>
  <c r="AX41" i="7"/>
  <c r="AX96" i="7"/>
  <c r="AX35" i="7"/>
  <c r="AX47" i="7"/>
  <c r="AX45" i="7"/>
  <c r="AV135" i="7"/>
  <c r="AJ129" i="20"/>
  <c r="BC14" i="18"/>
  <c r="BK246" i="18"/>
  <c r="BK153" i="18"/>
  <c r="BF28" i="7" s="1"/>
  <c r="BK155" i="18"/>
  <c r="BF30" i="7" s="1"/>
  <c r="BK53" i="18"/>
  <c r="BF163" i="18"/>
  <c r="BF164" i="18"/>
  <c r="BC160" i="18"/>
  <c r="BC159" i="18"/>
  <c r="BF181" i="18"/>
  <c r="BK245" i="18" s="1"/>
  <c r="BF178" i="18"/>
  <c r="BF170" i="18"/>
  <c r="BF173" i="18"/>
  <c r="BF152" i="18"/>
  <c r="BA27" i="7" s="1"/>
  <c r="BF12" i="18"/>
  <c r="BG22" i="18"/>
  <c r="BL23" i="18" s="1"/>
  <c r="BF63" i="18"/>
  <c r="BK66" i="18" s="1"/>
  <c r="BF54" i="18"/>
  <c r="BC143" i="18"/>
  <c r="BH97" i="18"/>
  <c r="BC20" i="7" s="1"/>
  <c r="AJ67" i="20"/>
  <c r="BC82" i="18"/>
  <c r="BG82" i="18" s="1"/>
  <c r="BC80" i="18"/>
  <c r="AJ57" i="20"/>
  <c r="BC135" i="18"/>
  <c r="BC128" i="18"/>
  <c r="BC130" i="18"/>
  <c r="BC133" i="18"/>
  <c r="BC48" i="18"/>
  <c r="BH49" i="18" s="1"/>
  <c r="AW93" i="7" l="1"/>
  <c r="BA62" i="7"/>
  <c r="BA59" i="7"/>
  <c r="AX68" i="7"/>
  <c r="AX56" i="7"/>
  <c r="AX49" i="7"/>
  <c r="BC48" i="7"/>
  <c r="BF50" i="7"/>
  <c r="BA51" i="7"/>
  <c r="BC51" i="7"/>
  <c r="BA77" i="7"/>
  <c r="BA74" i="7"/>
  <c r="BF73" i="7"/>
  <c r="BF76" i="7"/>
  <c r="BC142" i="7"/>
  <c r="AX138" i="7"/>
  <c r="BK156" i="18"/>
  <c r="BF31" i="7" s="1"/>
  <c r="BK154" i="18"/>
  <c r="BF29" i="7" s="1"/>
  <c r="BH56" i="18"/>
  <c r="BK55" i="18"/>
  <c r="BK247" i="18"/>
  <c r="BK249" i="18"/>
  <c r="BF62" i="18"/>
  <c r="BC137" i="18"/>
  <c r="BH138" i="18" s="1"/>
  <c r="BH136" i="18"/>
  <c r="BC26" i="18"/>
  <c r="BC60" i="18"/>
  <c r="BF56" i="18"/>
  <c r="BF64" i="18"/>
  <c r="BK65" i="18" s="1"/>
  <c r="BC47" i="18"/>
  <c r="BC45" i="18"/>
  <c r="BC52" i="18"/>
  <c r="BC163" i="18" s="1"/>
  <c r="BC41" i="18"/>
  <c r="BH42" i="18" s="1"/>
  <c r="BC145" i="18"/>
  <c r="BC50" i="18"/>
  <c r="AW97" i="7" l="1"/>
  <c r="BF75" i="7"/>
  <c r="BC50" i="7"/>
  <c r="AY51" i="7"/>
  <c r="BC143" i="7"/>
  <c r="AX62" i="7"/>
  <c r="AX59" i="7"/>
  <c r="BB56" i="7"/>
  <c r="AX72" i="7"/>
  <c r="BB68" i="7"/>
  <c r="BA63" i="7"/>
  <c r="BA80" i="7"/>
  <c r="BA85" i="7" s="1"/>
  <c r="BC164" i="18"/>
  <c r="BH61" i="18"/>
  <c r="BC54" i="18"/>
  <c r="BH55" i="18" s="1"/>
  <c r="BH53" i="18"/>
  <c r="BC12" i="18"/>
  <c r="BC63" i="18"/>
  <c r="BC144" i="18"/>
  <c r="BC146" i="18"/>
  <c r="AW99" i="7" l="1"/>
  <c r="BB59" i="7"/>
  <c r="BA88" i="7"/>
  <c r="BF86" i="7"/>
  <c r="BC146" i="7"/>
  <c r="BA142" i="7"/>
  <c r="AX74" i="7"/>
  <c r="AX100" i="7"/>
  <c r="AX77" i="7"/>
  <c r="BB72" i="7"/>
  <c r="BC76" i="7"/>
  <c r="BC73" i="7"/>
  <c r="AV138" i="7"/>
  <c r="BF64" i="7"/>
  <c r="BA90" i="7"/>
  <c r="AX63" i="7"/>
  <c r="BB62" i="7"/>
  <c r="AX80" i="7"/>
  <c r="BH66" i="18"/>
  <c r="BC62" i="18"/>
  <c r="BC64" i="18"/>
  <c r="AO103" i="20" l="1"/>
  <c r="BF89" i="7"/>
  <c r="AX136" i="7"/>
  <c r="BB63" i="7"/>
  <c r="BC64" i="7"/>
  <c r="BA143" i="7"/>
  <c r="BB77" i="7"/>
  <c r="BB80" i="7"/>
  <c r="AX85" i="7"/>
  <c r="BC75" i="7"/>
  <c r="AX137" i="7"/>
  <c r="BA146" i="7" l="1"/>
  <c r="BB146" i="7" s="1"/>
  <c r="AX88" i="7"/>
  <c r="BB85" i="7"/>
  <c r="BC86" i="7"/>
  <c r="AX90" i="7"/>
  <c r="AV137" i="7" s="1"/>
  <c r="AY248" i="18"/>
  <c r="AZ248" i="18"/>
  <c r="BA248" i="18"/>
  <c r="AX248" i="18"/>
  <c r="AY246" i="18"/>
  <c r="AZ246" i="18"/>
  <c r="BA246" i="18"/>
  <c r="AX246" i="18"/>
  <c r="BD199" i="18"/>
  <c r="BD212" i="18" s="1"/>
  <c r="BF218" i="18"/>
  <c r="AJ27" i="20"/>
  <c r="AO27" i="20"/>
  <c r="AI138" i="20"/>
  <c r="BG201" i="18"/>
  <c r="BJ216" i="18"/>
  <c r="BJ33" i="18" s="1"/>
  <c r="BE12" i="7" s="1"/>
  <c r="BI216" i="18"/>
  <c r="BH216" i="18"/>
  <c r="BH223" i="18" s="1"/>
  <c r="BD216" i="18"/>
  <c r="BE216" i="18"/>
  <c r="BF216" i="18"/>
  <c r="BE217" i="18"/>
  <c r="BF217" i="18"/>
  <c r="BC218" i="18"/>
  <c r="BC217" i="18"/>
  <c r="BC216" i="18"/>
  <c r="BG202" i="18"/>
  <c r="BG200" i="18"/>
  <c r="BG198" i="18"/>
  <c r="BG197" i="18"/>
  <c r="BG196" i="18"/>
  <c r="BG195" i="18"/>
  <c r="BG194" i="18"/>
  <c r="BG193" i="18"/>
  <c r="AY212" i="18"/>
  <c r="BC212" i="18"/>
  <c r="BF212" i="18"/>
  <c r="AX212" i="18"/>
  <c r="BA223" i="18"/>
  <c r="BB202" i="18"/>
  <c r="BB201" i="18"/>
  <c r="BB200" i="18"/>
  <c r="BB198" i="18"/>
  <c r="BB197" i="18"/>
  <c r="BB194" i="18"/>
  <c r="BB193" i="18"/>
  <c r="BB216" i="18"/>
  <c r="AY217" i="18"/>
  <c r="AZ217" i="18"/>
  <c r="AY218" i="18"/>
  <c r="AX218" i="18"/>
  <c r="AX217" i="18"/>
  <c r="BB88" i="7" l="1"/>
  <c r="BB90" i="7"/>
  <c r="BC89" i="7"/>
  <c r="AV136" i="7"/>
  <c r="BJ153" i="18"/>
  <c r="BE28" i="7" s="1"/>
  <c r="AY222" i="18"/>
  <c r="AY223" i="18" s="1"/>
  <c r="BD221" i="18"/>
  <c r="BD222" i="18" s="1"/>
  <c r="BD223" i="18" s="1"/>
  <c r="BJ223" i="18"/>
  <c r="BD218" i="18"/>
  <c r="AX222" i="18"/>
  <c r="AX223" i="18" s="1"/>
  <c r="BI223" i="18"/>
  <c r="BL216" i="18"/>
  <c r="BL223" i="18" s="1"/>
  <c r="BG216" i="18"/>
  <c r="BF223" i="18"/>
  <c r="BG217" i="18"/>
  <c r="BC223" i="18"/>
  <c r="BJ156" i="18" l="1"/>
  <c r="BE31" i="7" s="1"/>
  <c r="BJ154" i="18"/>
  <c r="BE29" i="7" s="1"/>
  <c r="BB179" i="18"/>
  <c r="BG180" i="18" s="1"/>
  <c r="BB176" i="18"/>
  <c r="BG177" i="18" s="1"/>
  <c r="BA180" i="18"/>
  <c r="BA177" i="18"/>
  <c r="BB171" i="18"/>
  <c r="BG172" i="18" s="1"/>
  <c r="BB168" i="18"/>
  <c r="BA172" i="18"/>
  <c r="BA169" i="18"/>
  <c r="BA131" i="18"/>
  <c r="BF132" i="18" s="1"/>
  <c r="BA127" i="18"/>
  <c r="BA95" i="18"/>
  <c r="AV17" i="7" s="1"/>
  <c r="AV25" i="7" s="1"/>
  <c r="BA73" i="18"/>
  <c r="BB72" i="18"/>
  <c r="BB70" i="18"/>
  <c r="BA71" i="18"/>
  <c r="BA48" i="18"/>
  <c r="BF49" i="18" s="1"/>
  <c r="BA30" i="18"/>
  <c r="BA28" i="18"/>
  <c r="BA14" i="18" s="1"/>
  <c r="BB20" i="18"/>
  <c r="BG21" i="18" s="1"/>
  <c r="BB18" i="18"/>
  <c r="BG19" i="18" s="1"/>
  <c r="BB16" i="18"/>
  <c r="BG17" i="18" s="1"/>
  <c r="BA22" i="18"/>
  <c r="BA21" i="18"/>
  <c r="BA19" i="18"/>
  <c r="BA17" i="18"/>
  <c r="AH14" i="20"/>
  <c r="AH21" i="20" l="1"/>
  <c r="AU135" i="7"/>
  <c r="AV35" i="7"/>
  <c r="AV39" i="7"/>
  <c r="AV96" i="7"/>
  <c r="AV41" i="7"/>
  <c r="AV47" i="7"/>
  <c r="AV45" i="7"/>
  <c r="AZ141" i="7"/>
  <c r="BA160" i="18"/>
  <c r="BA159" i="18"/>
  <c r="BF99" i="18"/>
  <c r="BF97" i="18"/>
  <c r="BA20" i="7" s="1"/>
  <c r="BF23" i="18"/>
  <c r="BC101" i="18"/>
  <c r="AX19" i="7" s="1"/>
  <c r="BC37" i="18"/>
  <c r="AX11" i="7" s="1"/>
  <c r="BA143" i="18"/>
  <c r="BA128" i="18"/>
  <c r="BA133" i="18"/>
  <c r="BA124" i="18"/>
  <c r="BF125" i="18" s="1"/>
  <c r="BA135" i="18"/>
  <c r="BA130" i="18"/>
  <c r="BA47" i="18"/>
  <c r="BF248" i="18" l="1"/>
  <c r="BA22" i="7"/>
  <c r="AV56" i="7"/>
  <c r="AV49" i="7"/>
  <c r="AV68" i="7"/>
  <c r="AV72" i="7" s="1"/>
  <c r="BA48" i="7"/>
  <c r="BF136" i="18"/>
  <c r="BF35" i="18"/>
  <c r="BA14" i="7" s="1"/>
  <c r="BA52" i="18"/>
  <c r="BA163" i="18" s="1"/>
  <c r="BA26" i="18"/>
  <c r="BF32" i="18"/>
  <c r="BA45" i="18"/>
  <c r="BA137" i="18"/>
  <c r="BA145" i="18"/>
  <c r="BA50" i="7" l="1"/>
  <c r="AX51" i="7"/>
  <c r="AV77" i="7"/>
  <c r="AV74" i="7"/>
  <c r="AU138" i="7"/>
  <c r="BA76" i="7"/>
  <c r="BA73" i="7"/>
  <c r="AZ142" i="7"/>
  <c r="BF34" i="18"/>
  <c r="BA13" i="7" s="1"/>
  <c r="BA10" i="7"/>
  <c r="AV59" i="7"/>
  <c r="AV62" i="7"/>
  <c r="BA164" i="18"/>
  <c r="BA54" i="18"/>
  <c r="BF53" i="18"/>
  <c r="BA144" i="18"/>
  <c r="BF148" i="18"/>
  <c r="BC139" i="18"/>
  <c r="BF138" i="18"/>
  <c r="BA146" i="18"/>
  <c r="BF147" i="18" s="1"/>
  <c r="AZ143" i="7" l="1"/>
  <c r="BA75" i="7"/>
  <c r="AV80" i="7"/>
  <c r="AV85" i="7" s="1"/>
  <c r="AV63" i="7"/>
  <c r="BC56" i="18"/>
  <c r="BF55" i="18"/>
  <c r="AH138" i="20"/>
  <c r="AV90" i="7" l="1"/>
  <c r="AU137" i="7" s="1"/>
  <c r="BA64" i="7"/>
  <c r="AV88" i="7"/>
  <c r="BA86" i="7"/>
  <c r="AZ146" i="7"/>
  <c r="BA196" i="18"/>
  <c r="AZ195" i="18"/>
  <c r="AU136" i="7" l="1"/>
  <c r="BA89" i="7"/>
  <c r="BB196" i="18"/>
  <c r="BA217" i="18"/>
  <c r="BB217" i="18" s="1"/>
  <c r="BA195" i="18"/>
  <c r="BB195" i="18" s="1"/>
  <c r="AZ199" i="18"/>
  <c r="BB199" i="18" l="1"/>
  <c r="BB212" i="18" s="1"/>
  <c r="BA212" i="18"/>
  <c r="BA218" i="18"/>
  <c r="AZ218" i="18"/>
  <c r="AZ212" i="18"/>
  <c r="BE212" i="18" l="1"/>
  <c r="BE221" i="18"/>
  <c r="BE222" i="18" s="1"/>
  <c r="BE223" i="18" s="1"/>
  <c r="AZ222" i="18"/>
  <c r="AZ223" i="18" s="1"/>
  <c r="BB218" i="18"/>
  <c r="BB222" i="18" s="1"/>
  <c r="BB223" i="18" s="1"/>
  <c r="AZ30" i="18"/>
  <c r="AE86" i="20" l="1"/>
  <c r="AE63" i="20"/>
  <c r="AH118" i="20" l="1"/>
  <c r="AG118" i="20"/>
  <c r="AG67" i="20"/>
  <c r="AI118" i="20" l="1"/>
  <c r="AH86" i="20"/>
  <c r="AF57" i="20"/>
  <c r="AG14" i="20"/>
  <c r="AF14" i="20"/>
  <c r="AD14" i="20"/>
  <c r="AF21" i="20" l="1"/>
  <c r="AG21" i="20"/>
  <c r="AS93" i="7"/>
  <c r="AD21" i="20"/>
  <c r="AG129" i="20"/>
  <c r="AS97" i="7" l="1"/>
  <c r="AX94" i="7"/>
  <c r="AI129" i="20"/>
  <c r="AH129" i="20"/>
  <c r="AH57" i="20"/>
  <c r="BG221" i="18"/>
  <c r="BG222" i="18" s="1"/>
  <c r="BG223" i="18" s="1"/>
  <c r="BE218" i="18"/>
  <c r="BG199" i="18"/>
  <c r="BG212" i="18" s="1"/>
  <c r="BB27" i="18"/>
  <c r="BB29" i="18"/>
  <c r="BC241" i="18"/>
  <c r="AX241" i="18"/>
  <c r="AY240" i="18" s="1"/>
  <c r="AY241" i="18" s="1"/>
  <c r="AZ240" i="18" s="1"/>
  <c r="AZ241" i="18" s="1"/>
  <c r="BA240" i="18" s="1"/>
  <c r="BA241" i="18" s="1"/>
  <c r="AS241" i="18"/>
  <c r="AT240" i="18" s="1"/>
  <c r="AT241" i="18" s="1"/>
  <c r="AU240" i="18" s="1"/>
  <c r="AU241" i="18" s="1"/>
  <c r="AV240" i="18" s="1"/>
  <c r="AV241" i="18" s="1"/>
  <c r="AU93" i="7" l="1"/>
  <c r="AS99" i="7"/>
  <c r="AX98" i="7"/>
  <c r="BD240" i="18"/>
  <c r="BD241" i="18" s="1"/>
  <c r="BE240" i="18" s="1"/>
  <c r="BE241" i="18" s="1"/>
  <c r="BF240" i="18" s="1"/>
  <c r="BF241" i="18" s="1"/>
  <c r="BG218" i="18"/>
  <c r="AV231" i="18"/>
  <c r="AU231" i="18"/>
  <c r="AX231" i="18"/>
  <c r="AY231" i="18"/>
  <c r="AU97" i="7" l="1"/>
  <c r="AZ94" i="7"/>
  <c r="BG30" i="18"/>
  <c r="AX232" i="18"/>
  <c r="AY232" i="18"/>
  <c r="AU232" i="18"/>
  <c r="AV232" i="18"/>
  <c r="AZ28" i="18"/>
  <c r="AZ14" i="18" s="1"/>
  <c r="AU99" i="7" l="1"/>
  <c r="AZ98" i="7"/>
  <c r="BX31" i="18"/>
  <c r="BL30" i="18"/>
  <c r="BM31" i="18"/>
  <c r="BR35" i="18" s="1"/>
  <c r="AZ180" i="18"/>
  <c r="AZ177" i="18"/>
  <c r="AZ172" i="18"/>
  <c r="AZ169" i="18"/>
  <c r="AZ122" i="18"/>
  <c r="AY122" i="18"/>
  <c r="BD123" i="18" s="1"/>
  <c r="AZ127" i="18"/>
  <c r="AZ95" i="18"/>
  <c r="AU17" i="7" s="1"/>
  <c r="AU25" i="7" s="1"/>
  <c r="AZ73" i="18"/>
  <c r="AZ71" i="18"/>
  <c r="AZ39" i="18"/>
  <c r="AZ44" i="18"/>
  <c r="AZ22" i="18"/>
  <c r="AZ21" i="18"/>
  <c r="AZ19" i="18"/>
  <c r="AZ17" i="18"/>
  <c r="CC33" i="18" l="1"/>
  <c r="CC32" i="18"/>
  <c r="BR246" i="18"/>
  <c r="BR33" i="18"/>
  <c r="BM12" i="7" s="1"/>
  <c r="BH9" i="7"/>
  <c r="BH25" i="7" s="1"/>
  <c r="BS9" i="7"/>
  <c r="AU33" i="7"/>
  <c r="AU41" i="7"/>
  <c r="AU96" i="7"/>
  <c r="AU39" i="7"/>
  <c r="AT135" i="7"/>
  <c r="AY141" i="7"/>
  <c r="BX47" i="18"/>
  <c r="BY37" i="18"/>
  <c r="BT11" i="7" s="1"/>
  <c r="BX45" i="18"/>
  <c r="BM26" i="18"/>
  <c r="BM52" i="18"/>
  <c r="BM37" i="18"/>
  <c r="BH11" i="7" s="1"/>
  <c r="BM41" i="18"/>
  <c r="BM42" i="18" s="1"/>
  <c r="BM32" i="18"/>
  <c r="BH10" i="7" s="1"/>
  <c r="BM47" i="18"/>
  <c r="BM60" i="18"/>
  <c r="BM12" i="18" s="1"/>
  <c r="BM45" i="18"/>
  <c r="BM50" i="18"/>
  <c r="AZ160" i="18"/>
  <c r="AZ159" i="18"/>
  <c r="BE40" i="18"/>
  <c r="BO12" i="7"/>
  <c r="BO10" i="7"/>
  <c r="BE23" i="18"/>
  <c r="AZ131" i="18"/>
  <c r="BE132" i="18" s="1"/>
  <c r="BE123" i="18"/>
  <c r="BE99" i="18"/>
  <c r="BE97" i="18"/>
  <c r="AZ20" i="7" s="1"/>
  <c r="BE96" i="18"/>
  <c r="AZ18" i="7" s="1"/>
  <c r="AZ143" i="18"/>
  <c r="AZ128" i="18"/>
  <c r="AZ130" i="18"/>
  <c r="AZ124" i="18"/>
  <c r="BE125" i="18" s="1"/>
  <c r="AZ135" i="18"/>
  <c r="AZ48" i="18"/>
  <c r="BE49" i="18" s="1"/>
  <c r="BX10" i="7" l="1"/>
  <c r="CC34" i="18"/>
  <c r="BX13" i="7" s="1"/>
  <c r="BX12" i="7"/>
  <c r="BH47" i="7"/>
  <c r="BH96" i="7"/>
  <c r="AU35" i="7"/>
  <c r="BH39" i="7"/>
  <c r="BH41" i="7"/>
  <c r="AZ34" i="7"/>
  <c r="BH45" i="7"/>
  <c r="BH35" i="7"/>
  <c r="AU43" i="7"/>
  <c r="AU47" i="7" s="1"/>
  <c r="BE248" i="18"/>
  <c r="AZ22" i="7"/>
  <c r="BM61" i="18"/>
  <c r="BM36" i="18"/>
  <c r="BH15" i="7" s="1"/>
  <c r="BM34" i="18"/>
  <c r="BH13" i="7" s="1"/>
  <c r="BM54" i="18"/>
  <c r="BM63" i="18"/>
  <c r="BM53" i="18"/>
  <c r="BE136" i="18"/>
  <c r="BO13" i="7"/>
  <c r="BE100" i="18"/>
  <c r="AZ133" i="18"/>
  <c r="AZ150" i="18"/>
  <c r="AZ178" i="18" s="1"/>
  <c r="BE35" i="18"/>
  <c r="AZ47" i="18"/>
  <c r="BA37" i="18"/>
  <c r="AV11" i="7" s="1"/>
  <c r="AZ41" i="18"/>
  <c r="BE42" i="18" s="1"/>
  <c r="AZ60" i="18"/>
  <c r="AZ26" i="18"/>
  <c r="BE32" i="18"/>
  <c r="AZ10" i="7" s="1"/>
  <c r="AZ45" i="18"/>
  <c r="AZ52" i="18"/>
  <c r="AH125" i="20"/>
  <c r="AZ145" i="18"/>
  <c r="BE148" i="18" s="1"/>
  <c r="AZ137" i="18"/>
  <c r="BE138" i="18" s="1"/>
  <c r="AZ50" i="18"/>
  <c r="BH49" i="7" l="1"/>
  <c r="BH51" i="7" s="1"/>
  <c r="BH48" i="7"/>
  <c r="BH56" i="7"/>
  <c r="BH68" i="7"/>
  <c r="BH72" i="7" s="1"/>
  <c r="BH100" i="7" s="1"/>
  <c r="AU49" i="7"/>
  <c r="AZ50" i="7" s="1"/>
  <c r="AU68" i="7"/>
  <c r="AU72" i="7" s="1"/>
  <c r="AY142" i="7" s="1"/>
  <c r="AU56" i="7"/>
  <c r="AZ48" i="7"/>
  <c r="AU45" i="7"/>
  <c r="AZ44" i="7"/>
  <c r="BE246" i="18"/>
  <c r="AZ14" i="7"/>
  <c r="BE233" i="18"/>
  <c r="AZ23" i="7"/>
  <c r="BM64" i="18"/>
  <c r="BM66" i="18"/>
  <c r="BM56" i="18"/>
  <c r="BM55" i="18"/>
  <c r="BM62" i="18"/>
  <c r="BE53" i="18"/>
  <c r="AZ163" i="18"/>
  <c r="AZ164" i="18"/>
  <c r="BE61" i="18"/>
  <c r="AZ181" i="18"/>
  <c r="BE153" i="18"/>
  <c r="AZ28" i="7" s="1"/>
  <c r="AZ170" i="18"/>
  <c r="AZ173" i="18"/>
  <c r="BE224" i="18"/>
  <c r="AZ12" i="18"/>
  <c r="BE36" i="18"/>
  <c r="AZ15" i="7" s="1"/>
  <c r="BE34" i="18"/>
  <c r="AZ13" i="7" s="1"/>
  <c r="BE155" i="18"/>
  <c r="AZ30" i="7" s="1"/>
  <c r="BE151" i="18"/>
  <c r="AZ26" i="7" s="1"/>
  <c r="BE213" i="18"/>
  <c r="AZ54" i="18"/>
  <c r="BE55" i="18" s="1"/>
  <c r="AZ63" i="18"/>
  <c r="AZ144" i="18"/>
  <c r="AZ146" i="18"/>
  <c r="AG111" i="20"/>
  <c r="AG112" i="20"/>
  <c r="AG133" i="20"/>
  <c r="AG134" i="20"/>
  <c r="AG138" i="20"/>
  <c r="AY169" i="18"/>
  <c r="AY172" i="18"/>
  <c r="AY177" i="18"/>
  <c r="AY180" i="18"/>
  <c r="AY39" i="18"/>
  <c r="AT33" i="7" s="1"/>
  <c r="AY22" i="18"/>
  <c r="AY17" i="18"/>
  <c r="AY19" i="18"/>
  <c r="AY21" i="18"/>
  <c r="AY28" i="18"/>
  <c r="AY14" i="18" s="1"/>
  <c r="AY30" i="18"/>
  <c r="AY44" i="18"/>
  <c r="AY71" i="18"/>
  <c r="AY73" i="18"/>
  <c r="AY95" i="18"/>
  <c r="AT17" i="7" s="1"/>
  <c r="AT25" i="7" s="1"/>
  <c r="AY127" i="18"/>
  <c r="BH50" i="7" l="1"/>
  <c r="BH62" i="7"/>
  <c r="BH80" i="7" s="1"/>
  <c r="BH85" i="7" s="1"/>
  <c r="BH59" i="7"/>
  <c r="BH74" i="7"/>
  <c r="BH75" i="7" s="1"/>
  <c r="BH77" i="7"/>
  <c r="BH76" i="7"/>
  <c r="BH73" i="7"/>
  <c r="AV51" i="7"/>
  <c r="AU74" i="7"/>
  <c r="AZ75" i="7" s="1"/>
  <c r="AU100" i="7"/>
  <c r="AZ73" i="7"/>
  <c r="AZ76" i="7"/>
  <c r="AU77" i="7"/>
  <c r="AT138" i="7"/>
  <c r="AU62" i="7"/>
  <c r="AU59" i="7"/>
  <c r="AY143" i="7"/>
  <c r="AT96" i="7"/>
  <c r="AT41" i="7"/>
  <c r="AT39" i="7"/>
  <c r="AS135" i="7"/>
  <c r="AX141" i="7"/>
  <c r="AY34" i="7"/>
  <c r="AT35" i="7"/>
  <c r="AT43" i="7"/>
  <c r="BH63" i="7"/>
  <c r="AY160" i="18"/>
  <c r="AY159" i="18"/>
  <c r="BE66" i="18"/>
  <c r="BE13" i="18"/>
  <c r="BE154" i="18"/>
  <c r="AZ29" i="7" s="1"/>
  <c r="BE156" i="18"/>
  <c r="AZ31" i="7" s="1"/>
  <c r="BA56" i="18"/>
  <c r="BE234" i="18"/>
  <c r="BE236" i="18" s="1"/>
  <c r="BE237" i="18" s="1"/>
  <c r="BE147" i="18"/>
  <c r="AZ62" i="18"/>
  <c r="AZ64" i="18"/>
  <c r="BE65" i="18" s="1"/>
  <c r="BD97" i="18"/>
  <c r="AY20" i="7" s="1"/>
  <c r="BD99" i="18"/>
  <c r="BD96" i="18"/>
  <c r="AY18" i="7" s="1"/>
  <c r="BD35" i="18"/>
  <c r="BD23" i="18"/>
  <c r="AY48" i="18"/>
  <c r="BD49" i="18" s="1"/>
  <c r="BD40" i="18"/>
  <c r="AY128" i="18"/>
  <c r="AZ101" i="18"/>
  <c r="AU19" i="7" s="1"/>
  <c r="AY143" i="18"/>
  <c r="AY130" i="18"/>
  <c r="AY131" i="18"/>
  <c r="BD132" i="18" s="1"/>
  <c r="AY135" i="18"/>
  <c r="AY124" i="18"/>
  <c r="BD125" i="18" s="1"/>
  <c r="AU63" i="7" l="1"/>
  <c r="AU80" i="7"/>
  <c r="AU85" i="7" s="1"/>
  <c r="AU88" i="7" s="1"/>
  <c r="BH90" i="7"/>
  <c r="BH64" i="7"/>
  <c r="BH88" i="7"/>
  <c r="BH86" i="7"/>
  <c r="BD246" i="18"/>
  <c r="AY14" i="7"/>
  <c r="BD248" i="18"/>
  <c r="AY22" i="7"/>
  <c r="AT47" i="7"/>
  <c r="AT45" i="7"/>
  <c r="AY44" i="7"/>
  <c r="BD136" i="18"/>
  <c r="AY47" i="18"/>
  <c r="AY26" i="18"/>
  <c r="AY45" i="18"/>
  <c r="AY50" i="18"/>
  <c r="BD98" i="18"/>
  <c r="AY21" i="7" s="1"/>
  <c r="BD100" i="18"/>
  <c r="AY60" i="18"/>
  <c r="AY41" i="18"/>
  <c r="BD42" i="18" s="1"/>
  <c r="BD32" i="18"/>
  <c r="AY10" i="7" s="1"/>
  <c r="AY150" i="18"/>
  <c r="AY173" i="18" s="1"/>
  <c r="AY52" i="18"/>
  <c r="AY145" i="18"/>
  <c r="AY137" i="18"/>
  <c r="AY133" i="18"/>
  <c r="AZ64" i="7" l="1"/>
  <c r="AU90" i="7"/>
  <c r="AT137" i="7" s="1"/>
  <c r="AY146" i="7"/>
  <c r="AZ86" i="7"/>
  <c r="AT136" i="7"/>
  <c r="AZ89" i="7"/>
  <c r="BH89" i="7"/>
  <c r="BD233" i="18"/>
  <c r="AY23" i="7"/>
  <c r="AT49" i="7"/>
  <c r="AT68" i="7"/>
  <c r="AT72" i="7" s="1"/>
  <c r="AT56" i="7"/>
  <c r="AY48" i="7"/>
  <c r="BD53" i="18"/>
  <c r="AY163" i="18"/>
  <c r="AY164" i="18"/>
  <c r="BD61" i="18"/>
  <c r="AY12" i="18"/>
  <c r="BD34" i="18"/>
  <c r="AY13" i="7" s="1"/>
  <c r="AY144" i="18"/>
  <c r="AY170" i="18"/>
  <c r="BA139" i="18"/>
  <c r="BD138" i="18"/>
  <c r="AY63" i="18"/>
  <c r="BD224" i="18"/>
  <c r="AY181" i="18"/>
  <c r="BD245" i="18" s="1"/>
  <c r="AY178" i="18"/>
  <c r="AY54" i="18"/>
  <c r="BD55" i="18" s="1"/>
  <c r="BD213" i="18"/>
  <c r="AY146" i="18"/>
  <c r="BD234" i="18" s="1"/>
  <c r="BD236" i="18" l="1"/>
  <c r="BD237" i="18" s="1"/>
  <c r="AT59" i="7"/>
  <c r="AT62" i="7"/>
  <c r="AT77" i="7"/>
  <c r="AT74" i="7"/>
  <c r="AS138" i="7"/>
  <c r="AY76" i="7"/>
  <c r="AY73" i="7"/>
  <c r="AX142" i="7"/>
  <c r="AY50" i="7"/>
  <c r="AU51" i="7"/>
  <c r="BD13" i="18"/>
  <c r="BD247" i="18"/>
  <c r="BD249" i="18"/>
  <c r="AY62" i="18"/>
  <c r="AZ56" i="18"/>
  <c r="AY64" i="18"/>
  <c r="AY75" i="7" l="1"/>
  <c r="AT80" i="7"/>
  <c r="AT85" i="7" s="1"/>
  <c r="AT63" i="7"/>
  <c r="AX143" i="7"/>
  <c r="AT90" i="7" l="1"/>
  <c r="AS137" i="7" s="1"/>
  <c r="AY64" i="7"/>
  <c r="AT88" i="7"/>
  <c r="AY86" i="7"/>
  <c r="AX146" i="7"/>
  <c r="AF65" i="20"/>
  <c r="AF138" i="20"/>
  <c r="AF134" i="20"/>
  <c r="AF133" i="20"/>
  <c r="AF67" i="20" l="1"/>
  <c r="AS136" i="7"/>
  <c r="AY89" i="7"/>
  <c r="AH67" i="20"/>
  <c r="AF86" i="20"/>
  <c r="AX122" i="18"/>
  <c r="AX22" i="18"/>
  <c r="AX39" i="18"/>
  <c r="AX180" i="18"/>
  <c r="AX177" i="18"/>
  <c r="AX172" i="18"/>
  <c r="AX169" i="18"/>
  <c r="AX127" i="18"/>
  <c r="AX95" i="18"/>
  <c r="AS17" i="7" s="1"/>
  <c r="AS25" i="7" s="1"/>
  <c r="AX73" i="18"/>
  <c r="AX71" i="18"/>
  <c r="AX44" i="18"/>
  <c r="AX30" i="18"/>
  <c r="AX28" i="18"/>
  <c r="AX14" i="18" s="1"/>
  <c r="AX21" i="18"/>
  <c r="AX19" i="18"/>
  <c r="AX17" i="18"/>
  <c r="AS39" i="7" l="1"/>
  <c r="AS96" i="7"/>
  <c r="AS41" i="7"/>
  <c r="AQ135" i="7"/>
  <c r="AV141" i="7"/>
  <c r="AS33" i="7"/>
  <c r="AX160" i="18"/>
  <c r="AX159" i="18"/>
  <c r="BC99" i="18"/>
  <c r="BC23" i="18"/>
  <c r="AI67" i="20"/>
  <c r="AX48" i="18"/>
  <c r="BC49" i="18" s="1"/>
  <c r="BC40" i="18"/>
  <c r="BC97" i="18"/>
  <c r="AX20" i="7" s="1"/>
  <c r="BC96" i="18"/>
  <c r="AX18" i="7" s="1"/>
  <c r="BB95" i="18"/>
  <c r="AW17" i="7" s="1"/>
  <c r="BB22" i="18"/>
  <c r="BG23" i="18" s="1"/>
  <c r="AX130" i="18"/>
  <c r="AX135" i="18"/>
  <c r="AX128" i="18"/>
  <c r="AX131" i="18"/>
  <c r="BC132" i="18" s="1"/>
  <c r="AX143" i="18"/>
  <c r="AX124" i="18"/>
  <c r="BC248" i="18" l="1"/>
  <c r="BG248" i="18" s="1"/>
  <c r="AX22" i="7"/>
  <c r="AW33" i="7"/>
  <c r="AX34" i="7"/>
  <c r="AS35" i="7"/>
  <c r="AS43" i="7"/>
  <c r="BC136" i="18"/>
  <c r="AX41" i="18"/>
  <c r="BC42" i="18" s="1"/>
  <c r="AX26" i="18"/>
  <c r="BC100" i="18"/>
  <c r="AX23" i="7" s="1"/>
  <c r="AX60" i="18"/>
  <c r="AX45" i="18"/>
  <c r="BC32" i="18"/>
  <c r="AX10" i="7" s="1"/>
  <c r="AY37" i="18"/>
  <c r="AT11" i="7" s="1"/>
  <c r="AX50" i="18"/>
  <c r="AX150" i="18"/>
  <c r="AX47" i="18"/>
  <c r="AX52" i="18"/>
  <c r="AX163" i="18" s="1"/>
  <c r="AX145" i="18"/>
  <c r="AX137" i="18"/>
  <c r="AX133" i="18"/>
  <c r="BB34" i="7" l="1"/>
  <c r="AW43" i="7"/>
  <c r="AS45" i="7"/>
  <c r="AX44" i="7"/>
  <c r="AS47" i="7"/>
  <c r="AX164" i="18"/>
  <c r="BC61" i="18"/>
  <c r="AX12" i="18"/>
  <c r="AX144" i="18"/>
  <c r="BC224" i="18"/>
  <c r="BC233" i="18"/>
  <c r="AX146" i="18"/>
  <c r="BC234" i="18" s="1"/>
  <c r="BC148" i="18"/>
  <c r="AZ139" i="18"/>
  <c r="BC138" i="18"/>
  <c r="AX54" i="18"/>
  <c r="BC53" i="18"/>
  <c r="AX170" i="18"/>
  <c r="AX178" i="18"/>
  <c r="AX181" i="18"/>
  <c r="BC245" i="18" s="1"/>
  <c r="BC213" i="18"/>
  <c r="AZ152" i="18"/>
  <c r="AU27" i="7" s="1"/>
  <c r="BC36" i="18"/>
  <c r="AX15" i="7" s="1"/>
  <c r="BC34" i="18"/>
  <c r="AX13" i="7" s="1"/>
  <c r="AX173" i="18"/>
  <c r="AX63" i="18"/>
  <c r="AW179" i="18"/>
  <c r="BB180" i="18" s="1"/>
  <c r="AW176" i="18"/>
  <c r="BB177" i="18" s="1"/>
  <c r="AW171" i="18"/>
  <c r="BB172" i="18" s="1"/>
  <c r="AW168" i="18"/>
  <c r="BB169" i="18" s="1"/>
  <c r="AU169" i="18"/>
  <c r="AU172" i="18"/>
  <c r="AU177" i="18"/>
  <c r="AU180" i="18"/>
  <c r="AT169" i="18"/>
  <c r="AT172" i="18"/>
  <c r="AT177" i="18"/>
  <c r="AT180" i="18"/>
  <c r="AS172" i="18"/>
  <c r="AS169" i="18"/>
  <c r="AR179" i="18"/>
  <c r="AR176" i="18"/>
  <c r="AQ177" i="18"/>
  <c r="AQ180" i="18"/>
  <c r="AV180" i="18"/>
  <c r="AV177" i="18"/>
  <c r="BB44" i="7" l="1"/>
  <c r="AS68" i="7"/>
  <c r="AS56" i="7"/>
  <c r="AS49" i="7"/>
  <c r="AX48" i="7"/>
  <c r="BC66" i="18"/>
  <c r="BC13" i="18"/>
  <c r="BC236" i="18"/>
  <c r="BC237" i="18" s="1"/>
  <c r="BC249" i="18"/>
  <c r="BC247" i="18"/>
  <c r="BC147" i="18"/>
  <c r="AX62" i="18"/>
  <c r="AX64" i="18"/>
  <c r="BC65" i="18" s="1"/>
  <c r="AY56" i="18"/>
  <c r="BC55" i="18"/>
  <c r="AW177" i="18"/>
  <c r="AW180" i="18"/>
  <c r="AX50" i="7" l="1"/>
  <c r="AT51" i="7"/>
  <c r="AW68" i="7"/>
  <c r="AS72" i="7"/>
  <c r="AS59" i="7"/>
  <c r="AS62" i="7"/>
  <c r="AW56" i="7"/>
  <c r="AD44" i="20"/>
  <c r="AC44" i="20"/>
  <c r="AF125" i="20"/>
  <c r="AD138" i="20"/>
  <c r="AW59" i="7" l="1"/>
  <c r="AW62" i="7"/>
  <c r="AS63" i="7"/>
  <c r="AS80" i="7"/>
  <c r="AW72" i="7"/>
  <c r="AS100" i="7"/>
  <c r="AS74" i="7"/>
  <c r="AS77" i="7"/>
  <c r="AX73" i="7"/>
  <c r="AX76" i="7"/>
  <c r="AQ138" i="7"/>
  <c r="AV142" i="7"/>
  <c r="AB44" i="20"/>
  <c r="AF128" i="20"/>
  <c r="AJ103" i="20" l="1"/>
  <c r="AW77" i="7"/>
  <c r="AW100" i="7"/>
  <c r="BB73" i="7"/>
  <c r="AX75" i="7"/>
  <c r="AS85" i="7"/>
  <c r="AW80" i="7"/>
  <c r="AV143" i="7"/>
  <c r="AW63" i="7"/>
  <c r="AX64" i="7"/>
  <c r="AF123" i="20"/>
  <c r="AF61" i="20"/>
  <c r="AV146" i="7" l="1"/>
  <c r="AW146" i="7" s="1"/>
  <c r="AW85" i="7"/>
  <c r="AS88" i="7"/>
  <c r="AX86" i="7"/>
  <c r="AS90" i="7"/>
  <c r="AQ137" i="7" s="1"/>
  <c r="BB64" i="7"/>
  <c r="AX89" i="7" l="1"/>
  <c r="AQ136" i="7"/>
  <c r="AW88" i="7"/>
  <c r="BB86" i="7"/>
  <c r="AW90" i="7"/>
  <c r="BB89" i="7" l="1"/>
  <c r="AF89" i="20" l="1"/>
  <c r="AF69" i="20"/>
  <c r="AF70" i="20" l="1"/>
  <c r="AW20" i="18"/>
  <c r="AW18" i="18"/>
  <c r="AW16" i="18"/>
  <c r="AV172" i="18"/>
  <c r="AV169" i="18"/>
  <c r="AV122" i="18"/>
  <c r="AV127" i="18"/>
  <c r="AV39" i="18"/>
  <c r="AV44" i="18"/>
  <c r="AQ33" i="7" l="1"/>
  <c r="AV131" i="18"/>
  <c r="BA132" i="18" s="1"/>
  <c r="BA123" i="18"/>
  <c r="BB17" i="18"/>
  <c r="BB19" i="18"/>
  <c r="BB21" i="18"/>
  <c r="AV48" i="18"/>
  <c r="AQ43" i="7" l="1"/>
  <c r="AV34" i="7"/>
  <c r="AV71" i="18"/>
  <c r="AV73" i="18"/>
  <c r="AV95" i="18"/>
  <c r="AQ17" i="7" s="1"/>
  <c r="AV22" i="18"/>
  <c r="AV17" i="18"/>
  <c r="AV19" i="18"/>
  <c r="AV21" i="18"/>
  <c r="AV28" i="18"/>
  <c r="AV14" i="18" s="1"/>
  <c r="AV30" i="18"/>
  <c r="AV44" i="7" l="1"/>
  <c r="BA97" i="18"/>
  <c r="AV20" i="7" s="1"/>
  <c r="AV31" i="18"/>
  <c r="BA23" i="18"/>
  <c r="BA96" i="18"/>
  <c r="AV18" i="7" s="1"/>
  <c r="AV143" i="18"/>
  <c r="AX101" i="18"/>
  <c r="AS19" i="7" s="1"/>
  <c r="AV130" i="18"/>
  <c r="AV135" i="18"/>
  <c r="AV124" i="18"/>
  <c r="BA125" i="18" s="1"/>
  <c r="AV128" i="18"/>
  <c r="AV133" i="18"/>
  <c r="AV160" i="18" l="1"/>
  <c r="AQ9" i="7"/>
  <c r="AQ25" i="7" s="1"/>
  <c r="BA136" i="18"/>
  <c r="AV159" i="18"/>
  <c r="AV47" i="18"/>
  <c r="AV26" i="18"/>
  <c r="AX37" i="18"/>
  <c r="AS11" i="7" s="1"/>
  <c r="AV52" i="18"/>
  <c r="AV164" i="18" s="1"/>
  <c r="AV60" i="18"/>
  <c r="AV50" i="18"/>
  <c r="AV41" i="18"/>
  <c r="AV45" i="18"/>
  <c r="BA100" i="18"/>
  <c r="AV23" i="7" s="1"/>
  <c r="BA98" i="18"/>
  <c r="AV21" i="7" s="1"/>
  <c r="AV137" i="18"/>
  <c r="AV145" i="18"/>
  <c r="AD128" i="20" l="1"/>
  <c r="AP135" i="7"/>
  <c r="AQ96" i="7"/>
  <c r="AQ41" i="7"/>
  <c r="AQ39" i="7"/>
  <c r="AU141" i="7"/>
  <c r="AQ35" i="7"/>
  <c r="AQ47" i="7"/>
  <c r="AQ45" i="7"/>
  <c r="BA53" i="18"/>
  <c r="AV163" i="18"/>
  <c r="AV12" i="18"/>
  <c r="AV144" i="18"/>
  <c r="BA148" i="18"/>
  <c r="AV54" i="18"/>
  <c r="BA55" i="18" s="1"/>
  <c r="AV63" i="18"/>
  <c r="AX139" i="18"/>
  <c r="BA138" i="18"/>
  <c r="AB97" i="20"/>
  <c r="AC97" i="20"/>
  <c r="AB111" i="20"/>
  <c r="AB132" i="20"/>
  <c r="AB138" i="20"/>
  <c r="AC138" i="20"/>
  <c r="AQ56" i="7" l="1"/>
  <c r="AQ68" i="7"/>
  <c r="AQ72" i="7" s="1"/>
  <c r="AQ49" i="7"/>
  <c r="AV48" i="7"/>
  <c r="AV62" i="18"/>
  <c r="AX56" i="18"/>
  <c r="AV64" i="18"/>
  <c r="AB34" i="20"/>
  <c r="AC34" i="20"/>
  <c r="AB13" i="20"/>
  <c r="AV50" i="7" l="1"/>
  <c r="AS51" i="7"/>
  <c r="AQ74" i="7"/>
  <c r="AQ77" i="7"/>
  <c r="AP138" i="7"/>
  <c r="AV73" i="7"/>
  <c r="AV76" i="7"/>
  <c r="AU142" i="7"/>
  <c r="AU143" i="7" s="1"/>
  <c r="AQ62" i="7"/>
  <c r="AQ59" i="7"/>
  <c r="AA129" i="20"/>
  <c r="AA67" i="20"/>
  <c r="AA118" i="20"/>
  <c r="AB134" i="20"/>
  <c r="AB133" i="20"/>
  <c r="AB112" i="20"/>
  <c r="AU122" i="18"/>
  <c r="AZ123" i="18" s="1"/>
  <c r="AU127" i="18"/>
  <c r="AU39" i="18"/>
  <c r="AU44" i="18"/>
  <c r="AU71" i="18"/>
  <c r="AU73" i="18"/>
  <c r="AU28" i="18"/>
  <c r="AU14" i="18" s="1"/>
  <c r="AU30" i="18"/>
  <c r="AU22" i="18"/>
  <c r="AU17" i="18"/>
  <c r="AU19" i="18"/>
  <c r="AU21" i="18"/>
  <c r="AP33" i="7" l="1"/>
  <c r="AP43" i="7" s="1"/>
  <c r="AQ80" i="7"/>
  <c r="AQ85" i="7" s="1"/>
  <c r="AQ90" i="7" s="1"/>
  <c r="AP137" i="7" s="1"/>
  <c r="AQ63" i="7"/>
  <c r="AU34" i="7"/>
  <c r="AV75" i="7"/>
  <c r="AC129" i="20"/>
  <c r="AB129" i="20"/>
  <c r="AB67" i="20"/>
  <c r="AB118" i="20"/>
  <c r="AZ23" i="18"/>
  <c r="AC133" i="20"/>
  <c r="AC134" i="20"/>
  <c r="AD134" i="20"/>
  <c r="AD133" i="20"/>
  <c r="AB135" i="20"/>
  <c r="AB136" i="20" s="1"/>
  <c r="AB137" i="20" s="1"/>
  <c r="AC112" i="20"/>
  <c r="AU131" i="18"/>
  <c r="AZ132" i="18" s="1"/>
  <c r="AU48" i="18"/>
  <c r="AZ49" i="18" s="1"/>
  <c r="AZ40" i="18"/>
  <c r="AU31" i="18"/>
  <c r="AP9" i="7" s="1"/>
  <c r="AD43" i="20" l="1"/>
  <c r="AU44" i="7"/>
  <c r="AV64" i="7"/>
  <c r="AQ88" i="7"/>
  <c r="AV86" i="7"/>
  <c r="AU146" i="7"/>
  <c r="AD129" i="20"/>
  <c r="AC67" i="20"/>
  <c r="AC118" i="20"/>
  <c r="AU26" i="18"/>
  <c r="AD118" i="20"/>
  <c r="AZ32" i="18"/>
  <c r="AU10" i="7" s="1"/>
  <c r="AU60" i="18"/>
  <c r="AU45" i="18"/>
  <c r="AU47" i="18"/>
  <c r="AU52" i="18"/>
  <c r="AU50" i="18"/>
  <c r="AU41" i="18"/>
  <c r="AZ42" i="18" s="1"/>
  <c r="AP136" i="7" l="1"/>
  <c r="AV89" i="7"/>
  <c r="AZ53" i="18"/>
  <c r="AZ61" i="18"/>
  <c r="AU12" i="18"/>
  <c r="AZ13" i="18" s="1"/>
  <c r="AU63" i="18"/>
  <c r="AU54" i="18"/>
  <c r="AZ66" i="18" l="1"/>
  <c r="AU62" i="18"/>
  <c r="AU64" i="18"/>
  <c r="AZ65" i="18" s="1"/>
  <c r="AZ55" i="18"/>
  <c r="AV56" i="18"/>
  <c r="AA138" i="20"/>
  <c r="AE138" i="20" s="1"/>
  <c r="Y138" i="20"/>
  <c r="AB14" i="20"/>
  <c r="AT122" i="18" l="1"/>
  <c r="AY123" i="18" s="1"/>
  <c r="AT127" i="18"/>
  <c r="AT39" i="18"/>
  <c r="AT44" i="18"/>
  <c r="AT71" i="18"/>
  <c r="AT73" i="18"/>
  <c r="AT22" i="18"/>
  <c r="AT17" i="18"/>
  <c r="AT19" i="18"/>
  <c r="AT21" i="18"/>
  <c r="AT28" i="18"/>
  <c r="AT14" i="18" s="1"/>
  <c r="AT30" i="18"/>
  <c r="AM134" i="20"/>
  <c r="AL134" i="20"/>
  <c r="AK134" i="20"/>
  <c r="AM133" i="20"/>
  <c r="AL133" i="20"/>
  <c r="AK133" i="20"/>
  <c r="AO83" i="20"/>
  <c r="AO80" i="20"/>
  <c r="AO79" i="20"/>
  <c r="AO78" i="20"/>
  <c r="AO77" i="20"/>
  <c r="AO75" i="20"/>
  <c r="AO65" i="20"/>
  <c r="AO64" i="20"/>
  <c r="AO48" i="20"/>
  <c r="AO47" i="20"/>
  <c r="AO46" i="20"/>
  <c r="AO33" i="7" l="1"/>
  <c r="AO43" i="7"/>
  <c r="AY23" i="18"/>
  <c r="AT131" i="18"/>
  <c r="AY132" i="18" s="1"/>
  <c r="AT123" i="18"/>
  <c r="AY40" i="18"/>
  <c r="AT40" i="18"/>
  <c r="AT31" i="18"/>
  <c r="AO9" i="7" s="1"/>
  <c r="AT48" i="18"/>
  <c r="AY49" i="18" s="1"/>
  <c r="AL86" i="20"/>
  <c r="AO34" i="7" l="1"/>
  <c r="AT34" i="7"/>
  <c r="AT44" i="7"/>
  <c r="AT26" i="18"/>
  <c r="AT45" i="18"/>
  <c r="AY32" i="18"/>
  <c r="AT10" i="7" s="1"/>
  <c r="AT41" i="18"/>
  <c r="AY42" i="18" s="1"/>
  <c r="AT47" i="18"/>
  <c r="AO82" i="20"/>
  <c r="F69" i="20"/>
  <c r="AO84" i="20" l="1"/>
  <c r="AY36" i="18"/>
  <c r="AT15" i="7" s="1"/>
  <c r="AY34" i="18"/>
  <c r="AT13" i="7" s="1"/>
  <c r="AO86" i="20" l="1"/>
  <c r="AS122" i="18"/>
  <c r="AS39" i="18"/>
  <c r="AS44" i="18"/>
  <c r="AS30" i="18"/>
  <c r="AS28" i="18"/>
  <c r="AS14" i="18" s="1"/>
  <c r="AS180" i="18"/>
  <c r="AS177" i="18"/>
  <c r="AS71" i="18"/>
  <c r="AS73" i="18"/>
  <c r="AS22" i="18"/>
  <c r="AS21" i="18"/>
  <c r="AS19" i="18"/>
  <c r="AS17" i="18"/>
  <c r="AN33" i="7" l="1"/>
  <c r="AR33" i="7" s="1"/>
  <c r="AN43" i="7"/>
  <c r="AS34" i="7"/>
  <c r="AS23" i="18"/>
  <c r="AW22" i="18"/>
  <c r="AX23" i="18"/>
  <c r="AX40" i="18"/>
  <c r="AS123" i="18"/>
  <c r="AX123" i="18"/>
  <c r="AS40" i="18"/>
  <c r="AS31" i="18"/>
  <c r="AN9" i="7" s="1"/>
  <c r="AS48" i="18"/>
  <c r="AX49" i="18" s="1"/>
  <c r="AN34" i="7" l="1"/>
  <c r="AR43" i="7"/>
  <c r="AS44" i="7"/>
  <c r="AW34" i="7"/>
  <c r="AS26" i="18"/>
  <c r="BB23" i="18"/>
  <c r="AS45" i="18"/>
  <c r="AX32" i="18"/>
  <c r="AS10" i="7" s="1"/>
  <c r="AS52" i="18"/>
  <c r="AS47" i="18"/>
  <c r="AS41" i="18"/>
  <c r="AX42" i="18" s="1"/>
  <c r="AR171" i="18"/>
  <c r="AW172" i="18" s="1"/>
  <c r="AR168" i="18"/>
  <c r="AW169" i="18" s="1"/>
  <c r="AW44" i="7" l="1"/>
  <c r="AX53" i="18"/>
  <c r="AX34" i="18"/>
  <c r="AS13" i="7" s="1"/>
  <c r="AX36" i="18"/>
  <c r="AS15" i="7" s="1"/>
  <c r="AR169" i="18"/>
  <c r="AR172" i="18"/>
  <c r="AQ169" i="18" l="1"/>
  <c r="AQ172" i="18"/>
  <c r="AR177" i="18" l="1"/>
  <c r="AR180" i="18"/>
  <c r="AQ39" i="18" l="1"/>
  <c r="AQ122" i="18"/>
  <c r="AQ44" i="18"/>
  <c r="AQ71" i="18"/>
  <c r="AQ73" i="18"/>
  <c r="AQ75" i="18"/>
  <c r="AQ22" i="18"/>
  <c r="AQ30" i="18"/>
  <c r="AQ28" i="18"/>
  <c r="AQ14" i="18" s="1"/>
  <c r="AL33" i="7" l="1"/>
  <c r="AV23" i="18"/>
  <c r="AV40" i="18"/>
  <c r="AQ123" i="18"/>
  <c r="AV123" i="18"/>
  <c r="AL34" i="7" l="1"/>
  <c r="AL43" i="7"/>
  <c r="AQ34" i="7"/>
  <c r="AO169" i="18"/>
  <c r="AO172" i="18"/>
  <c r="AO177" i="18"/>
  <c r="AO180" i="18"/>
  <c r="W138" i="20"/>
  <c r="X138" i="20"/>
  <c r="AQ44" i="7" l="1"/>
  <c r="AK122" i="18"/>
  <c r="AK39" i="18"/>
  <c r="AF33" i="7" l="1"/>
  <c r="AF43" i="7" s="1"/>
  <c r="AP30" i="18"/>
  <c r="AP28" i="18"/>
  <c r="AP14" i="18" s="1"/>
  <c r="AP74" i="18"/>
  <c r="AP75" i="18" s="1"/>
  <c r="AP22" i="18"/>
  <c r="AP129" i="18"/>
  <c r="AP122" i="18" s="1"/>
  <c r="AP127" i="18"/>
  <c r="AP46" i="18"/>
  <c r="AP44" i="18"/>
  <c r="AP73" i="18"/>
  <c r="AP71" i="18"/>
  <c r="AP172" i="18"/>
  <c r="AP169" i="18"/>
  <c r="AP180" i="18"/>
  <c r="AP177" i="18"/>
  <c r="AF34" i="7" l="1"/>
  <c r="AH33" i="7"/>
  <c r="AH34" i="7" s="1"/>
  <c r="AK40" i="7"/>
  <c r="AK70" i="7" s="1"/>
  <c r="AF44" i="7"/>
  <c r="AP39" i="18"/>
  <c r="AK33" i="7" s="1"/>
  <c r="AP123" i="18"/>
  <c r="AU123" i="18"/>
  <c r="AP31" i="18"/>
  <c r="AK9" i="7" s="1"/>
  <c r="AU23" i="18"/>
  <c r="AU40" i="18" l="1"/>
  <c r="AK43" i="7"/>
  <c r="AP44" i="7" s="1"/>
  <c r="AK34" i="7"/>
  <c r="AM33" i="7"/>
  <c r="AP34" i="7"/>
  <c r="AP26" i="18"/>
  <c r="AP40" i="18"/>
  <c r="AP52" i="18"/>
  <c r="AP47" i="18"/>
  <c r="AP60" i="18"/>
  <c r="AP41" i="18"/>
  <c r="AU42" i="18" s="1"/>
  <c r="AP45" i="18"/>
  <c r="AJ22" i="18"/>
  <c r="AL18" i="18"/>
  <c r="AK18" i="18"/>
  <c r="AL16" i="18"/>
  <c r="AK16" i="18"/>
  <c r="AL20" i="18"/>
  <c r="AK20" i="18"/>
  <c r="AI22" i="18"/>
  <c r="AK44" i="7" l="1"/>
  <c r="AR34" i="7"/>
  <c r="AM34" i="7"/>
  <c r="AU53" i="18"/>
  <c r="AU61" i="18"/>
  <c r="AP12" i="18"/>
  <c r="AU13" i="18" s="1"/>
  <c r="AP17" i="18"/>
  <c r="AP21" i="18"/>
  <c r="AQ21" i="18"/>
  <c r="AP19" i="18"/>
  <c r="AQ19" i="18"/>
  <c r="AQ17" i="18"/>
  <c r="W81" i="20"/>
  <c r="Z81" i="20" l="1"/>
  <c r="AO75" i="18"/>
  <c r="AO71" i="18"/>
  <c r="AO73" i="18"/>
  <c r="AO129" i="18" l="1"/>
  <c r="AJ40" i="7" s="1"/>
  <c r="AO21" i="18"/>
  <c r="AO19" i="18"/>
  <c r="AO17" i="18"/>
  <c r="AO22" i="18"/>
  <c r="AJ70" i="7" l="1"/>
  <c r="AJ43" i="7"/>
  <c r="AT23" i="18"/>
  <c r="AO23" i="18"/>
  <c r="AJ44" i="7" l="1"/>
  <c r="AO44" i="7"/>
  <c r="AR22" i="18" l="1"/>
  <c r="AR20" i="18"/>
  <c r="AR18" i="18"/>
  <c r="AR16" i="18"/>
  <c r="AO31" i="18"/>
  <c r="AJ9" i="7" s="1"/>
  <c r="AQ31" i="18"/>
  <c r="AL9" i="7" s="1"/>
  <c r="AQ26" i="18" l="1"/>
  <c r="AO26" i="18"/>
  <c r="AW17" i="18"/>
  <c r="AW21" i="18"/>
  <c r="AW19" i="18"/>
  <c r="AW23" i="18"/>
  <c r="AQ45" i="18"/>
  <c r="AQ41" i="18"/>
  <c r="AV42" i="18" s="1"/>
  <c r="AQ47" i="18"/>
  <c r="AO41" i="18"/>
  <c r="AO45" i="18"/>
  <c r="AO47" i="18"/>
  <c r="AO30" i="18"/>
  <c r="AO28" i="18"/>
  <c r="AO14" i="18" s="1"/>
  <c r="AT42" i="18" l="1"/>
  <c r="AI134" i="20" l="1"/>
  <c r="AH134" i="20"/>
  <c r="AI133" i="20"/>
  <c r="Z46" i="20" l="1"/>
  <c r="Z47" i="20"/>
  <c r="Z48" i="20"/>
  <c r="T97" i="20" l="1"/>
  <c r="R97" i="20"/>
  <c r="T96" i="20"/>
  <c r="S96" i="20"/>
  <c r="R96" i="20"/>
  <c r="Q96" i="20"/>
  <c r="V96" i="20"/>
  <c r="W33" i="20"/>
  <c r="X33" i="20" s="1"/>
  <c r="Y33" i="20" s="1"/>
  <c r="W32" i="20"/>
  <c r="W30" i="20"/>
  <c r="W54" i="20"/>
  <c r="W25" i="20"/>
  <c r="X25" i="20" s="1"/>
  <c r="Y25" i="20" s="1"/>
  <c r="W26" i="20"/>
  <c r="W27" i="20"/>
  <c r="X27" i="20" s="1"/>
  <c r="Y27" i="20" s="1"/>
  <c r="W17" i="20"/>
  <c r="W19" i="20"/>
  <c r="Z88" i="20"/>
  <c r="Z76" i="20"/>
  <c r="Z77" i="20"/>
  <c r="Z78" i="20"/>
  <c r="Z79" i="20"/>
  <c r="Z80" i="20"/>
  <c r="Z83" i="20"/>
  <c r="Z84" i="20"/>
  <c r="Z85" i="20"/>
  <c r="Z75" i="20"/>
  <c r="AA134" i="20"/>
  <c r="AA133" i="20"/>
  <c r="V138" i="20"/>
  <c r="W127" i="20" l="1"/>
  <c r="X82" i="20"/>
  <c r="X19" i="20"/>
  <c r="X17" i="20"/>
  <c r="X30" i="20"/>
  <c r="X26" i="20"/>
  <c r="T98" i="20"/>
  <c r="R98" i="20"/>
  <c r="X52" i="20"/>
  <c r="W52" i="20"/>
  <c r="X51" i="20"/>
  <c r="W51" i="20"/>
  <c r="X32" i="20"/>
  <c r="W55" i="20"/>
  <c r="Z34" i="20"/>
  <c r="AA33" i="20"/>
  <c r="Z33" i="20"/>
  <c r="Z35" i="20"/>
  <c r="AA25" i="20"/>
  <c r="Z25" i="20"/>
  <c r="Z27" i="20"/>
  <c r="AA27" i="20"/>
  <c r="Z16" i="20"/>
  <c r="X133" i="20"/>
  <c r="Y133" i="20"/>
  <c r="X134" i="20"/>
  <c r="Y134" i="20"/>
  <c r="W134" i="20"/>
  <c r="W133" i="20"/>
  <c r="V114" i="20"/>
  <c r="W111" i="20" s="1"/>
  <c r="Z63" i="20"/>
  <c r="Z64" i="20"/>
  <c r="Z65" i="20"/>
  <c r="Z66" i="20"/>
  <c r="X127" i="20" l="1"/>
  <c r="Y82" i="20"/>
  <c r="Y51" i="20"/>
  <c r="Z51" i="20" s="1"/>
  <c r="AE25" i="20"/>
  <c r="AE33" i="20"/>
  <c r="Y17" i="20"/>
  <c r="Y19" i="20"/>
  <c r="Y26" i="20"/>
  <c r="Y30" i="20"/>
  <c r="Y52" i="20"/>
  <c r="Z52" i="20" s="1"/>
  <c r="X54" i="20"/>
  <c r="Y32" i="20"/>
  <c r="X55" i="20"/>
  <c r="AB27" i="20"/>
  <c r="X112" i="20"/>
  <c r="W112" i="20"/>
  <c r="AB96" i="20" l="1"/>
  <c r="AB98" i="20" s="1"/>
  <c r="Y127" i="20"/>
  <c r="Z82" i="20"/>
  <c r="AJ33" i="20"/>
  <c r="Z13" i="20"/>
  <c r="Z17" i="20"/>
  <c r="AA19" i="20"/>
  <c r="Z19" i="20"/>
  <c r="Z60" i="20"/>
  <c r="Z30" i="20"/>
  <c r="AA30" i="20"/>
  <c r="Z26" i="20"/>
  <c r="AA26" i="20"/>
  <c r="Z20" i="20"/>
  <c r="Z28" i="20"/>
  <c r="Y54" i="20"/>
  <c r="Y55" i="20"/>
  <c r="Z55" i="20" s="1"/>
  <c r="AA32" i="20"/>
  <c r="Z32" i="20"/>
  <c r="AC27" i="20"/>
  <c r="Y112" i="20"/>
  <c r="AM95" i="7" l="1"/>
  <c r="AA127" i="20"/>
  <c r="Z127" i="20"/>
  <c r="Z67" i="20"/>
  <c r="AO33" i="20"/>
  <c r="AC96" i="20"/>
  <c r="AD27" i="20"/>
  <c r="Z86" i="20"/>
  <c r="Z54" i="20"/>
  <c r="AA112" i="20"/>
  <c r="AD29" i="20" l="1"/>
  <c r="AD36" i="20" s="1"/>
  <c r="AD39" i="20" s="1"/>
  <c r="AT33" i="20"/>
  <c r="BC33" i="20"/>
  <c r="BE33" i="20" s="1"/>
  <c r="BF33" i="20" s="1"/>
  <c r="BG33" i="20" s="1"/>
  <c r="BH33" i="20" s="1"/>
  <c r="BJ33" i="20" s="1"/>
  <c r="BK33" i="20" s="1"/>
  <c r="BL33" i="20" s="1"/>
  <c r="BM33" i="20" s="1"/>
  <c r="BN33" i="20" s="1"/>
  <c r="AC98" i="20"/>
  <c r="AE20" i="20"/>
  <c r="AE34" i="20"/>
  <c r="AE16" i="20"/>
  <c r="AE19" i="20"/>
  <c r="AJ19" i="20" s="1"/>
  <c r="AE27" i="20"/>
  <c r="AF27" i="20" s="1"/>
  <c r="BI33" i="20" l="1"/>
  <c r="BD33" i="20"/>
  <c r="AY33" i="20"/>
  <c r="AF29" i="20"/>
  <c r="AF36" i="20" s="1"/>
  <c r="AF39" i="20" s="1"/>
  <c r="AG27" i="20"/>
  <c r="AO19" i="20"/>
  <c r="AJ25" i="20"/>
  <c r="AG86" i="20"/>
  <c r="AE13" i="20"/>
  <c r="AF40" i="20" l="1"/>
  <c r="AG29" i="20"/>
  <c r="AG36" i="20" s="1"/>
  <c r="AG39" i="20" s="1"/>
  <c r="AE11" i="20"/>
  <c r="AE17" i="20"/>
  <c r="AE30" i="20"/>
  <c r="AE26" i="20"/>
  <c r="AE28" i="20"/>
  <c r="AE32" i="20"/>
  <c r="AD112" i="20"/>
  <c r="AE127" i="20" l="1"/>
  <c r="AT19" i="20"/>
  <c r="BC19" i="20"/>
  <c r="BE19" i="20" s="1"/>
  <c r="BF19" i="20" s="1"/>
  <c r="BG19" i="20" s="1"/>
  <c r="BH19" i="20" s="1"/>
  <c r="BJ19" i="20" s="1"/>
  <c r="BK19" i="20" s="1"/>
  <c r="BL19" i="20" s="1"/>
  <c r="BM19" i="20" s="1"/>
  <c r="BN19" i="20" s="1"/>
  <c r="AE105" i="20"/>
  <c r="AH133" i="20"/>
  <c r="AF112" i="20"/>
  <c r="BI19" i="20" l="1"/>
  <c r="BD19" i="20"/>
  <c r="AY19" i="20"/>
  <c r="AO25" i="20"/>
  <c r="AJ34" i="20"/>
  <c r="AJ16" i="20"/>
  <c r="AI26" i="20"/>
  <c r="AH112" i="20"/>
  <c r="V97" i="20"/>
  <c r="V135" i="20"/>
  <c r="V56" i="20"/>
  <c r="U34" i="20"/>
  <c r="U25" i="20"/>
  <c r="U16" i="20"/>
  <c r="K38" i="20"/>
  <c r="K35" i="20"/>
  <c r="K33" i="20"/>
  <c r="K32" i="20"/>
  <c r="K31" i="20"/>
  <c r="K30" i="20"/>
  <c r="J29" i="20"/>
  <c r="J36" i="20" s="1"/>
  <c r="J39" i="20" s="1"/>
  <c r="K28" i="20"/>
  <c r="K27" i="20"/>
  <c r="K26" i="20"/>
  <c r="K24" i="20"/>
  <c r="K20" i="20"/>
  <c r="K19" i="20"/>
  <c r="K18" i="20"/>
  <c r="K17" i="20"/>
  <c r="K15" i="20"/>
  <c r="J14" i="20"/>
  <c r="J21" i="20" s="1"/>
  <c r="K13" i="20"/>
  <c r="K12" i="20"/>
  <c r="K11" i="20"/>
  <c r="K10" i="20"/>
  <c r="K66" i="20"/>
  <c r="K85" i="20"/>
  <c r="K86" i="20" s="1"/>
  <c r="K56" i="20"/>
  <c r="K129" i="20" s="1"/>
  <c r="K47" i="20"/>
  <c r="P56" i="20"/>
  <c r="U85" i="20"/>
  <c r="U56" i="20"/>
  <c r="AD86" i="20"/>
  <c r="AC86" i="20"/>
  <c r="AB86" i="20"/>
  <c r="AA86" i="20"/>
  <c r="W86" i="20"/>
  <c r="X86" i="20"/>
  <c r="Y86" i="20"/>
  <c r="V86" i="20"/>
  <c r="Z11" i="20"/>
  <c r="U38" i="20"/>
  <c r="U35" i="20"/>
  <c r="U33" i="20"/>
  <c r="U32" i="20"/>
  <c r="U31" i="20"/>
  <c r="U30" i="20"/>
  <c r="U28" i="20"/>
  <c r="U27" i="20"/>
  <c r="U26" i="20"/>
  <c r="U24" i="20"/>
  <c r="U20" i="20"/>
  <c r="U19" i="20"/>
  <c r="U18" i="20"/>
  <c r="U17" i="20"/>
  <c r="U15" i="20"/>
  <c r="U13" i="20"/>
  <c r="U12" i="20"/>
  <c r="U11" i="20"/>
  <c r="U10" i="20"/>
  <c r="V29" i="20"/>
  <c r="V36" i="20" s="1"/>
  <c r="V14" i="20"/>
  <c r="T14" i="20"/>
  <c r="T29" i="20"/>
  <c r="T36" i="20" s="1"/>
  <c r="T39" i="20" s="1"/>
  <c r="R29" i="20"/>
  <c r="R36" i="20" s="1"/>
  <c r="R39" i="20" s="1"/>
  <c r="P11" i="20"/>
  <c r="S10" i="20"/>
  <c r="Q10" i="20"/>
  <c r="O10" i="20"/>
  <c r="Q86" i="20"/>
  <c r="Q57" i="20"/>
  <c r="O29" i="20"/>
  <c r="O36" i="20" s="1"/>
  <c r="O39" i="20" s="1"/>
  <c r="P26" i="20"/>
  <c r="P27" i="20"/>
  <c r="P28" i="20"/>
  <c r="P30" i="20"/>
  <c r="P31" i="20"/>
  <c r="P32" i="20"/>
  <c r="P33" i="20"/>
  <c r="P35" i="20"/>
  <c r="P38" i="20"/>
  <c r="P24" i="20"/>
  <c r="P12" i="20"/>
  <c r="P13" i="20"/>
  <c r="P15" i="20"/>
  <c r="P17" i="20"/>
  <c r="P18" i="20"/>
  <c r="P19" i="20"/>
  <c r="P20" i="20"/>
  <c r="S29" i="20"/>
  <c r="S36" i="20" s="1"/>
  <c r="S39" i="20" s="1"/>
  <c r="P86" i="20"/>
  <c r="P66" i="20"/>
  <c r="Q29" i="20"/>
  <c r="Q36" i="20" s="1"/>
  <c r="Q39" i="20" s="1"/>
  <c r="R14" i="20"/>
  <c r="AI29" i="20" l="1"/>
  <c r="AI36" i="20" s="1"/>
  <c r="AI39" i="20" s="1"/>
  <c r="P129" i="20"/>
  <c r="U129" i="20"/>
  <c r="U127" i="20"/>
  <c r="P127" i="20"/>
  <c r="K127" i="20"/>
  <c r="U97" i="20"/>
  <c r="Z105" i="20"/>
  <c r="U105" i="20"/>
  <c r="U104" i="20"/>
  <c r="U96" i="20"/>
  <c r="AO26" i="20"/>
  <c r="AT27" i="20"/>
  <c r="O14" i="20"/>
  <c r="O21" i="20" s="1"/>
  <c r="O40" i="20" s="1"/>
  <c r="U57" i="20"/>
  <c r="AJ26" i="20"/>
  <c r="AJ32" i="20"/>
  <c r="U86" i="20"/>
  <c r="R21" i="20"/>
  <c r="Q69" i="20"/>
  <c r="T21" i="20"/>
  <c r="P57" i="20"/>
  <c r="AI112" i="20"/>
  <c r="V21" i="20"/>
  <c r="Z56" i="20"/>
  <c r="V57" i="20"/>
  <c r="S14" i="20"/>
  <c r="S97" i="20"/>
  <c r="S98" i="20" s="1"/>
  <c r="Q14" i="20"/>
  <c r="Q97" i="20"/>
  <c r="Q98" i="20" s="1"/>
  <c r="K57" i="20"/>
  <c r="K69" i="20" s="1"/>
  <c r="K71" i="20" s="1"/>
  <c r="V132" i="20"/>
  <c r="V136" i="20" s="1"/>
  <c r="V137" i="20" s="1"/>
  <c r="W132" i="20"/>
  <c r="W135" i="20" s="1"/>
  <c r="V98" i="20"/>
  <c r="P29" i="20"/>
  <c r="P36" i="20" s="1"/>
  <c r="P39" i="20" s="1"/>
  <c r="V39" i="20"/>
  <c r="K29" i="20"/>
  <c r="K36" i="20" s="1"/>
  <c r="K39" i="20" s="1"/>
  <c r="K14" i="20"/>
  <c r="K21" i="20" s="1"/>
  <c r="J40" i="20"/>
  <c r="P10" i="20"/>
  <c r="U14" i="20"/>
  <c r="R86" i="20"/>
  <c r="U29" i="20"/>
  <c r="U36" i="20" s="1"/>
  <c r="U39" i="20" s="1"/>
  <c r="R57" i="20"/>
  <c r="U106" i="20" l="1"/>
  <c r="U98" i="20"/>
  <c r="AK112" i="20"/>
  <c r="AT25" i="20"/>
  <c r="T40" i="20"/>
  <c r="P69" i="20"/>
  <c r="P71" i="20" s="1"/>
  <c r="AJ30" i="20"/>
  <c r="AJ17" i="20"/>
  <c r="AJ11" i="20"/>
  <c r="P14" i="20"/>
  <c r="V40" i="20"/>
  <c r="S21" i="20"/>
  <c r="R40" i="20"/>
  <c r="Q21" i="20"/>
  <c r="U69" i="20"/>
  <c r="V69" i="20"/>
  <c r="W45" i="20"/>
  <c r="Y45" i="20"/>
  <c r="X45" i="20"/>
  <c r="R69" i="20"/>
  <c r="U21" i="20"/>
  <c r="W96" i="20"/>
  <c r="X132" i="20"/>
  <c r="X135" i="20" s="1"/>
  <c r="W136" i="20"/>
  <c r="W137" i="20" s="1"/>
  <c r="S57" i="20"/>
  <c r="K40" i="20"/>
  <c r="S86" i="20"/>
  <c r="AT34" i="20" l="1"/>
  <c r="BC34" i="20"/>
  <c r="BE34" i="20" s="1"/>
  <c r="BF34" i="20" s="1"/>
  <c r="BG34" i="20" s="1"/>
  <c r="BH34" i="20" s="1"/>
  <c r="BJ34" i="20" s="1"/>
  <c r="BK34" i="20" s="1"/>
  <c r="BL34" i="20" s="1"/>
  <c r="BM34" i="20" s="1"/>
  <c r="BN34" i="20" s="1"/>
  <c r="AJ105" i="20"/>
  <c r="AL112" i="20"/>
  <c r="U40" i="20"/>
  <c r="P21" i="20"/>
  <c r="AO34" i="20"/>
  <c r="AO16" i="20"/>
  <c r="S40" i="20"/>
  <c r="Q40" i="20"/>
  <c r="Z45" i="20"/>
  <c r="T86" i="20"/>
  <c r="S69" i="20"/>
  <c r="T57" i="20"/>
  <c r="X96" i="20"/>
  <c r="X136" i="20"/>
  <c r="X137" i="20" s="1"/>
  <c r="Y132" i="20"/>
  <c r="Y135" i="20" s="1"/>
  <c r="BI34" i="20" l="1"/>
  <c r="BD34" i="20"/>
  <c r="AY34" i="20"/>
  <c r="AL67" i="20"/>
  <c r="AM112" i="20"/>
  <c r="P40" i="20"/>
  <c r="AO32" i="20"/>
  <c r="T69" i="20"/>
  <c r="Y96" i="20"/>
  <c r="Z31" i="20"/>
  <c r="AA132" i="20"/>
  <c r="AA135" i="20" s="1"/>
  <c r="AC132" i="20" s="1"/>
  <c r="AC135" i="20" s="1"/>
  <c r="Y136" i="20"/>
  <c r="Y137" i="20" s="1"/>
  <c r="J9" i="7"/>
  <c r="AY25" i="20" l="1"/>
  <c r="Z96" i="20"/>
  <c r="AC136" i="20"/>
  <c r="AC137" i="20" s="1"/>
  <c r="AD132" i="20"/>
  <c r="AD135" i="20" s="1"/>
  <c r="AT26" i="20"/>
  <c r="AO30" i="20"/>
  <c r="AO17" i="20"/>
  <c r="AO11" i="20"/>
  <c r="U71" i="20"/>
  <c r="V71" i="20"/>
  <c r="AI144" i="7" s="1"/>
  <c r="AA96" i="20"/>
  <c r="AA136" i="20"/>
  <c r="AA137" i="20" s="1"/>
  <c r="I31" i="7"/>
  <c r="I29" i="7"/>
  <c r="AP118" i="20" l="1"/>
  <c r="AO105" i="20"/>
  <c r="AO63" i="20"/>
  <c r="AO67" i="20" s="1"/>
  <c r="AF132" i="20"/>
  <c r="AF135" i="20" s="1"/>
  <c r="AD136" i="20"/>
  <c r="AD137" i="20" s="1"/>
  <c r="AT16" i="20"/>
  <c r="AQ118" i="20" l="1"/>
  <c r="BC25" i="20"/>
  <c r="BE25" i="20" s="1"/>
  <c r="AQ112" i="20"/>
  <c r="AF136" i="20"/>
  <c r="AF137" i="20" s="1"/>
  <c r="AG132" i="20"/>
  <c r="AG135" i="20" s="1"/>
  <c r="AG136" i="20" s="1"/>
  <c r="AG137" i="20" s="1"/>
  <c r="AT32" i="20"/>
  <c r="BF25" i="20" l="1"/>
  <c r="BG25" i="20" s="1"/>
  <c r="BD25" i="20"/>
  <c r="AY26" i="20"/>
  <c r="AT30" i="20"/>
  <c r="AT17" i="20"/>
  <c r="AT11" i="20"/>
  <c r="AN180" i="18"/>
  <c r="AN177" i="18"/>
  <c r="AN172" i="18"/>
  <c r="AN169" i="18"/>
  <c r="AN129" i="18"/>
  <c r="AI40" i="7" s="1"/>
  <c r="AN127" i="18"/>
  <c r="AN123" i="18"/>
  <c r="AN75" i="18"/>
  <c r="AN73" i="18"/>
  <c r="AN71" i="18"/>
  <c r="AN40" i="18"/>
  <c r="AN30" i="18"/>
  <c r="AN28" i="18"/>
  <c r="AN14" i="18" s="1"/>
  <c r="AN21" i="18"/>
  <c r="AN19" i="18"/>
  <c r="AN17" i="18"/>
  <c r="AI70" i="7" l="1"/>
  <c r="AM70" i="7" s="1"/>
  <c r="AI43" i="7"/>
  <c r="AM40" i="7"/>
  <c r="BH25" i="20"/>
  <c r="BJ25" i="20" s="1"/>
  <c r="BK25" i="20" s="1"/>
  <c r="BL25" i="20" s="1"/>
  <c r="BM25" i="20" s="1"/>
  <c r="BN25" i="20" s="1"/>
  <c r="AU112" i="20"/>
  <c r="AY16" i="20"/>
  <c r="AS112" i="20"/>
  <c r="AS67" i="20"/>
  <c r="AT105" i="20"/>
  <c r="AH132" i="20"/>
  <c r="AH135" i="20" s="1"/>
  <c r="AF96" i="20"/>
  <c r="AD96" i="20"/>
  <c r="AE31" i="20"/>
  <c r="AI44" i="7" l="1"/>
  <c r="AM43" i="7"/>
  <c r="AN44" i="7"/>
  <c r="BI25" i="20"/>
  <c r="BC26" i="20"/>
  <c r="BE26" i="20" s="1"/>
  <c r="AV112" i="20"/>
  <c r="AU67" i="20"/>
  <c r="AY32" i="20"/>
  <c r="AT67" i="20"/>
  <c r="AE96" i="20"/>
  <c r="AH136" i="20"/>
  <c r="AI132" i="20"/>
  <c r="AI135" i="20" s="1"/>
  <c r="AK132" i="20" s="1"/>
  <c r="AG96" i="20"/>
  <c r="AR44" i="7" l="1"/>
  <c r="BF26" i="20"/>
  <c r="BD26" i="20"/>
  <c r="BC16" i="20"/>
  <c r="AW112" i="20"/>
  <c r="AY30" i="20"/>
  <c r="AY17" i="20"/>
  <c r="AL132" i="20"/>
  <c r="AK136" i="20"/>
  <c r="AK137" i="20" s="1"/>
  <c r="AH96" i="20"/>
  <c r="AI136" i="20"/>
  <c r="AI137" i="20" s="1"/>
  <c r="BE16" i="20" l="1"/>
  <c r="BF16" i="20" s="1"/>
  <c r="BG26" i="20"/>
  <c r="BC32" i="20"/>
  <c r="BE32" i="20" s="1"/>
  <c r="BD16" i="20"/>
  <c r="AX112" i="20"/>
  <c r="AY105" i="20"/>
  <c r="AY11" i="20"/>
  <c r="AK96" i="20"/>
  <c r="AM132" i="20"/>
  <c r="AL136" i="20"/>
  <c r="AI96" i="20"/>
  <c r="AJ31" i="20"/>
  <c r="AJ96" i="20" s="1"/>
  <c r="AL95" i="18"/>
  <c r="AG17" i="7" s="1"/>
  <c r="AK95" i="18"/>
  <c r="AF17" i="7" s="1"/>
  <c r="AJ95" i="18"/>
  <c r="AE17" i="7" s="1"/>
  <c r="AI95" i="18"/>
  <c r="AD17" i="7" s="1"/>
  <c r="AB17" i="7"/>
  <c r="AA17" i="7"/>
  <c r="Z17" i="7"/>
  <c r="Y17" i="7"/>
  <c r="W17" i="7"/>
  <c r="V17" i="7"/>
  <c r="U17" i="7"/>
  <c r="T17" i="7"/>
  <c r="R17" i="7"/>
  <c r="Q17" i="7"/>
  <c r="P17" i="7"/>
  <c r="O17" i="7"/>
  <c r="M17" i="7"/>
  <c r="L17" i="7"/>
  <c r="K17" i="7"/>
  <c r="J17" i="7"/>
  <c r="J25" i="7" s="1"/>
  <c r="H17" i="7"/>
  <c r="G17" i="7"/>
  <c r="F17" i="7"/>
  <c r="E17" i="7"/>
  <c r="AM59" i="18"/>
  <c r="AL31" i="18"/>
  <c r="AG9" i="7" s="1"/>
  <c r="AK31" i="18"/>
  <c r="AF9" i="7" s="1"/>
  <c r="AJ31" i="18"/>
  <c r="AI31" i="18"/>
  <c r="AB9" i="7"/>
  <c r="AA9" i="7"/>
  <c r="Z9" i="7"/>
  <c r="Y9" i="7"/>
  <c r="W9" i="7"/>
  <c r="V9" i="7"/>
  <c r="U9" i="7"/>
  <c r="T9" i="7"/>
  <c r="R9" i="7"/>
  <c r="Q9" i="7"/>
  <c r="P9" i="7"/>
  <c r="O9" i="7"/>
  <c r="W25" i="7" l="1"/>
  <c r="W35" i="7" s="1"/>
  <c r="O25" i="7"/>
  <c r="O47" i="7" s="1"/>
  <c r="AZ67" i="20"/>
  <c r="AF25" i="7"/>
  <c r="P25" i="7"/>
  <c r="P41" i="7" s="1"/>
  <c r="AG25" i="7"/>
  <c r="Y25" i="7"/>
  <c r="Z25" i="7"/>
  <c r="W41" i="7"/>
  <c r="R25" i="7"/>
  <c r="AB25" i="7"/>
  <c r="Q25" i="7"/>
  <c r="AA25" i="7"/>
  <c r="AI159" i="18"/>
  <c r="AD9" i="7"/>
  <c r="AD25" i="7" s="1"/>
  <c r="J39" i="7"/>
  <c r="J41" i="7"/>
  <c r="J35" i="7"/>
  <c r="J45" i="7"/>
  <c r="J47" i="7"/>
  <c r="T25" i="7"/>
  <c r="AJ159" i="18"/>
  <c r="AE9" i="7"/>
  <c r="AE25" i="7" s="1"/>
  <c r="U25" i="7"/>
  <c r="V25" i="7"/>
  <c r="AK159" i="18"/>
  <c r="AL159" i="18"/>
  <c r="BF32" i="20"/>
  <c r="BH26" i="20"/>
  <c r="BJ26" i="20" s="1"/>
  <c r="BG16" i="20"/>
  <c r="AI160" i="18"/>
  <c r="AJ160" i="18"/>
  <c r="AK160" i="18"/>
  <c r="AL160" i="18"/>
  <c r="AX67" i="20"/>
  <c r="AY67" i="20"/>
  <c r="BD32" i="20"/>
  <c r="BC30" i="20"/>
  <c r="BC17" i="20"/>
  <c r="BA67" i="20"/>
  <c r="BA112" i="20"/>
  <c r="AM136" i="20"/>
  <c r="AM137" i="20" s="1"/>
  <c r="AN132" i="20"/>
  <c r="AK26" i="18"/>
  <c r="AL26" i="18"/>
  <c r="AI26" i="18"/>
  <c r="AJ26" i="18"/>
  <c r="AQ97" i="18"/>
  <c r="AL20" i="7" s="1"/>
  <c r="M19" i="7"/>
  <c r="AO97" i="18"/>
  <c r="AJ20" i="7" s="1"/>
  <c r="AP97" i="18"/>
  <c r="AK20" i="7" s="1"/>
  <c r="R11" i="7"/>
  <c r="AB11" i="7"/>
  <c r="AJ37" i="18"/>
  <c r="AE11" i="7" s="1"/>
  <c r="AL37" i="18"/>
  <c r="AG11" i="7" s="1"/>
  <c r="K19" i="7"/>
  <c r="P11" i="7"/>
  <c r="Z11" i="7"/>
  <c r="AL96" i="20"/>
  <c r="AB19" i="7"/>
  <c r="Q11" i="7"/>
  <c r="AA11" i="7"/>
  <c r="AK37" i="18"/>
  <c r="AF11" i="7" s="1"/>
  <c r="L19" i="7"/>
  <c r="Q19" i="7"/>
  <c r="V19" i="7"/>
  <c r="AA19" i="7"/>
  <c r="AK128" i="18"/>
  <c r="AK124" i="18"/>
  <c r="AK101" i="18"/>
  <c r="AF19" i="7" s="1"/>
  <c r="R19" i="7"/>
  <c r="AL128" i="18"/>
  <c r="AL124" i="18"/>
  <c r="AL101" i="18"/>
  <c r="AG19" i="7" s="1"/>
  <c r="Y11" i="7"/>
  <c r="AI37" i="18"/>
  <c r="AD11" i="7" s="1"/>
  <c r="J19" i="7"/>
  <c r="O19" i="7"/>
  <c r="T19" i="7"/>
  <c r="AI97" i="18"/>
  <c r="AD20" i="7" s="1"/>
  <c r="Y19" i="7"/>
  <c r="AI128" i="18"/>
  <c r="AI101" i="18"/>
  <c r="AD19" i="7" s="1"/>
  <c r="AI124" i="18"/>
  <c r="W19" i="7"/>
  <c r="P19" i="7"/>
  <c r="U19" i="7"/>
  <c r="Z19" i="7"/>
  <c r="AJ128" i="18"/>
  <c r="AJ101" i="18"/>
  <c r="AE19" i="7" s="1"/>
  <c r="AJ124" i="18"/>
  <c r="R125" i="20"/>
  <c r="R126" i="20" s="1"/>
  <c r="Q20" i="7"/>
  <c r="S125" i="20"/>
  <c r="S126" i="20" s="1"/>
  <c r="Q125" i="20"/>
  <c r="Q126" i="20" s="1"/>
  <c r="T125" i="20"/>
  <c r="T126" i="20" s="1"/>
  <c r="AJ143" i="18"/>
  <c r="AJ60" i="18"/>
  <c r="AN97" i="18"/>
  <c r="AI20" i="7" s="1"/>
  <c r="AK60" i="18"/>
  <c r="AL60" i="18"/>
  <c r="AK143" i="18"/>
  <c r="AI60" i="18"/>
  <c r="AL143" i="18"/>
  <c r="W28" i="7"/>
  <c r="AJ97" i="18"/>
  <c r="AE20" i="7" s="1"/>
  <c r="AL150" i="18"/>
  <c r="AB20" i="7"/>
  <c r="AI150" i="18"/>
  <c r="V30" i="7"/>
  <c r="AK97" i="18"/>
  <c r="AF20" i="7" s="1"/>
  <c r="AL97" i="18"/>
  <c r="AG20" i="7" s="1"/>
  <c r="AJ150" i="18"/>
  <c r="AI143" i="18"/>
  <c r="AK150" i="18"/>
  <c r="AR59" i="18"/>
  <c r="W45" i="7" l="1"/>
  <c r="W47" i="7"/>
  <c r="W68" i="7" s="1"/>
  <c r="W72" i="7" s="1"/>
  <c r="W39" i="7"/>
  <c r="O45" i="7"/>
  <c r="O35" i="7"/>
  <c r="O39" i="7"/>
  <c r="O41" i="7"/>
  <c r="BK26" i="20"/>
  <c r="AF96" i="7"/>
  <c r="BE30" i="20"/>
  <c r="BE17" i="20"/>
  <c r="BB67" i="20"/>
  <c r="V11" i="7"/>
  <c r="U11" i="7"/>
  <c r="W11" i="7"/>
  <c r="T11" i="7"/>
  <c r="AF39" i="7"/>
  <c r="AF35" i="7"/>
  <c r="AF41" i="7"/>
  <c r="P47" i="7"/>
  <c r="P68" i="7" s="1"/>
  <c r="P72" i="7" s="1"/>
  <c r="AF45" i="7"/>
  <c r="AF47" i="7"/>
  <c r="P35" i="7"/>
  <c r="P45" i="7"/>
  <c r="P39" i="7"/>
  <c r="J49" i="7"/>
  <c r="J48" i="7"/>
  <c r="J68" i="7"/>
  <c r="Q35" i="7"/>
  <c r="Q41" i="7"/>
  <c r="Q39" i="7"/>
  <c r="Q45" i="7"/>
  <c r="Q47" i="7"/>
  <c r="Y96" i="7"/>
  <c r="Y41" i="7"/>
  <c r="Y35" i="7"/>
  <c r="Y47" i="7"/>
  <c r="Y39" i="7"/>
  <c r="Y45" i="7"/>
  <c r="V39" i="7"/>
  <c r="V41" i="7"/>
  <c r="V47" i="7"/>
  <c r="V35" i="7"/>
  <c r="V45" i="7"/>
  <c r="AD47" i="7"/>
  <c r="AD35" i="7"/>
  <c r="AD39" i="7"/>
  <c r="AD41" i="7"/>
  <c r="AD45" i="7"/>
  <c r="AD96" i="7"/>
  <c r="AB96" i="7"/>
  <c r="AB41" i="7"/>
  <c r="AB39" i="7"/>
  <c r="AB35" i="7"/>
  <c r="AB45" i="7"/>
  <c r="AB47" i="7"/>
  <c r="W49" i="7"/>
  <c r="O48" i="7"/>
  <c r="O68" i="7"/>
  <c r="O49" i="7"/>
  <c r="U35" i="7"/>
  <c r="U41" i="7"/>
  <c r="U39" i="7"/>
  <c r="U47" i="7"/>
  <c r="U45" i="7"/>
  <c r="R35" i="7"/>
  <c r="R39" i="7"/>
  <c r="R41" i="7"/>
  <c r="R45" i="7"/>
  <c r="R47" i="7"/>
  <c r="W48" i="7" s="1"/>
  <c r="AE96" i="7"/>
  <c r="AE47" i="7"/>
  <c r="AE35" i="7"/>
  <c r="AE41" i="7"/>
  <c r="AE39" i="7"/>
  <c r="AE45" i="7"/>
  <c r="Z35" i="7"/>
  <c r="Z41" i="7"/>
  <c r="Z96" i="7"/>
  <c r="Z47" i="7"/>
  <c r="Z39" i="7"/>
  <c r="Z45" i="7"/>
  <c r="T47" i="7"/>
  <c r="T48" i="7" s="1"/>
  <c r="T39" i="7"/>
  <c r="T35" i="7"/>
  <c r="T41" i="7"/>
  <c r="T45" i="7"/>
  <c r="AA96" i="7"/>
  <c r="AA39" i="7"/>
  <c r="AA41" i="7"/>
  <c r="AA35" i="7"/>
  <c r="AA47" i="7"/>
  <c r="AA45" i="7"/>
  <c r="AG39" i="7"/>
  <c r="AG96" i="7"/>
  <c r="AG35" i="7"/>
  <c r="L128" i="20"/>
  <c r="BG32" i="20"/>
  <c r="BF30" i="20"/>
  <c r="BI26" i="20"/>
  <c r="BH16" i="20"/>
  <c r="O128" i="20"/>
  <c r="M128" i="20"/>
  <c r="N128" i="20"/>
  <c r="Q128" i="20"/>
  <c r="AL61" i="18"/>
  <c r="AJ61" i="18"/>
  <c r="AI61" i="18"/>
  <c r="AK61" i="18"/>
  <c r="AP61" i="18"/>
  <c r="BD30" i="20"/>
  <c r="BD17" i="20"/>
  <c r="BC11" i="20"/>
  <c r="AJ12" i="18"/>
  <c r="AK12" i="18"/>
  <c r="AP13" i="18" s="1"/>
  <c r="AI12" i="18"/>
  <c r="AL12" i="18"/>
  <c r="AN136" i="20"/>
  <c r="AN137" i="20" s="1"/>
  <c r="AP132" i="20"/>
  <c r="AP136" i="20" s="1"/>
  <c r="AP137" i="20" s="1"/>
  <c r="S128" i="20"/>
  <c r="AQ153" i="18"/>
  <c r="AL28" i="7" s="1"/>
  <c r="AQ155" i="18"/>
  <c r="AL30" i="7" s="1"/>
  <c r="W30" i="7"/>
  <c r="V27" i="7"/>
  <c r="AI125" i="18"/>
  <c r="AM96" i="20"/>
  <c r="AL125" i="18"/>
  <c r="AK125" i="18"/>
  <c r="Y28" i="7"/>
  <c r="T27" i="7"/>
  <c r="AP153" i="18"/>
  <c r="AK28" i="7" s="1"/>
  <c r="AK152" i="18"/>
  <c r="AF27" i="7" s="1"/>
  <c r="AI155" i="18"/>
  <c r="AD30" i="7" s="1"/>
  <c r="Y27" i="7"/>
  <c r="AL155" i="18"/>
  <c r="AG30" i="7" s="1"/>
  <c r="AB27" i="7"/>
  <c r="AJ152" i="18"/>
  <c r="AE27" i="7" s="1"/>
  <c r="Z27" i="7"/>
  <c r="Q27" i="7"/>
  <c r="AL152" i="18"/>
  <c r="AG27" i="7" s="1"/>
  <c r="R27" i="7"/>
  <c r="AN153" i="18"/>
  <c r="AI28" i="7" s="1"/>
  <c r="AI152" i="18"/>
  <c r="AD27" i="7" s="1"/>
  <c r="AB30" i="7"/>
  <c r="W27" i="7"/>
  <c r="Z28" i="7"/>
  <c r="U27" i="7"/>
  <c r="T28" i="7"/>
  <c r="AJ125" i="18"/>
  <c r="AK155" i="18"/>
  <c r="AF30" i="7" s="1"/>
  <c r="AA27" i="7"/>
  <c r="U28" i="7"/>
  <c r="P27" i="7"/>
  <c r="AB28" i="7"/>
  <c r="V28" i="7"/>
  <c r="AM60" i="18"/>
  <c r="Z30" i="7"/>
  <c r="AJ153" i="18"/>
  <c r="AE28" i="7" s="1"/>
  <c r="AI153" i="18"/>
  <c r="AD28" i="7" s="1"/>
  <c r="AK153" i="18"/>
  <c r="AF28" i="7" s="1"/>
  <c r="U30" i="7"/>
  <c r="AL153" i="18"/>
  <c r="AG28" i="7" s="1"/>
  <c r="Y30" i="7"/>
  <c r="AO153" i="18"/>
  <c r="AJ28" i="7" s="1"/>
  <c r="AJ151" i="18"/>
  <c r="AE26" i="7" s="1"/>
  <c r="AO155" i="18"/>
  <c r="AJ30" i="7" s="1"/>
  <c r="T30" i="7"/>
  <c r="AI151" i="18"/>
  <c r="AD26" i="7" s="1"/>
  <c r="AL151" i="18"/>
  <c r="AG26" i="7" s="1"/>
  <c r="AK151" i="18"/>
  <c r="AF26" i="7" s="1"/>
  <c r="AJ155" i="18"/>
  <c r="AE30" i="7" s="1"/>
  <c r="AN155" i="18"/>
  <c r="AI30" i="7" s="1"/>
  <c r="AP155" i="18"/>
  <c r="AK30" i="7" s="1"/>
  <c r="BL26" i="20" l="1"/>
  <c r="BJ16" i="20"/>
  <c r="BF17" i="20"/>
  <c r="BE11" i="20"/>
  <c r="P49" i="7"/>
  <c r="P51" i="7" s="1"/>
  <c r="AF68" i="7"/>
  <c r="AF72" i="7" s="1"/>
  <c r="AF74" i="7" s="1"/>
  <c r="AF56" i="7"/>
  <c r="AF49" i="7"/>
  <c r="O72" i="7"/>
  <c r="AD68" i="7"/>
  <c r="AD56" i="7"/>
  <c r="AD48" i="7"/>
  <c r="AD49" i="7"/>
  <c r="Y56" i="7"/>
  <c r="Y68" i="7"/>
  <c r="Y48" i="7"/>
  <c r="Y49" i="7"/>
  <c r="AA56" i="7"/>
  <c r="AA48" i="7"/>
  <c r="AA68" i="7"/>
  <c r="AA72" i="7" s="1"/>
  <c r="AA49" i="7"/>
  <c r="U68" i="7"/>
  <c r="U72" i="7" s="1"/>
  <c r="U49" i="7"/>
  <c r="U48" i="7"/>
  <c r="T68" i="7"/>
  <c r="T49" i="7"/>
  <c r="AF48" i="7"/>
  <c r="V68" i="7"/>
  <c r="V72" i="7" s="1"/>
  <c r="V49" i="7"/>
  <c r="W51" i="7" s="1"/>
  <c r="V48" i="7"/>
  <c r="R68" i="7"/>
  <c r="R72" i="7" s="1"/>
  <c r="W73" i="7" s="1"/>
  <c r="R49" i="7"/>
  <c r="W50" i="7" s="1"/>
  <c r="W74" i="7"/>
  <c r="J72" i="7"/>
  <c r="AB48" i="7"/>
  <c r="AB49" i="7"/>
  <c r="AB68" i="7"/>
  <c r="AB72" i="7" s="1"/>
  <c r="AB56" i="7"/>
  <c r="Q49" i="7"/>
  <c r="Q68" i="7"/>
  <c r="Q72" i="7" s="1"/>
  <c r="Z49" i="7"/>
  <c r="Z68" i="7"/>
  <c r="Z72" i="7" s="1"/>
  <c r="Z48" i="7"/>
  <c r="Z56" i="7"/>
  <c r="AE68" i="7"/>
  <c r="AE72" i="7" s="1"/>
  <c r="AE56" i="7"/>
  <c r="AE49" i="7"/>
  <c r="AE48" i="7"/>
  <c r="O50" i="7"/>
  <c r="P74" i="7"/>
  <c r="J50" i="7"/>
  <c r="Q62" i="20"/>
  <c r="J128" i="20"/>
  <c r="AM61" i="18"/>
  <c r="BH32" i="20"/>
  <c r="BJ32" i="20" s="1"/>
  <c r="BG30" i="20"/>
  <c r="BI16" i="20"/>
  <c r="T128" i="20"/>
  <c r="R128" i="20"/>
  <c r="BQ95" i="7"/>
  <c r="BD105" i="20"/>
  <c r="BD11" i="20"/>
  <c r="BC63" i="20"/>
  <c r="BC67" i="20" s="1"/>
  <c r="BC112" i="20"/>
  <c r="AQ132" i="20"/>
  <c r="AM12" i="18"/>
  <c r="T62" i="20"/>
  <c r="R62" i="20"/>
  <c r="AO31" i="20"/>
  <c r="AO96" i="20" s="1"/>
  <c r="AO98" i="20" s="1"/>
  <c r="AI156" i="18"/>
  <c r="AD31" i="7" s="1"/>
  <c r="AJ154" i="18"/>
  <c r="AE29" i="7" s="1"/>
  <c r="AK154" i="18"/>
  <c r="AF29" i="7" s="1"/>
  <c r="AJ156" i="18"/>
  <c r="AE31" i="7" s="1"/>
  <c r="AI154" i="18"/>
  <c r="AD29" i="7" s="1"/>
  <c r="AL154" i="18"/>
  <c r="AG29" i="7" s="1"/>
  <c r="AL156" i="18"/>
  <c r="AG31" i="7" s="1"/>
  <c r="AK156" i="18"/>
  <c r="AF31" i="7" s="1"/>
  <c r="AF73" i="7" l="1"/>
  <c r="BF11" i="20"/>
  <c r="BF63" i="20" s="1"/>
  <c r="BF67" i="20" s="1"/>
  <c r="AF77" i="7"/>
  <c r="BK32" i="20"/>
  <c r="BM26" i="20"/>
  <c r="BK16" i="20"/>
  <c r="BG17" i="20"/>
  <c r="AF100" i="7"/>
  <c r="BE63" i="20"/>
  <c r="BE67" i="20" s="1"/>
  <c r="AF50" i="7"/>
  <c r="AF51" i="7"/>
  <c r="AF59" i="7"/>
  <c r="AF62" i="7"/>
  <c r="AE50" i="7"/>
  <c r="AE51" i="7"/>
  <c r="Q74" i="7"/>
  <c r="AA59" i="7"/>
  <c r="AA62" i="7"/>
  <c r="AD50" i="7"/>
  <c r="AD51" i="7"/>
  <c r="AB59" i="7"/>
  <c r="AB62" i="7"/>
  <c r="AE62" i="7"/>
  <c r="AE59" i="7"/>
  <c r="Q51" i="7"/>
  <c r="AE100" i="7"/>
  <c r="AE77" i="7"/>
  <c r="AE74" i="7"/>
  <c r="AE73" i="7"/>
  <c r="AB50" i="7"/>
  <c r="AB51" i="7"/>
  <c r="Y51" i="7"/>
  <c r="Y50" i="7"/>
  <c r="Z62" i="7"/>
  <c r="Z59" i="7"/>
  <c r="AB100" i="7"/>
  <c r="AB73" i="7"/>
  <c r="AB74" i="7"/>
  <c r="AB75" i="7" s="1"/>
  <c r="AB77" i="7"/>
  <c r="R74" i="7"/>
  <c r="W75" i="7" s="1"/>
  <c r="T50" i="7"/>
  <c r="T51" i="7"/>
  <c r="AD72" i="7"/>
  <c r="AE142" i="7" s="1"/>
  <c r="X68" i="7"/>
  <c r="T72" i="7"/>
  <c r="Z77" i="7"/>
  <c r="Z74" i="7"/>
  <c r="Z100" i="7"/>
  <c r="Z73" i="7"/>
  <c r="AA50" i="7"/>
  <c r="AA51" i="7"/>
  <c r="AC68" i="7"/>
  <c r="Y72" i="7"/>
  <c r="O74" i="7"/>
  <c r="O73" i="7"/>
  <c r="S72" i="7"/>
  <c r="R51" i="7"/>
  <c r="AD62" i="7"/>
  <c r="AD59" i="7"/>
  <c r="Z50" i="7"/>
  <c r="Z51" i="7"/>
  <c r="V50" i="7"/>
  <c r="V51" i="7"/>
  <c r="U51" i="7"/>
  <c r="U50" i="7"/>
  <c r="AA73" i="7"/>
  <c r="AA74" i="7"/>
  <c r="AA77" i="7"/>
  <c r="AA100" i="7"/>
  <c r="J74" i="7"/>
  <c r="J75" i="7" s="1"/>
  <c r="J73" i="7"/>
  <c r="V73" i="7"/>
  <c r="V74" i="7"/>
  <c r="U73" i="7"/>
  <c r="U74" i="7"/>
  <c r="U75" i="7" s="1"/>
  <c r="AC56" i="7"/>
  <c r="Y62" i="7"/>
  <c r="Y59" i="7"/>
  <c r="S68" i="7"/>
  <c r="BI32" i="20"/>
  <c r="BH30" i="20"/>
  <c r="BG11" i="20"/>
  <c r="AQ134" i="20"/>
  <c r="AQ136" i="20"/>
  <c r="BD63" i="20"/>
  <c r="BD67" i="20" s="1"/>
  <c r="AQ96" i="20"/>
  <c r="AW59" i="18"/>
  <c r="AA20" i="7"/>
  <c r="V18" i="7"/>
  <c r="T18" i="7"/>
  <c r="T26" i="7"/>
  <c r="U10" i="7"/>
  <c r="AL135" i="18"/>
  <c r="AK135" i="18"/>
  <c r="AJ135" i="18"/>
  <c r="AI135" i="18"/>
  <c r="AM142" i="18"/>
  <c r="AL52" i="18"/>
  <c r="AK52" i="18"/>
  <c r="AJ52" i="18"/>
  <c r="AI52" i="18"/>
  <c r="BL32" i="20" l="1"/>
  <c r="BJ30" i="20"/>
  <c r="BN26" i="20"/>
  <c r="BH17" i="20"/>
  <c r="BL16" i="20"/>
  <c r="BG63" i="20"/>
  <c r="BG67" i="20" s="1"/>
  <c r="AA75" i="7"/>
  <c r="AF63" i="7"/>
  <c r="AC59" i="7"/>
  <c r="AF80" i="7"/>
  <c r="AF85" i="7" s="1"/>
  <c r="AF75" i="7"/>
  <c r="AE75" i="7"/>
  <c r="AA63" i="7"/>
  <c r="AA80" i="7"/>
  <c r="AA85" i="7" s="1"/>
  <c r="AD74" i="7"/>
  <c r="AD100" i="7"/>
  <c r="AD142" i="7"/>
  <c r="AD73" i="7"/>
  <c r="AD77" i="7"/>
  <c r="AF142" i="7"/>
  <c r="AE80" i="7"/>
  <c r="AE85" i="7" s="1"/>
  <c r="AE63" i="7"/>
  <c r="V75" i="7"/>
  <c r="AC62" i="7"/>
  <c r="Y80" i="7"/>
  <c r="Y63" i="7"/>
  <c r="O75" i="7"/>
  <c r="Z80" i="7"/>
  <c r="Z85" i="7" s="1"/>
  <c r="Z63" i="7"/>
  <c r="AB63" i="7"/>
  <c r="AB80" i="7"/>
  <c r="AB85" i="7" s="1"/>
  <c r="X72" i="7"/>
  <c r="T74" i="7"/>
  <c r="T75" i="7" s="1"/>
  <c r="T73" i="7"/>
  <c r="AD80" i="7"/>
  <c r="AD63" i="7"/>
  <c r="Y73" i="7"/>
  <c r="Y100" i="7"/>
  <c r="Y77" i="7"/>
  <c r="Y74" i="7"/>
  <c r="AC72" i="7"/>
  <c r="Z75" i="7"/>
  <c r="AL163" i="18"/>
  <c r="BI30" i="20"/>
  <c r="BH11" i="20"/>
  <c r="AJ163" i="18"/>
  <c r="AK163" i="18"/>
  <c r="AI63" i="18"/>
  <c r="AI64" i="18" s="1"/>
  <c r="AI163" i="18"/>
  <c r="AI145" i="18"/>
  <c r="AI146" i="18" s="1"/>
  <c r="AI164" i="18"/>
  <c r="AJ145" i="18"/>
  <c r="AJ146" i="18" s="1"/>
  <c r="AJ164" i="18"/>
  <c r="AK164" i="18"/>
  <c r="AL145" i="18"/>
  <c r="AL146" i="18" s="1"/>
  <c r="AL164" i="18"/>
  <c r="AK145" i="18"/>
  <c r="AJ64" i="18"/>
  <c r="AJ63" i="18"/>
  <c r="AK63" i="18"/>
  <c r="AK64" i="18"/>
  <c r="AL64" i="18"/>
  <c r="AL63" i="18"/>
  <c r="T29" i="7"/>
  <c r="AJ137" i="18"/>
  <c r="AK137" i="18"/>
  <c r="AL137" i="18"/>
  <c r="AI137" i="18"/>
  <c r="AL54" i="18"/>
  <c r="AJ54" i="18"/>
  <c r="AK54" i="18"/>
  <c r="V26" i="7"/>
  <c r="W26" i="7"/>
  <c r="V21" i="7"/>
  <c r="V23" i="7"/>
  <c r="T23" i="7"/>
  <c r="T21" i="7"/>
  <c r="AA30" i="7"/>
  <c r="T31" i="7"/>
  <c r="AA28" i="7"/>
  <c r="U13" i="7"/>
  <c r="U15" i="7"/>
  <c r="U26" i="7"/>
  <c r="AI54" i="18"/>
  <c r="AM52" i="18"/>
  <c r="BI17" i="20" l="1"/>
  <c r="BI105" i="20" s="1"/>
  <c r="BM32" i="20"/>
  <c r="BK30" i="20"/>
  <c r="BJ17" i="20"/>
  <c r="BM16" i="20"/>
  <c r="BJ11" i="20"/>
  <c r="AF90" i="7"/>
  <c r="AF86" i="7"/>
  <c r="AF88" i="7"/>
  <c r="AB90" i="7"/>
  <c r="Z64" i="7"/>
  <c r="AA64" i="7"/>
  <c r="AB64" i="7"/>
  <c r="AD75" i="7"/>
  <c r="AF64" i="7"/>
  <c r="Z88" i="7"/>
  <c r="Z86" i="7"/>
  <c r="AI144" i="18"/>
  <c r="X73" i="7"/>
  <c r="AE64" i="7"/>
  <c r="AD64" i="7"/>
  <c r="AD85" i="7"/>
  <c r="AE86" i="7"/>
  <c r="AE88" i="7"/>
  <c r="AC77" i="7"/>
  <c r="AC100" i="7"/>
  <c r="AC73" i="7"/>
  <c r="AE90" i="7"/>
  <c r="Y64" i="7"/>
  <c r="AC63" i="7"/>
  <c r="Z90" i="7"/>
  <c r="Y75" i="7"/>
  <c r="AC80" i="7"/>
  <c r="Y85" i="7"/>
  <c r="AB86" i="7"/>
  <c r="AB88" i="7"/>
  <c r="AA90" i="7"/>
  <c r="AA88" i="7"/>
  <c r="AA86" i="7"/>
  <c r="AJ144" i="18"/>
  <c r="AI66" i="18"/>
  <c r="BI11" i="20"/>
  <c r="BH63" i="20"/>
  <c r="AI62" i="18"/>
  <c r="AJ148" i="18"/>
  <c r="AI148" i="18"/>
  <c r="AL144" i="18"/>
  <c r="AL148" i="18"/>
  <c r="AL66" i="18"/>
  <c r="AJ66" i="18"/>
  <c r="AK66" i="18"/>
  <c r="AL62" i="18"/>
  <c r="AJ62" i="18"/>
  <c r="AK62" i="18"/>
  <c r="AK144" i="18"/>
  <c r="AK146" i="18"/>
  <c r="AK148" i="18"/>
  <c r="AJ65" i="18"/>
  <c r="AK65" i="18"/>
  <c r="AL65" i="18"/>
  <c r="AM63" i="18"/>
  <c r="U29" i="7"/>
  <c r="W31" i="7"/>
  <c r="W29" i="7"/>
  <c r="V31" i="7"/>
  <c r="V29" i="7"/>
  <c r="AI56" i="18"/>
  <c r="U31" i="7"/>
  <c r="AJ177" i="18"/>
  <c r="AJ180" i="18"/>
  <c r="AJ172" i="18"/>
  <c r="AJ169" i="18"/>
  <c r="AK180" i="18"/>
  <c r="AK177" i="18"/>
  <c r="AK169" i="18"/>
  <c r="AK172" i="18"/>
  <c r="AM169" i="18"/>
  <c r="AM172" i="18"/>
  <c r="AL172" i="18"/>
  <c r="AL169" i="18"/>
  <c r="BN32" i="20" l="1"/>
  <c r="BL30" i="20"/>
  <c r="BK17" i="20"/>
  <c r="BN16" i="20"/>
  <c r="BJ63" i="20"/>
  <c r="BK11" i="20"/>
  <c r="AI65" i="18"/>
  <c r="Z89" i="7"/>
  <c r="AE89" i="7"/>
  <c r="AA89" i="7"/>
  <c r="AC64" i="7"/>
  <c r="AE146" i="7"/>
  <c r="AB89" i="7"/>
  <c r="AF89" i="7"/>
  <c r="Y88" i="7"/>
  <c r="AC85" i="7"/>
  <c r="Y86" i="7"/>
  <c r="Y90" i="7"/>
  <c r="AD86" i="7"/>
  <c r="AD146" i="7"/>
  <c r="AD88" i="7"/>
  <c r="AF146" i="7"/>
  <c r="AD90" i="7"/>
  <c r="AJ147" i="18"/>
  <c r="BH67" i="20"/>
  <c r="BI63" i="20"/>
  <c r="BI67" i="20" s="1"/>
  <c r="AI147" i="18"/>
  <c r="AL147" i="18"/>
  <c r="AK147" i="18"/>
  <c r="AM62" i="18"/>
  <c r="AM64" i="18"/>
  <c r="BB59" i="18"/>
  <c r="F70" i="20"/>
  <c r="K72" i="20"/>
  <c r="K70" i="20"/>
  <c r="AI180" i="18"/>
  <c r="AI177" i="18"/>
  <c r="AI172" i="18"/>
  <c r="AI169" i="18"/>
  <c r="AM126" i="18"/>
  <c r="AM122" i="18"/>
  <c r="AM46" i="18"/>
  <c r="AM43" i="18"/>
  <c r="AM39" i="18"/>
  <c r="AI131" i="18"/>
  <c r="AI127" i="18"/>
  <c r="AI123" i="18"/>
  <c r="AI48" i="18"/>
  <c r="AI44" i="18"/>
  <c r="AI40" i="18"/>
  <c r="AJ48" i="18"/>
  <c r="AJ131" i="18"/>
  <c r="AJ127" i="18"/>
  <c r="AJ123" i="18"/>
  <c r="AJ44" i="18"/>
  <c r="AJ40" i="18"/>
  <c r="AK127" i="18"/>
  <c r="AK123" i="18"/>
  <c r="AK48" i="18"/>
  <c r="AK44" i="18"/>
  <c r="AK40" i="18"/>
  <c r="AL127" i="18"/>
  <c r="AL123" i="18"/>
  <c r="AL44" i="18"/>
  <c r="AL40" i="18"/>
  <c r="AL48" i="18"/>
  <c r="AL129" i="18"/>
  <c r="AG40" i="7" s="1"/>
  <c r="BM30" i="20" l="1"/>
  <c r="BL17" i="20"/>
  <c r="BJ67" i="20"/>
  <c r="BK63" i="20"/>
  <c r="BK67" i="20" s="1"/>
  <c r="BL11" i="20"/>
  <c r="BL63" i="20" s="1"/>
  <c r="BL67" i="20" s="1"/>
  <c r="Y89" i="7"/>
  <c r="AC86" i="7"/>
  <c r="AC88" i="7"/>
  <c r="AC90" i="7"/>
  <c r="AG70" i="7"/>
  <c r="AH70" i="7" s="1"/>
  <c r="AH40" i="7"/>
  <c r="AG41" i="7"/>
  <c r="AG43" i="7"/>
  <c r="AD89" i="7"/>
  <c r="AR142" i="18"/>
  <c r="AM40" i="18"/>
  <c r="AM48" i="18"/>
  <c r="AM44" i="18"/>
  <c r="AM123" i="18"/>
  <c r="AM129" i="18"/>
  <c r="AI132" i="18"/>
  <c r="AM127" i="18"/>
  <c r="AI49" i="18"/>
  <c r="AJ49" i="18"/>
  <c r="AJ132" i="18"/>
  <c r="AK131" i="18"/>
  <c r="AK49" i="18"/>
  <c r="AL131" i="18"/>
  <c r="AM177" i="18"/>
  <c r="AM180" i="18"/>
  <c r="AL180" i="18"/>
  <c r="AL177" i="18"/>
  <c r="BN30" i="20" l="1"/>
  <c r="BM17" i="20"/>
  <c r="BM11" i="20"/>
  <c r="AC89" i="7"/>
  <c r="AG45" i="7"/>
  <c r="AG44" i="7"/>
  <c r="AL44" i="7"/>
  <c r="AH43" i="7"/>
  <c r="AG47" i="7"/>
  <c r="AM131" i="18"/>
  <c r="AK132" i="18"/>
  <c r="E9" i="7"/>
  <c r="E25" i="7" s="1"/>
  <c r="F9" i="7"/>
  <c r="F25" i="7" s="1"/>
  <c r="G9" i="7"/>
  <c r="G25" i="7" s="1"/>
  <c r="K9" i="7"/>
  <c r="K25" i="7" s="1"/>
  <c r="H9" i="7"/>
  <c r="H25" i="7" s="1"/>
  <c r="M9" i="7"/>
  <c r="M25" i="7" s="1"/>
  <c r="L9" i="7"/>
  <c r="L25" i="7" s="1"/>
  <c r="AN23" i="18"/>
  <c r="AK22" i="18"/>
  <c r="BM63" i="20" l="1"/>
  <c r="BM67" i="20" s="1"/>
  <c r="BN17" i="20"/>
  <c r="BN11" i="20"/>
  <c r="AG49" i="7"/>
  <c r="AG56" i="7"/>
  <c r="AG68" i="7"/>
  <c r="AG48" i="7"/>
  <c r="G39" i="7"/>
  <c r="G41" i="7"/>
  <c r="G35" i="7"/>
  <c r="G47" i="7"/>
  <c r="G45" i="7"/>
  <c r="AH44" i="7"/>
  <c r="AM44" i="7"/>
  <c r="K41" i="7"/>
  <c r="K35" i="7"/>
  <c r="K39" i="7"/>
  <c r="K47" i="7"/>
  <c r="K45" i="7"/>
  <c r="L39" i="7"/>
  <c r="L41" i="7"/>
  <c r="L35" i="7"/>
  <c r="L45" i="7"/>
  <c r="L47" i="7"/>
  <c r="H39" i="7"/>
  <c r="H41" i="7"/>
  <c r="H35" i="7"/>
  <c r="H47" i="7"/>
  <c r="H45" i="7"/>
  <c r="M41" i="7"/>
  <c r="M39" i="7"/>
  <c r="M35" i="7"/>
  <c r="M45" i="7"/>
  <c r="M47" i="7"/>
  <c r="AP23" i="18"/>
  <c r="BG60" i="18"/>
  <c r="S9" i="7"/>
  <c r="O11" i="7"/>
  <c r="K30" i="7"/>
  <c r="J28" i="7"/>
  <c r="R28" i="7"/>
  <c r="M28" i="7"/>
  <c r="O28" i="7"/>
  <c r="O26" i="7"/>
  <c r="O30" i="7"/>
  <c r="P30" i="7"/>
  <c r="X9" i="7"/>
  <c r="K10" i="7"/>
  <c r="H10" i="7"/>
  <c r="J10" i="7"/>
  <c r="V10" i="7"/>
  <c r="R10" i="7"/>
  <c r="W10" i="7"/>
  <c r="P10" i="7"/>
  <c r="T10" i="7"/>
  <c r="G10" i="7"/>
  <c r="L10" i="7"/>
  <c r="O10" i="7"/>
  <c r="M10" i="7"/>
  <c r="Q10" i="7"/>
  <c r="F10" i="7"/>
  <c r="E10" i="7"/>
  <c r="AL22" i="18"/>
  <c r="AM20" i="18"/>
  <c r="AR21" i="18" s="1"/>
  <c r="AM18" i="18"/>
  <c r="AR19" i="18" s="1"/>
  <c r="AM16" i="18"/>
  <c r="AR17" i="18" s="1"/>
  <c r="BN63" i="20" l="1"/>
  <c r="BN67" i="20" s="1"/>
  <c r="BN105" i="20"/>
  <c r="L68" i="7"/>
  <c r="L72" i="7" s="1"/>
  <c r="L48" i="7"/>
  <c r="L49" i="7"/>
  <c r="Q48" i="7"/>
  <c r="G68" i="7"/>
  <c r="G72" i="7" s="1"/>
  <c r="G74" i="7" s="1"/>
  <c r="G49" i="7"/>
  <c r="G48" i="7"/>
  <c r="AG72" i="7"/>
  <c r="AH68" i="7"/>
  <c r="M48" i="7"/>
  <c r="M68" i="7"/>
  <c r="M72" i="7" s="1"/>
  <c r="M49" i="7"/>
  <c r="R48" i="7"/>
  <c r="H49" i="7"/>
  <c r="J51" i="7" s="1"/>
  <c r="H48" i="7"/>
  <c r="H68" i="7"/>
  <c r="H72" i="7" s="1"/>
  <c r="H74" i="7" s="1"/>
  <c r="AG62" i="7"/>
  <c r="AG59" i="7"/>
  <c r="AH56" i="7"/>
  <c r="K48" i="7"/>
  <c r="K68" i="7"/>
  <c r="K49" i="7"/>
  <c r="P48" i="7"/>
  <c r="AG50" i="7"/>
  <c r="AG51" i="7"/>
  <c r="BG12" i="18"/>
  <c r="AM22" i="18"/>
  <c r="AR23" i="18" s="1"/>
  <c r="AQ23" i="18"/>
  <c r="L26" i="7"/>
  <c r="Q26" i="7"/>
  <c r="L27" i="7"/>
  <c r="P28" i="7"/>
  <c r="K27" i="7"/>
  <c r="M30" i="7"/>
  <c r="M27" i="7"/>
  <c r="O27" i="7"/>
  <c r="K28" i="7"/>
  <c r="J30" i="7"/>
  <c r="J27" i="7"/>
  <c r="Q30" i="7"/>
  <c r="Q28" i="7"/>
  <c r="L15" i="7"/>
  <c r="L13" i="7"/>
  <c r="J26" i="7"/>
  <c r="M26" i="7"/>
  <c r="R26" i="7"/>
  <c r="Q15" i="7"/>
  <c r="Q13" i="7"/>
  <c r="I9" i="7"/>
  <c r="M13" i="7"/>
  <c r="M15" i="7"/>
  <c r="R15" i="7"/>
  <c r="R13" i="7"/>
  <c r="L28" i="7"/>
  <c r="R30" i="7"/>
  <c r="O29" i="7"/>
  <c r="O31" i="7"/>
  <c r="O15" i="7"/>
  <c r="O13" i="7"/>
  <c r="J15" i="7"/>
  <c r="J13" i="7"/>
  <c r="P15" i="7"/>
  <c r="P13" i="7"/>
  <c r="K15" i="7"/>
  <c r="K13" i="7"/>
  <c r="K26" i="7"/>
  <c r="P26" i="7"/>
  <c r="V13" i="7"/>
  <c r="V15" i="7"/>
  <c r="W15" i="7"/>
  <c r="W13" i="7"/>
  <c r="X12" i="7"/>
  <c r="X14" i="7"/>
  <c r="T13" i="7"/>
  <c r="T15" i="7"/>
  <c r="AM19" i="18"/>
  <c r="AM21" i="18"/>
  <c r="AM17" i="18"/>
  <c r="AH59" i="7" l="1"/>
  <c r="K72" i="7"/>
  <c r="N68" i="7"/>
  <c r="M51" i="7"/>
  <c r="M50" i="7"/>
  <c r="O51" i="7"/>
  <c r="R50" i="7"/>
  <c r="M73" i="7"/>
  <c r="M74" i="7"/>
  <c r="R73" i="7"/>
  <c r="L50" i="7"/>
  <c r="L51" i="7"/>
  <c r="Q50" i="7"/>
  <c r="P50" i="7"/>
  <c r="K50" i="7"/>
  <c r="K51" i="7"/>
  <c r="AG63" i="7"/>
  <c r="AG80" i="7"/>
  <c r="AH62" i="7"/>
  <c r="AG142" i="7"/>
  <c r="AG74" i="7"/>
  <c r="AG75" i="7" s="1"/>
  <c r="AG73" i="7"/>
  <c r="AG77" i="7"/>
  <c r="AG100" i="7"/>
  <c r="AH72" i="7"/>
  <c r="U103" i="20" s="1"/>
  <c r="L73" i="7"/>
  <c r="L74" i="7"/>
  <c r="Q73" i="7"/>
  <c r="Q31" i="7"/>
  <c r="AM23" i="18"/>
  <c r="J29" i="7"/>
  <c r="Q29" i="7"/>
  <c r="J31" i="7"/>
  <c r="M29" i="7"/>
  <c r="M31" i="7"/>
  <c r="N9" i="7"/>
  <c r="L29" i="7"/>
  <c r="L31" i="7"/>
  <c r="R29" i="7"/>
  <c r="R31" i="7"/>
  <c r="P29" i="7"/>
  <c r="P31" i="7"/>
  <c r="K29" i="7"/>
  <c r="K31" i="7"/>
  <c r="AW142" i="18"/>
  <c r="X13" i="7"/>
  <c r="I10" i="7"/>
  <c r="L75" i="7" l="1"/>
  <c r="Q75" i="7"/>
  <c r="AG85" i="7"/>
  <c r="AH80" i="7"/>
  <c r="X15" i="7"/>
  <c r="AH77" i="7"/>
  <c r="AH100" i="7"/>
  <c r="AH73" i="7"/>
  <c r="AG64" i="7"/>
  <c r="AH63" i="7"/>
  <c r="M75" i="7"/>
  <c r="R75" i="7"/>
  <c r="K74" i="7"/>
  <c r="K73" i="7"/>
  <c r="P73" i="7"/>
  <c r="N72" i="7"/>
  <c r="BL59" i="18"/>
  <c r="N10" i="7"/>
  <c r="S15" i="7"/>
  <c r="S13" i="7"/>
  <c r="S12" i="7"/>
  <c r="S14" i="7"/>
  <c r="AM74" i="18"/>
  <c r="AM72" i="18"/>
  <c r="AM70" i="18"/>
  <c r="AH64" i="7" l="1"/>
  <c r="K75" i="7"/>
  <c r="P75" i="7"/>
  <c r="S73" i="7"/>
  <c r="AG146" i="7"/>
  <c r="AH146" i="7" s="1"/>
  <c r="AG88" i="7"/>
  <c r="AG86" i="7"/>
  <c r="AH85" i="7"/>
  <c r="AG90" i="7"/>
  <c r="U107" i="20"/>
  <c r="U108" i="20"/>
  <c r="S17" i="7"/>
  <c r="S25" i="7" s="1"/>
  <c r="I17" i="7"/>
  <c r="I25" i="7" s="1"/>
  <c r="AC17" i="7"/>
  <c r="N17" i="7"/>
  <c r="N25" i="7" s="1"/>
  <c r="N74" i="7" s="1"/>
  <c r="AM95" i="18"/>
  <c r="AH17" i="7" s="1"/>
  <c r="X17" i="7"/>
  <c r="X25" i="7" s="1"/>
  <c r="G18" i="7"/>
  <c r="U18" i="7"/>
  <c r="E18" i="7"/>
  <c r="J18" i="7"/>
  <c r="F18" i="7"/>
  <c r="P18" i="7"/>
  <c r="L18" i="7"/>
  <c r="Q18" i="7"/>
  <c r="H18" i="7"/>
  <c r="M18" i="7"/>
  <c r="R18" i="7"/>
  <c r="K18" i="7"/>
  <c r="AM75" i="18"/>
  <c r="O18" i="7"/>
  <c r="W18" i="7"/>
  <c r="AM71" i="18"/>
  <c r="AM73" i="18"/>
  <c r="AG89" i="7" l="1"/>
  <c r="S76" i="7"/>
  <c r="AH86" i="7"/>
  <c r="AH88" i="7"/>
  <c r="AH90" i="7"/>
  <c r="I41" i="7"/>
  <c r="I35" i="7"/>
  <c r="I39" i="7"/>
  <c r="I45" i="7"/>
  <c r="I47" i="7"/>
  <c r="S39" i="7"/>
  <c r="S41" i="7"/>
  <c r="S35" i="7"/>
  <c r="S45" i="7"/>
  <c r="S47" i="7"/>
  <c r="S74" i="7"/>
  <c r="S75" i="7" s="1"/>
  <c r="X35" i="7"/>
  <c r="X39" i="7"/>
  <c r="X41" i="7"/>
  <c r="X45" i="7"/>
  <c r="X47" i="7"/>
  <c r="X76" i="7"/>
  <c r="X74" i="7"/>
  <c r="N39" i="7"/>
  <c r="N41" i="7"/>
  <c r="N35" i="7"/>
  <c r="N45" i="7"/>
  <c r="N47" i="7"/>
  <c r="X28" i="7"/>
  <c r="X20" i="7"/>
  <c r="X22" i="7"/>
  <c r="K128" i="20"/>
  <c r="AM128" i="18"/>
  <c r="AM124" i="18"/>
  <c r="O21" i="7"/>
  <c r="O23" i="7"/>
  <c r="Q23" i="7"/>
  <c r="Q21" i="7"/>
  <c r="R21" i="7"/>
  <c r="R23" i="7"/>
  <c r="M21" i="7"/>
  <c r="M23" i="7"/>
  <c r="J21" i="7"/>
  <c r="J23" i="7"/>
  <c r="S22" i="7"/>
  <c r="S20" i="7"/>
  <c r="BB142" i="18"/>
  <c r="BB143" i="18" s="1"/>
  <c r="K23" i="7"/>
  <c r="K21" i="7"/>
  <c r="P21" i="7"/>
  <c r="P23" i="7"/>
  <c r="AC22" i="7"/>
  <c r="L23" i="7"/>
  <c r="L21" i="7"/>
  <c r="AC28" i="7"/>
  <c r="AM143" i="18"/>
  <c r="AM135" i="18"/>
  <c r="X18" i="7"/>
  <c r="W23" i="7"/>
  <c r="W21" i="7"/>
  <c r="U21" i="7"/>
  <c r="U23" i="7"/>
  <c r="AC20" i="7"/>
  <c r="I18" i="7"/>
  <c r="AC18" i="7"/>
  <c r="AM133" i="18"/>
  <c r="N18" i="7"/>
  <c r="S18" i="7"/>
  <c r="AH89" i="7" l="1"/>
  <c r="X49" i="7"/>
  <c r="X48" i="7"/>
  <c r="N49" i="7"/>
  <c r="N48" i="7"/>
  <c r="I48" i="7"/>
  <c r="I49" i="7"/>
  <c r="I68" i="7"/>
  <c r="I72" i="7" s="1"/>
  <c r="X75" i="7"/>
  <c r="S49" i="7"/>
  <c r="S48" i="7"/>
  <c r="AM145" i="18"/>
  <c r="AM164" i="18"/>
  <c r="AM163" i="18"/>
  <c r="S26" i="7"/>
  <c r="BO12" i="18"/>
  <c r="BO13" i="18" s="1"/>
  <c r="AM125" i="18"/>
  <c r="K141" i="20"/>
  <c r="S21" i="7"/>
  <c r="N26" i="7"/>
  <c r="N28" i="7"/>
  <c r="K61" i="20"/>
  <c r="S23" i="7"/>
  <c r="S28" i="7"/>
  <c r="S29" i="7"/>
  <c r="S30" i="7"/>
  <c r="S31" i="7"/>
  <c r="AM137" i="18"/>
  <c r="X21" i="7"/>
  <c r="X29" i="7"/>
  <c r="X30" i="7"/>
  <c r="X31" i="7"/>
  <c r="X23" i="7"/>
  <c r="AC30" i="7"/>
  <c r="X26" i="7"/>
  <c r="I76" i="7" l="1"/>
  <c r="I73" i="7"/>
  <c r="I74" i="7"/>
  <c r="N76" i="7"/>
  <c r="N73" i="7"/>
  <c r="I51" i="7"/>
  <c r="I50" i="7"/>
  <c r="N50" i="7"/>
  <c r="S50" i="7"/>
  <c r="X50" i="7"/>
  <c r="AM148" i="18"/>
  <c r="AM146" i="18"/>
  <c r="AM144" i="18"/>
  <c r="BQ59" i="18"/>
  <c r="K67" i="20"/>
  <c r="K89" i="20" s="1"/>
  <c r="K91" i="20" s="1"/>
  <c r="K92" i="20" s="1"/>
  <c r="N29" i="7"/>
  <c r="N31" i="7" l="1"/>
  <c r="I75" i="7"/>
  <c r="N75" i="7"/>
  <c r="AM147" i="18"/>
  <c r="P90" i="20"/>
  <c r="AC12" i="7"/>
  <c r="AC14" i="7"/>
  <c r="S10" i="7"/>
  <c r="X10" i="7"/>
  <c r="BT12" i="18" l="1"/>
  <c r="BT13" i="18" s="1"/>
  <c r="BV59" i="18"/>
  <c r="BG142" i="18"/>
  <c r="F141" i="20" l="1"/>
  <c r="F61" i="20"/>
  <c r="AN31" i="18"/>
  <c r="AI9" i="7" s="1"/>
  <c r="AN26" i="18" l="1"/>
  <c r="AN41" i="18"/>
  <c r="AS42" i="18" s="1"/>
  <c r="AN37" i="18"/>
  <c r="AN52" i="18"/>
  <c r="AN47" i="18"/>
  <c r="AN45" i="18"/>
  <c r="AN32" i="18"/>
  <c r="AI10" i="7" s="1"/>
  <c r="AN60" i="18"/>
  <c r="AN61" i="18" s="1"/>
  <c r="AO95" i="18"/>
  <c r="AJ17" i="7" s="1"/>
  <c r="AJ25" i="7" s="1"/>
  <c r="AN95" i="18"/>
  <c r="AQ95" i="18"/>
  <c r="AL17" i="7" s="1"/>
  <c r="AL25" i="7" s="1"/>
  <c r="AP95" i="18"/>
  <c r="AK17" i="7" s="1"/>
  <c r="AK25" i="7" s="1"/>
  <c r="AR70" i="18"/>
  <c r="AR74" i="18"/>
  <c r="AR72" i="18"/>
  <c r="AI75" i="18"/>
  <c r="AI73" i="18"/>
  <c r="AI71" i="18"/>
  <c r="AJ75" i="18"/>
  <c r="AJ73" i="18"/>
  <c r="AJ71" i="18"/>
  <c r="AK75" i="18"/>
  <c r="AK73" i="18"/>
  <c r="AK71" i="18"/>
  <c r="AL17" i="18"/>
  <c r="AL75" i="18"/>
  <c r="AL73" i="18"/>
  <c r="AL71" i="18"/>
  <c r="AI11" i="7" l="1"/>
  <c r="AN160" i="18"/>
  <c r="AI17" i="7"/>
  <c r="AI25" i="7" s="1"/>
  <c r="AL39" i="7"/>
  <c r="AL41" i="7"/>
  <c r="AL96" i="7"/>
  <c r="AL47" i="7"/>
  <c r="AL35" i="7"/>
  <c r="AL45" i="7"/>
  <c r="AK39" i="7"/>
  <c r="AK96" i="7"/>
  <c r="AK47" i="7"/>
  <c r="AK41" i="7"/>
  <c r="AK35" i="7"/>
  <c r="AK45" i="7"/>
  <c r="AJ39" i="7"/>
  <c r="AJ35" i="7"/>
  <c r="AJ96" i="7"/>
  <c r="AJ47" i="7"/>
  <c r="AJ41" i="7"/>
  <c r="AJ45" i="7"/>
  <c r="BX60" i="18"/>
  <c r="CC61" i="18" s="1"/>
  <c r="X128" i="20"/>
  <c r="AP160" i="18"/>
  <c r="AP159" i="18"/>
  <c r="AN63" i="18"/>
  <c r="AN62" i="18" s="1"/>
  <c r="Y128" i="20"/>
  <c r="AQ160" i="18"/>
  <c r="AQ159" i="18"/>
  <c r="W128" i="20"/>
  <c r="AO160" i="18"/>
  <c r="AO159" i="18"/>
  <c r="AN159" i="18"/>
  <c r="AN12" i="18"/>
  <c r="AN13" i="18" s="1"/>
  <c r="AR95" i="18"/>
  <c r="AM17" i="7" s="1"/>
  <c r="AS97" i="18"/>
  <c r="AN20" i="7" s="1"/>
  <c r="BL142" i="18"/>
  <c r="AU97" i="18"/>
  <c r="AP20" i="7" s="1"/>
  <c r="AU99" i="18"/>
  <c r="AP22" i="7" s="1"/>
  <c r="AT97" i="18"/>
  <c r="AO20" i="7" s="1"/>
  <c r="AO124" i="18"/>
  <c r="AO125" i="18" s="1"/>
  <c r="AO128" i="18"/>
  <c r="AO130" i="18"/>
  <c r="AV97" i="18"/>
  <c r="AQ20" i="7" s="1"/>
  <c r="AQ130" i="18"/>
  <c r="AQ128" i="18"/>
  <c r="AQ124" i="18"/>
  <c r="AP124" i="18"/>
  <c r="AP130" i="18"/>
  <c r="AP128" i="18"/>
  <c r="AO37" i="18"/>
  <c r="AO101" i="18"/>
  <c r="AJ19" i="7" s="1"/>
  <c r="AP101" i="18"/>
  <c r="AK19" i="7" s="1"/>
  <c r="AN128" i="18"/>
  <c r="AN101" i="18"/>
  <c r="AI19" i="7" s="1"/>
  <c r="AN124" i="18"/>
  <c r="AQ101" i="18"/>
  <c r="AL19" i="7" s="1"/>
  <c r="AS32" i="18"/>
  <c r="AN10" i="7" s="1"/>
  <c r="AW70" i="18"/>
  <c r="AU95" i="18"/>
  <c r="AP17" i="7" s="1"/>
  <c r="AP25" i="7" s="1"/>
  <c r="AN130" i="18"/>
  <c r="AO32" i="18"/>
  <c r="AJ10" i="7" s="1"/>
  <c r="AN36" i="18"/>
  <c r="AI15" i="7" s="1"/>
  <c r="AN34" i="18"/>
  <c r="AI13" i="7" s="1"/>
  <c r="AQ96" i="18"/>
  <c r="AL18" i="7" s="1"/>
  <c r="AO143" i="18"/>
  <c r="AO96" i="18"/>
  <c r="AJ18" i="7" s="1"/>
  <c r="AP96" i="18"/>
  <c r="AK18" i="7" s="1"/>
  <c r="AN96" i="18"/>
  <c r="AI18" i="7" s="1"/>
  <c r="AT95" i="18"/>
  <c r="AO17" i="7" s="1"/>
  <c r="AO25" i="7" s="1"/>
  <c r="AO60" i="18"/>
  <c r="AO61" i="18" s="1"/>
  <c r="AO150" i="18"/>
  <c r="AS95" i="18"/>
  <c r="AN17" i="7" s="1"/>
  <c r="AN25" i="7" s="1"/>
  <c r="AQ143" i="18"/>
  <c r="AP143" i="18"/>
  <c r="AN150" i="18"/>
  <c r="AN143" i="18"/>
  <c r="AW72" i="18"/>
  <c r="AN135" i="18"/>
  <c r="AN163" i="18" s="1"/>
  <c r="AB18" i="7"/>
  <c r="Z18" i="7"/>
  <c r="Y18" i="7"/>
  <c r="AO127" i="18"/>
  <c r="AL130" i="18"/>
  <c r="AA18" i="7"/>
  <c r="AJ130" i="18"/>
  <c r="AJ133" i="18"/>
  <c r="AI130" i="18"/>
  <c r="AI133" i="18"/>
  <c r="AK130" i="18"/>
  <c r="AK133" i="18"/>
  <c r="AQ127" i="18"/>
  <c r="AL133" i="18"/>
  <c r="AR75" i="18"/>
  <c r="AR71" i="18"/>
  <c r="AL96" i="18"/>
  <c r="AG18" i="7" s="1"/>
  <c r="AR73" i="18"/>
  <c r="AL19" i="18"/>
  <c r="AL21" i="18"/>
  <c r="AL23" i="18"/>
  <c r="AL28" i="18"/>
  <c r="AL30" i="18"/>
  <c r="AJ141" i="7" l="1"/>
  <c r="AK141" i="7"/>
  <c r="AJ11" i="7"/>
  <c r="AL141" i="7"/>
  <c r="AJ135" i="7"/>
  <c r="AK135" i="7"/>
  <c r="AI135" i="7"/>
  <c r="AJ68" i="7"/>
  <c r="AJ72" i="7" s="1"/>
  <c r="AJ56" i="7"/>
  <c r="AJ49" i="7"/>
  <c r="AJ48" i="7"/>
  <c r="AL56" i="7"/>
  <c r="AL49" i="7"/>
  <c r="AL68" i="7"/>
  <c r="AL72" i="7" s="1"/>
  <c r="AL48" i="7"/>
  <c r="AQ48" i="7"/>
  <c r="AK48" i="7"/>
  <c r="AK68" i="7"/>
  <c r="AK72" i="7" s="1"/>
  <c r="AK49" i="7"/>
  <c r="AK56" i="7"/>
  <c r="AP96" i="7"/>
  <c r="AP47" i="7"/>
  <c r="AP41" i="7"/>
  <c r="AP39" i="7"/>
  <c r="AP141" i="7"/>
  <c r="AO135" i="7"/>
  <c r="AL135" i="7"/>
  <c r="AT141" i="7"/>
  <c r="AS141" i="7"/>
  <c r="AP35" i="7"/>
  <c r="AP45" i="7"/>
  <c r="AO96" i="7"/>
  <c r="AO41" i="7"/>
  <c r="AO39" i="7"/>
  <c r="AO141" i="7"/>
  <c r="AN135" i="7"/>
  <c r="AO47" i="7"/>
  <c r="AQ141" i="7"/>
  <c r="AO35" i="7"/>
  <c r="AO45" i="7"/>
  <c r="AI96" i="7"/>
  <c r="AI35" i="7"/>
  <c r="AI141" i="7"/>
  <c r="AI39" i="7"/>
  <c r="AI47" i="7"/>
  <c r="AI41" i="7"/>
  <c r="AI45" i="7"/>
  <c r="AN141" i="7"/>
  <c r="AN96" i="7"/>
  <c r="AN39" i="7"/>
  <c r="AN41" i="7"/>
  <c r="AN47" i="7"/>
  <c r="AN35" i="7"/>
  <c r="AN45" i="7"/>
  <c r="CA59" i="18"/>
  <c r="BY60" i="18"/>
  <c r="CD61" i="18" s="1"/>
  <c r="AN64" i="18"/>
  <c r="AN65" i="18" s="1"/>
  <c r="AN66" i="18"/>
  <c r="AN145" i="18"/>
  <c r="AN148" i="18" s="1"/>
  <c r="AN164" i="18"/>
  <c r="AT160" i="18"/>
  <c r="AT159" i="18"/>
  <c r="AU160" i="18"/>
  <c r="AU159" i="18"/>
  <c r="AS160" i="18"/>
  <c r="AS159" i="18"/>
  <c r="V62" i="20"/>
  <c r="V128" i="20"/>
  <c r="AO12" i="18"/>
  <c r="AO13" i="18" s="1"/>
  <c r="AU248" i="18"/>
  <c r="AW248" i="18" s="1"/>
  <c r="AN152" i="18"/>
  <c r="AI27" i="7" s="1"/>
  <c r="W62" i="20"/>
  <c r="Y62" i="20"/>
  <c r="AW95" i="18"/>
  <c r="AR17" i="7" s="1"/>
  <c r="BB73" i="18"/>
  <c r="BB71" i="18"/>
  <c r="AW71" i="18"/>
  <c r="AZ97" i="18"/>
  <c r="AU20" i="7" s="1"/>
  <c r="AZ96" i="18"/>
  <c r="AU18" i="7" s="1"/>
  <c r="AC128" i="20"/>
  <c r="AQ100" i="18"/>
  <c r="AL23" i="7" s="1"/>
  <c r="AY97" i="18"/>
  <c r="AT20" i="7" s="1"/>
  <c r="AY96" i="18"/>
  <c r="AT18" i="7" s="1"/>
  <c r="AB128" i="20"/>
  <c r="AX97" i="18"/>
  <c r="AS20" i="7" s="1"/>
  <c r="AX96" i="18"/>
  <c r="AS18" i="7" s="1"/>
  <c r="AO36" i="18"/>
  <c r="AJ15" i="7" s="1"/>
  <c r="AG128" i="20"/>
  <c r="AU130" i="18"/>
  <c r="AU128" i="18"/>
  <c r="AU143" i="18"/>
  <c r="AU135" i="18"/>
  <c r="AU124" i="18"/>
  <c r="AU133" i="18"/>
  <c r="AS128" i="18"/>
  <c r="AS130" i="18"/>
  <c r="AS124" i="18"/>
  <c r="AQ125" i="18"/>
  <c r="AV125" i="18"/>
  <c r="AT128" i="18"/>
  <c r="AT124" i="18"/>
  <c r="AT130" i="18"/>
  <c r="AT133" i="18"/>
  <c r="AW129" i="18"/>
  <c r="AS101" i="18"/>
  <c r="AN19" i="7" s="1"/>
  <c r="AO178" i="18"/>
  <c r="AO170" i="18"/>
  <c r="AO181" i="18"/>
  <c r="AT245" i="18" s="1"/>
  <c r="AO173" i="18"/>
  <c r="AP125" i="18"/>
  <c r="AT37" i="18"/>
  <c r="AO11" i="7" s="1"/>
  <c r="AN125" i="18"/>
  <c r="AU96" i="18"/>
  <c r="AP18" i="7" s="1"/>
  <c r="AV101" i="18"/>
  <c r="AQ19" i="7" s="1"/>
  <c r="AO151" i="18"/>
  <c r="AJ26" i="7" s="1"/>
  <c r="AO152" i="18"/>
  <c r="AJ27" i="7" s="1"/>
  <c r="AT101" i="18"/>
  <c r="AO19" i="7" s="1"/>
  <c r="AU101" i="18"/>
  <c r="AP19" i="7" s="1"/>
  <c r="AV96" i="18"/>
  <c r="AQ18" i="7" s="1"/>
  <c r="AS60" i="18"/>
  <c r="AN178" i="18"/>
  <c r="AN170" i="18"/>
  <c r="AN181" i="18"/>
  <c r="AS245" i="18" s="1"/>
  <c r="AN173" i="18"/>
  <c r="AT60" i="18"/>
  <c r="AT32" i="18"/>
  <c r="AO10" i="7" s="1"/>
  <c r="AO34" i="18"/>
  <c r="AJ13" i="7" s="1"/>
  <c r="AS36" i="18"/>
  <c r="AN15" i="7" s="1"/>
  <c r="AS34" i="18"/>
  <c r="AN13" i="7" s="1"/>
  <c r="AT96" i="18"/>
  <c r="AO18" i="7" s="1"/>
  <c r="AT155" i="18"/>
  <c r="AO30" i="7" s="1"/>
  <c r="AR143" i="18"/>
  <c r="AS96" i="18"/>
  <c r="AN18" i="7" s="1"/>
  <c r="AT143" i="18"/>
  <c r="AQ98" i="18"/>
  <c r="AL21" i="7" s="1"/>
  <c r="AO98" i="18"/>
  <c r="AJ21" i="7" s="1"/>
  <c r="AO100" i="18"/>
  <c r="AJ23" i="7" s="1"/>
  <c r="AP98" i="18"/>
  <c r="AK21" i="7" s="1"/>
  <c r="AP100" i="18"/>
  <c r="AK23" i="7" s="1"/>
  <c r="AN100" i="18"/>
  <c r="AI23" i="7" s="1"/>
  <c r="AN98" i="18"/>
  <c r="AI21" i="7" s="1"/>
  <c r="AN151" i="18"/>
  <c r="AI26" i="7" s="1"/>
  <c r="AS155" i="18"/>
  <c r="AN30" i="7" s="1"/>
  <c r="AT153" i="18"/>
  <c r="AO28" i="7" s="1"/>
  <c r="AS153" i="18"/>
  <c r="AN28" i="7" s="1"/>
  <c r="AW73" i="18"/>
  <c r="AT150" i="18"/>
  <c r="AS150" i="18"/>
  <c r="AS143" i="18"/>
  <c r="AN137" i="18"/>
  <c r="AB23" i="7"/>
  <c r="AB21" i="7"/>
  <c r="AR129" i="18"/>
  <c r="AL41" i="18"/>
  <c r="AL45" i="18"/>
  <c r="AL47" i="18"/>
  <c r="AJ136" i="18"/>
  <c r="AN44" i="18"/>
  <c r="Y23" i="7"/>
  <c r="Y21" i="7"/>
  <c r="Z23" i="7"/>
  <c r="Z21" i="7"/>
  <c r="AN131" i="18"/>
  <c r="AA21" i="7"/>
  <c r="AA23" i="7"/>
  <c r="AI136" i="18"/>
  <c r="AL136" i="18"/>
  <c r="AN48" i="18"/>
  <c r="AB10" i="7"/>
  <c r="AK136" i="18"/>
  <c r="AO44" i="18"/>
  <c r="AR126" i="18"/>
  <c r="AR128" i="18" s="1"/>
  <c r="AL100" i="18"/>
  <c r="AG23" i="7" s="1"/>
  <c r="AL32" i="18"/>
  <c r="AG10" i="7" s="1"/>
  <c r="AL98" i="18"/>
  <c r="AG21" i="7" s="1"/>
  <c r="AW97" i="18"/>
  <c r="AR20" i="7" s="1"/>
  <c r="AW99" i="18"/>
  <c r="AR22" i="7" s="1"/>
  <c r="AL50" i="18"/>
  <c r="AM29" i="18"/>
  <c r="AM27" i="18"/>
  <c r="BY61" i="18" l="1"/>
  <c r="AP56" i="7"/>
  <c r="AP68" i="7"/>
  <c r="AP72" i="7" s="1"/>
  <c r="AP76" i="7" s="1"/>
  <c r="AP48" i="7"/>
  <c r="AP49" i="7"/>
  <c r="AU48" i="7"/>
  <c r="AL74" i="7"/>
  <c r="AL77" i="7"/>
  <c r="AL73" i="7"/>
  <c r="AL76" i="7"/>
  <c r="AQ76" i="7"/>
  <c r="AQ73" i="7"/>
  <c r="AI48" i="7"/>
  <c r="AI49" i="7"/>
  <c r="AI68" i="7"/>
  <c r="AI56" i="7"/>
  <c r="AO68" i="7"/>
  <c r="AO72" i="7" s="1"/>
  <c r="AO49" i="7"/>
  <c r="AO48" i="7"/>
  <c r="AO56" i="7"/>
  <c r="AT48" i="7"/>
  <c r="AL51" i="7"/>
  <c r="AL50" i="7"/>
  <c r="AQ50" i="7"/>
  <c r="AN49" i="7"/>
  <c r="AN56" i="7"/>
  <c r="AN48" i="7"/>
  <c r="AN68" i="7"/>
  <c r="AS48" i="7"/>
  <c r="AK59" i="7"/>
  <c r="AK62" i="7"/>
  <c r="AL59" i="7"/>
  <c r="AL62" i="7"/>
  <c r="AK51" i="7"/>
  <c r="AK50" i="7"/>
  <c r="AK77" i="7"/>
  <c r="AK73" i="7"/>
  <c r="AK76" i="7"/>
  <c r="AK74" i="7"/>
  <c r="AK75" i="7" s="1"/>
  <c r="AJ50" i="7"/>
  <c r="AJ59" i="7"/>
  <c r="AJ62" i="7"/>
  <c r="AJ76" i="7"/>
  <c r="AJ74" i="7"/>
  <c r="AJ75" i="7" s="1"/>
  <c r="AJ77" i="7"/>
  <c r="AJ73" i="7"/>
  <c r="AN146" i="18"/>
  <c r="AN147" i="18" s="1"/>
  <c r="AN144" i="18"/>
  <c r="BB248" i="18"/>
  <c r="AZ136" i="18"/>
  <c r="AU164" i="18"/>
  <c r="AU163" i="18"/>
  <c r="AS61" i="18"/>
  <c r="AX61" i="18"/>
  <c r="AT61" i="18"/>
  <c r="AY61" i="18"/>
  <c r="AA62" i="20"/>
  <c r="AA128" i="20"/>
  <c r="AF62" i="20"/>
  <c r="AS12" i="18"/>
  <c r="AX13" i="18" s="1"/>
  <c r="AT12" i="18"/>
  <c r="AT13" i="18" s="1"/>
  <c r="AG123" i="20"/>
  <c r="AG124" i="20" s="1"/>
  <c r="AG62" i="20"/>
  <c r="AT247" i="18"/>
  <c r="AT249" i="18"/>
  <c r="AS249" i="18"/>
  <c r="AS247" i="18"/>
  <c r="AB62" i="20"/>
  <c r="AD62" i="20"/>
  <c r="AY155" i="18"/>
  <c r="AT30" i="7" s="1"/>
  <c r="AY224" i="18"/>
  <c r="AY213" i="18"/>
  <c r="AX155" i="18"/>
  <c r="AS30" i="7" s="1"/>
  <c r="AX224" i="18"/>
  <c r="AX213" i="18"/>
  <c r="AY101" i="18"/>
  <c r="AT19" i="7" s="1"/>
  <c r="AO156" i="18"/>
  <c r="AJ31" i="7" s="1"/>
  <c r="AY151" i="18"/>
  <c r="AT26" i="7" s="1"/>
  <c r="AT181" i="18"/>
  <c r="AY245" i="18" s="1"/>
  <c r="AT173" i="18"/>
  <c r="AT178" i="18"/>
  <c r="AT170" i="18"/>
  <c r="AT125" i="18"/>
  <c r="AY125" i="18"/>
  <c r="AU125" i="18"/>
  <c r="AZ125" i="18"/>
  <c r="AY153" i="18"/>
  <c r="AT28" i="7" s="1"/>
  <c r="AS100" i="18"/>
  <c r="AN23" i="7" s="1"/>
  <c r="AU98" i="18"/>
  <c r="AP21" i="7" s="1"/>
  <c r="AY98" i="18"/>
  <c r="AT21" i="7" s="1"/>
  <c r="AY100" i="18"/>
  <c r="AT23" i="7" s="1"/>
  <c r="AT100" i="18"/>
  <c r="AO23" i="7" s="1"/>
  <c r="AS125" i="18"/>
  <c r="AX125" i="18"/>
  <c r="AZ100" i="18"/>
  <c r="AU23" i="7" s="1"/>
  <c r="AV100" i="18"/>
  <c r="AQ23" i="7" s="1"/>
  <c r="AX98" i="18"/>
  <c r="AS21" i="7" s="1"/>
  <c r="AX100" i="18"/>
  <c r="AS23" i="7" s="1"/>
  <c r="BH12" i="18"/>
  <c r="AX151" i="18"/>
  <c r="AS26" i="7" s="1"/>
  <c r="AS170" i="18"/>
  <c r="AS173" i="18"/>
  <c r="AX153" i="18"/>
  <c r="AS28" i="7" s="1"/>
  <c r="AG61" i="20"/>
  <c r="AU137" i="18"/>
  <c r="AZ138" i="18" s="1"/>
  <c r="AU145" i="18"/>
  <c r="AW126" i="18"/>
  <c r="AW127" i="18" s="1"/>
  <c r="BD153" i="18"/>
  <c r="AY28" i="7" s="1"/>
  <c r="AS178" i="18"/>
  <c r="AS181" i="18"/>
  <c r="AX245" i="18" s="1"/>
  <c r="AU100" i="18"/>
  <c r="AP23" i="7" s="1"/>
  <c r="AS49" i="18"/>
  <c r="AO154" i="18"/>
  <c r="AJ29" i="7" s="1"/>
  <c r="AT151" i="18"/>
  <c r="AO26" i="7" s="1"/>
  <c r="AT152" i="18"/>
  <c r="AO27" i="7" s="1"/>
  <c r="AL42" i="18"/>
  <c r="AS151" i="18"/>
  <c r="AN26" i="7" s="1"/>
  <c r="AS63" i="18"/>
  <c r="AV98" i="18"/>
  <c r="AQ21" i="7" s="1"/>
  <c r="V125" i="20"/>
  <c r="V126" i="20" s="1"/>
  <c r="W44" i="20"/>
  <c r="V61" i="20"/>
  <c r="V123" i="20"/>
  <c r="V124" i="20" s="1"/>
  <c r="BB97" i="18"/>
  <c r="AW20" i="7" s="1"/>
  <c r="T61" i="20"/>
  <c r="T123" i="20"/>
  <c r="T124" i="20" s="1"/>
  <c r="W61" i="20"/>
  <c r="W124" i="20"/>
  <c r="W12" i="20" s="1"/>
  <c r="AT36" i="18"/>
  <c r="AO15" i="7" s="1"/>
  <c r="AT34" i="18"/>
  <c r="AO13" i="7" s="1"/>
  <c r="AT98" i="18"/>
  <c r="AO21" i="7" s="1"/>
  <c r="AS98" i="18"/>
  <c r="AN21" i="7" s="1"/>
  <c r="AN156" i="18"/>
  <c r="AI31" i="7" s="1"/>
  <c r="AN154" i="18"/>
  <c r="AI29" i="7" s="1"/>
  <c r="AW143" i="18"/>
  <c r="AM31" i="18"/>
  <c r="AH9" i="7" s="1"/>
  <c r="AH25" i="7" s="1"/>
  <c r="AC9" i="7"/>
  <c r="AC25" i="7" s="1"/>
  <c r="AN54" i="18"/>
  <c r="AN56" i="18" s="1"/>
  <c r="AL173" i="18"/>
  <c r="AL170" i="18"/>
  <c r="AI138" i="18"/>
  <c r="AC21" i="7"/>
  <c r="AN50" i="18"/>
  <c r="AN49" i="18"/>
  <c r="AB26" i="7"/>
  <c r="AS127" i="18"/>
  <c r="AN132" i="18"/>
  <c r="AN133" i="18"/>
  <c r="AK139" i="18"/>
  <c r="AK138" i="18"/>
  <c r="AB15" i="7"/>
  <c r="AB13" i="7"/>
  <c r="AJ138" i="18"/>
  <c r="AJ139" i="18"/>
  <c r="AL53" i="18"/>
  <c r="AR127" i="18"/>
  <c r="AC23" i="7"/>
  <c r="AL178" i="18"/>
  <c r="AL181" i="18"/>
  <c r="AW96" i="18"/>
  <c r="AR18" i="7" s="1"/>
  <c r="AM28" i="18"/>
  <c r="AN136" i="18"/>
  <c r="AM30" i="18"/>
  <c r="AL34" i="18"/>
  <c r="AG13" i="7" s="1"/>
  <c r="AL36" i="18"/>
  <c r="AG15" i="7" s="1"/>
  <c r="AJ63" i="7" l="1"/>
  <c r="AJ80" i="7"/>
  <c r="AJ85" i="7" s="1"/>
  <c r="AM68" i="7"/>
  <c r="AI72" i="7"/>
  <c r="AL75" i="7"/>
  <c r="AQ75" i="7"/>
  <c r="AK63" i="7"/>
  <c r="AK80" i="7"/>
  <c r="AK85" i="7" s="1"/>
  <c r="AI51" i="7"/>
  <c r="AI50" i="7"/>
  <c r="AH39" i="7"/>
  <c r="AH96" i="7"/>
  <c r="AH47" i="7"/>
  <c r="AH35" i="7"/>
  <c r="AH41" i="7"/>
  <c r="AH45" i="7"/>
  <c r="AH76" i="7"/>
  <c r="AH74" i="7"/>
  <c r="AJ51" i="7"/>
  <c r="AR68" i="7"/>
  <c r="AN72" i="7"/>
  <c r="AQ142" i="7" s="1"/>
  <c r="AQ143" i="7" s="1"/>
  <c r="AC96" i="7"/>
  <c r="AC41" i="7"/>
  <c r="AC35" i="7"/>
  <c r="AC39" i="7"/>
  <c r="AC47" i="7"/>
  <c r="AC45" i="7"/>
  <c r="AC76" i="7"/>
  <c r="AC74" i="7"/>
  <c r="AC75" i="7" s="1"/>
  <c r="AO62" i="7"/>
  <c r="AO59" i="7"/>
  <c r="AP50" i="7"/>
  <c r="AP51" i="7"/>
  <c r="AU50" i="7"/>
  <c r="AQ51" i="7"/>
  <c r="AN62" i="7"/>
  <c r="AR56" i="7"/>
  <c r="AN59" i="7"/>
  <c r="AL80" i="7"/>
  <c r="AL85" i="7" s="1"/>
  <c r="AL63" i="7"/>
  <c r="AN51" i="7"/>
  <c r="AN50" i="7"/>
  <c r="AS50" i="7"/>
  <c r="AO50" i="7"/>
  <c r="AO51" i="7"/>
  <c r="AT50" i="7"/>
  <c r="AP77" i="7"/>
  <c r="AP74" i="7"/>
  <c r="AP73" i="7"/>
  <c r="AO138" i="7"/>
  <c r="AU76" i="7"/>
  <c r="AU73" i="7"/>
  <c r="AT142" i="7"/>
  <c r="AT143" i="7" s="1"/>
  <c r="AS142" i="7"/>
  <c r="AS143" i="7" s="1"/>
  <c r="AM56" i="7"/>
  <c r="AI59" i="7"/>
  <c r="AI62" i="7"/>
  <c r="AO73" i="7"/>
  <c r="AO77" i="7"/>
  <c r="AO76" i="7"/>
  <c r="AO74" i="7"/>
  <c r="AT73" i="7"/>
  <c r="AT76" i="7"/>
  <c r="AN138" i="7"/>
  <c r="AP62" i="7"/>
  <c r="AP59" i="7"/>
  <c r="BM42" i="7"/>
  <c r="BK42" i="7"/>
  <c r="AS13" i="18"/>
  <c r="BH13" i="18"/>
  <c r="BM13" i="18"/>
  <c r="AM159" i="18"/>
  <c r="AM160" i="18"/>
  <c r="AS66" i="18"/>
  <c r="AX66" i="18"/>
  <c r="AY13" i="18"/>
  <c r="AU144" i="18"/>
  <c r="AS62" i="18"/>
  <c r="BQ142" i="18"/>
  <c r="AM26" i="18"/>
  <c r="T67" i="20"/>
  <c r="W67" i="20"/>
  <c r="V67" i="20"/>
  <c r="AU146" i="18"/>
  <c r="AZ147" i="18" s="1"/>
  <c r="AZ148" i="18"/>
  <c r="AY227" i="18"/>
  <c r="AY247" i="18"/>
  <c r="AY249" i="18"/>
  <c r="AX249" i="18"/>
  <c r="AX247" i="18"/>
  <c r="AX154" i="18"/>
  <c r="AS29" i="7" s="1"/>
  <c r="AX156" i="18"/>
  <c r="AS31" i="7" s="1"/>
  <c r="AS154" i="18"/>
  <c r="AN29" i="7" s="1"/>
  <c r="AY156" i="18"/>
  <c r="AT31" i="7" s="1"/>
  <c r="AY154" i="18"/>
  <c r="AT29" i="7" s="1"/>
  <c r="AZ98" i="18"/>
  <c r="AU21" i="7" s="1"/>
  <c r="AV139" i="18"/>
  <c r="AB124" i="20"/>
  <c r="AW122" i="18"/>
  <c r="BC153" i="18"/>
  <c r="AX28" i="7" s="1"/>
  <c r="AS64" i="18"/>
  <c r="AS50" i="18"/>
  <c r="AS156" i="18"/>
  <c r="AN31" i="7" s="1"/>
  <c r="AG113" i="20"/>
  <c r="AG119" i="20" s="1"/>
  <c r="AT154" i="18"/>
  <c r="AO29" i="7" s="1"/>
  <c r="AT156" i="18"/>
  <c r="AO31" i="7" s="1"/>
  <c r="AS54" i="18"/>
  <c r="AX55" i="18" s="1"/>
  <c r="AS53" i="18"/>
  <c r="AA124" i="20"/>
  <c r="AA61" i="20"/>
  <c r="W113" i="20"/>
  <c r="W119" i="20" s="1"/>
  <c r="W120" i="20" s="1"/>
  <c r="X117" i="20" s="1"/>
  <c r="AB61" i="20"/>
  <c r="W50" i="20"/>
  <c r="AA44" i="20"/>
  <c r="AM150" i="18"/>
  <c r="AW98" i="18"/>
  <c r="AR21" i="7" s="1"/>
  <c r="AB31" i="7"/>
  <c r="AB29" i="7"/>
  <c r="AW100" i="18"/>
  <c r="AN139" i="18"/>
  <c r="AI139" i="18"/>
  <c r="AJ90" i="7" l="1"/>
  <c r="AJ64" i="7"/>
  <c r="AK90" i="7"/>
  <c r="AR59" i="7"/>
  <c r="AM59" i="7"/>
  <c r="AL90" i="7"/>
  <c r="AK64" i="7"/>
  <c r="AH48" i="7"/>
  <c r="AH49" i="7"/>
  <c r="AP80" i="7"/>
  <c r="AP85" i="7" s="1"/>
  <c r="AP63" i="7"/>
  <c r="AK138" i="7"/>
  <c r="AN77" i="7"/>
  <c r="AR72" i="7"/>
  <c r="AN142" i="7"/>
  <c r="AN143" i="7" s="1"/>
  <c r="AN73" i="7"/>
  <c r="AN76" i="7"/>
  <c r="AN74" i="7"/>
  <c r="AS76" i="7"/>
  <c r="AS73" i="7"/>
  <c r="AJ138" i="7"/>
  <c r="AI138" i="7"/>
  <c r="AL138" i="7"/>
  <c r="BN42" i="7"/>
  <c r="AM62" i="7"/>
  <c r="AI80" i="7"/>
  <c r="AI63" i="7"/>
  <c r="AP142" i="7"/>
  <c r="AP143" i="7" s="1"/>
  <c r="AI76" i="7"/>
  <c r="AI100" i="7"/>
  <c r="AI74" i="7"/>
  <c r="AI75" i="7" s="1"/>
  <c r="AM72" i="7"/>
  <c r="AI142" i="7"/>
  <c r="AI73" i="7"/>
  <c r="AI77" i="7"/>
  <c r="AJ142" i="7"/>
  <c r="AJ143" i="7" s="1"/>
  <c r="AL142" i="7"/>
  <c r="AL143" i="7" s="1"/>
  <c r="AK142" i="7"/>
  <c r="AK143" i="7" s="1"/>
  <c r="AN80" i="7"/>
  <c r="AR62" i="7"/>
  <c r="AN63" i="7"/>
  <c r="AR23" i="7"/>
  <c r="AC49" i="7"/>
  <c r="AC50" i="7" s="1"/>
  <c r="AC48" i="7"/>
  <c r="AH75" i="7"/>
  <c r="AO80" i="7"/>
  <c r="AO85" i="7" s="1"/>
  <c r="AO63" i="7"/>
  <c r="AO142" i="7"/>
  <c r="AO143" i="7" s="1"/>
  <c r="AO75" i="7"/>
  <c r="AT75" i="7"/>
  <c r="AP75" i="7"/>
  <c r="AU75" i="7"/>
  <c r="AL64" i="7"/>
  <c r="AQ64" i="7"/>
  <c r="AJ86" i="7"/>
  <c r="AJ88" i="7"/>
  <c r="AL86" i="7"/>
  <c r="AL88" i="7"/>
  <c r="AQ86" i="7"/>
  <c r="AK88" i="7"/>
  <c r="AK86" i="7"/>
  <c r="BL42" i="7"/>
  <c r="AC26" i="7"/>
  <c r="AR155" i="18"/>
  <c r="AM30" i="7" s="1"/>
  <c r="V89" i="20"/>
  <c r="T89" i="20"/>
  <c r="AS65" i="18"/>
  <c r="AX65" i="18"/>
  <c r="AG114" i="20"/>
  <c r="AM153" i="18"/>
  <c r="AH28" i="7" s="1"/>
  <c r="AS55" i="18"/>
  <c r="BY137" i="18"/>
  <c r="CD137" i="18" s="1"/>
  <c r="AR153" i="18"/>
  <c r="AM28" i="7" s="1"/>
  <c r="AF124" i="20"/>
  <c r="AM151" i="18"/>
  <c r="AH26" i="7" s="1"/>
  <c r="W114" i="20"/>
  <c r="W15" i="20" s="1"/>
  <c r="AM155" i="18"/>
  <c r="AH30" i="7" s="1"/>
  <c r="W18" i="20"/>
  <c r="AA113" i="20"/>
  <c r="AA119" i="20" s="1"/>
  <c r="AM136" i="18"/>
  <c r="AE103" i="20" l="1"/>
  <c r="Z103" i="20"/>
  <c r="AP90" i="7"/>
  <c r="AO137" i="7" s="1"/>
  <c r="AO90" i="7"/>
  <c r="AP86" i="7"/>
  <c r="BO42" i="7"/>
  <c r="AR77" i="7"/>
  <c r="AR73" i="7"/>
  <c r="AW73" i="7"/>
  <c r="AJ89" i="7"/>
  <c r="AI64" i="7"/>
  <c r="AM63" i="7"/>
  <c r="AL89" i="7"/>
  <c r="AQ89" i="7"/>
  <c r="AO64" i="7"/>
  <c r="AT64" i="7"/>
  <c r="AR63" i="7"/>
  <c r="AN64" i="7"/>
  <c r="AS64" i="7"/>
  <c r="AM80" i="7"/>
  <c r="AI85" i="7"/>
  <c r="AN75" i="7"/>
  <c r="AS75" i="7"/>
  <c r="AP64" i="7"/>
  <c r="AU64" i="7"/>
  <c r="AO86" i="7"/>
  <c r="AO88" i="7"/>
  <c r="AT86" i="7"/>
  <c r="AI143" i="7"/>
  <c r="AI145" i="7"/>
  <c r="AP88" i="7"/>
  <c r="AU86" i="7"/>
  <c r="AT146" i="7"/>
  <c r="AS146" i="7"/>
  <c r="AR80" i="7"/>
  <c r="AN85" i="7"/>
  <c r="AM73" i="7"/>
  <c r="AM77" i="7"/>
  <c r="AH50" i="7"/>
  <c r="AK89" i="7"/>
  <c r="P128" i="20"/>
  <c r="U128" i="20"/>
  <c r="S62" i="20"/>
  <c r="X62" i="20"/>
  <c r="AC113" i="20"/>
  <c r="AC119" i="20" s="1"/>
  <c r="AB113" i="20"/>
  <c r="AB119" i="20" s="1"/>
  <c r="AB120" i="20" s="1"/>
  <c r="AF113" i="20"/>
  <c r="AF119" i="20" s="1"/>
  <c r="X111" i="20"/>
  <c r="T108" i="20"/>
  <c r="T107" i="20"/>
  <c r="AI30" i="18"/>
  <c r="AI28" i="18"/>
  <c r="AI23" i="18"/>
  <c r="AI21" i="18"/>
  <c r="AI19" i="18"/>
  <c r="AI17" i="18"/>
  <c r="AN137" i="7" l="1"/>
  <c r="BU142" i="18"/>
  <c r="BV142" i="18" s="1"/>
  <c r="AQ146" i="7"/>
  <c r="AR146" i="7" s="1"/>
  <c r="AM64" i="7"/>
  <c r="AP146" i="7"/>
  <c r="AO146" i="7"/>
  <c r="AI146" i="7"/>
  <c r="AI88" i="7"/>
  <c r="AI86" i="7"/>
  <c r="AM85" i="7"/>
  <c r="AK146" i="7"/>
  <c r="AL146" i="7"/>
  <c r="AM146" i="7" s="1"/>
  <c r="AI90" i="7"/>
  <c r="AJ146" i="7"/>
  <c r="AN136" i="7"/>
  <c r="AO89" i="7"/>
  <c r="AT89" i="7"/>
  <c r="AP89" i="7"/>
  <c r="AO136" i="7"/>
  <c r="AU89" i="7"/>
  <c r="AR64" i="7"/>
  <c r="AW64" i="7"/>
  <c r="AN86" i="7"/>
  <c r="AN88" i="7"/>
  <c r="AN146" i="7"/>
  <c r="AR85" i="7"/>
  <c r="AS86" i="7"/>
  <c r="AN90" i="7"/>
  <c r="AB43" i="20"/>
  <c r="AC43" i="20"/>
  <c r="AB114" i="20"/>
  <c r="T70" i="20"/>
  <c r="V70" i="20"/>
  <c r="AI45" i="18"/>
  <c r="AI41" i="18"/>
  <c r="AI47" i="18"/>
  <c r="AI50" i="18"/>
  <c r="Y10" i="7"/>
  <c r="AI32" i="18"/>
  <c r="AD10" i="7" s="1"/>
  <c r="AI96" i="18"/>
  <c r="AD18" i="7" s="1"/>
  <c r="AJ23" i="18"/>
  <c r="AJ21" i="18"/>
  <c r="AJ19" i="18"/>
  <c r="AJ17" i="18"/>
  <c r="AJ30" i="18"/>
  <c r="AJ28" i="18"/>
  <c r="BW142" i="18" l="1"/>
  <c r="BR42" i="7" s="1"/>
  <c r="BP42" i="7"/>
  <c r="AI89" i="7"/>
  <c r="AI137" i="7"/>
  <c r="AK137" i="7"/>
  <c r="AJ137" i="7"/>
  <c r="AL137" i="7"/>
  <c r="AR86" i="7"/>
  <c r="AR88" i="7"/>
  <c r="AW86" i="7"/>
  <c r="AR90" i="7"/>
  <c r="AM86" i="7"/>
  <c r="AM88" i="7"/>
  <c r="AM90" i="7"/>
  <c r="AN89" i="7"/>
  <c r="AS89" i="7"/>
  <c r="AI136" i="7"/>
  <c r="AK136" i="7"/>
  <c r="AJ136" i="7"/>
  <c r="AL136" i="7"/>
  <c r="BX142" i="18"/>
  <c r="BS42" i="7" s="1"/>
  <c r="BQ42" i="7"/>
  <c r="AI42" i="18"/>
  <c r="AN42" i="18"/>
  <c r="AI34" i="18"/>
  <c r="AD13" i="7" s="1"/>
  <c r="AI181" i="18"/>
  <c r="AI173" i="18"/>
  <c r="AI178" i="18"/>
  <c r="AI170" i="18"/>
  <c r="Y26" i="7"/>
  <c r="AJ45" i="18"/>
  <c r="AJ50" i="18"/>
  <c r="AJ47" i="18"/>
  <c r="AJ41" i="18"/>
  <c r="AO42" i="18" s="1"/>
  <c r="AI53" i="18"/>
  <c r="AN53" i="18"/>
  <c r="Y13" i="7"/>
  <c r="Y15" i="7"/>
  <c r="Z10" i="7"/>
  <c r="AN138" i="18"/>
  <c r="AR99" i="18"/>
  <c r="AM22" i="7" s="1"/>
  <c r="AR97" i="18"/>
  <c r="AM20" i="7" s="1"/>
  <c r="AR96" i="18"/>
  <c r="AM18" i="7" s="1"/>
  <c r="AI36" i="18"/>
  <c r="AD15" i="7" s="1"/>
  <c r="AI98" i="18"/>
  <c r="AD21" i="7" s="1"/>
  <c r="AI100" i="18"/>
  <c r="AD23" i="7" s="1"/>
  <c r="AJ96" i="18"/>
  <c r="AE18" i="7" s="1"/>
  <c r="AJ32" i="18"/>
  <c r="AE10" i="7" s="1"/>
  <c r="AK23" i="18"/>
  <c r="AK21" i="18"/>
  <c r="AK19" i="18"/>
  <c r="AK17" i="18"/>
  <c r="AM89" i="7" l="1"/>
  <c r="BY142" i="18"/>
  <c r="BT42" i="7" s="1"/>
  <c r="AR89" i="7"/>
  <c r="AW89" i="7"/>
  <c r="BH64" i="18"/>
  <c r="BM65" i="18" s="1"/>
  <c r="Y31" i="7"/>
  <c r="AJ42" i="18"/>
  <c r="Q61" i="20"/>
  <c r="Q123" i="20"/>
  <c r="Q124" i="20" s="1"/>
  <c r="Y29" i="7"/>
  <c r="Z26" i="7"/>
  <c r="AJ173" i="18"/>
  <c r="AJ178" i="18"/>
  <c r="AJ170" i="18"/>
  <c r="AJ181" i="18"/>
  <c r="AI55" i="18"/>
  <c r="AN55" i="18"/>
  <c r="Z13" i="7"/>
  <c r="Z15" i="7"/>
  <c r="AJ53" i="18"/>
  <c r="AL139" i="18"/>
  <c r="AJ34" i="18"/>
  <c r="AE13" i="7" s="1"/>
  <c r="AJ36" i="18"/>
  <c r="AE15" i="7" s="1"/>
  <c r="AJ98" i="18"/>
  <c r="AE21" i="7" s="1"/>
  <c r="AJ100" i="18"/>
  <c r="AE23" i="7" s="1"/>
  <c r="BZ142" i="18" l="1"/>
  <c r="CB142" i="18" s="1"/>
  <c r="BH65" i="18"/>
  <c r="Q67" i="20"/>
  <c r="Z29" i="7"/>
  <c r="R61" i="20"/>
  <c r="R123" i="20"/>
  <c r="R124" i="20" s="1"/>
  <c r="Z31" i="7"/>
  <c r="AJ56" i="18"/>
  <c r="AJ55" i="18"/>
  <c r="CA142" i="18" l="1"/>
  <c r="BW42" i="7"/>
  <c r="CC142" i="18"/>
  <c r="BU42" i="7"/>
  <c r="BV42" i="7" s="1"/>
  <c r="R67" i="20"/>
  <c r="Q89" i="20"/>
  <c r="Q107" i="20"/>
  <c r="CD142" i="18" l="1"/>
  <c r="BX42" i="7"/>
  <c r="R89" i="20"/>
  <c r="Q108" i="20"/>
  <c r="Q70" i="20"/>
  <c r="R107" i="20"/>
  <c r="BY42" i="7" l="1"/>
  <c r="CE142" i="18"/>
  <c r="BZ42" i="7" s="1"/>
  <c r="R108" i="20"/>
  <c r="R70" i="20"/>
  <c r="AK30" i="18"/>
  <c r="AK28" i="18"/>
  <c r="CF142" i="18" l="1"/>
  <c r="CA42" i="7"/>
  <c r="AK96" i="18"/>
  <c r="AF18" i="7" s="1"/>
  <c r="AK45" i="18" l="1"/>
  <c r="AK47" i="18"/>
  <c r="AK41" i="18"/>
  <c r="AP42" i="18" s="1"/>
  <c r="AK50" i="18"/>
  <c r="AA10" i="7"/>
  <c r="AM99" i="18"/>
  <c r="AH22" i="7" s="1"/>
  <c r="AM96" i="18"/>
  <c r="AH18" i="7" s="1"/>
  <c r="AM97" i="18"/>
  <c r="AH20" i="7" s="1"/>
  <c r="AL132" i="18"/>
  <c r="AL138" i="18"/>
  <c r="AK98" i="18"/>
  <c r="AF21" i="7" s="1"/>
  <c r="AK100" i="18"/>
  <c r="AF23" i="7" s="1"/>
  <c r="AK32" i="18"/>
  <c r="AF10" i="7" s="1"/>
  <c r="AK42" i="18" l="1"/>
  <c r="S61" i="20"/>
  <c r="S123" i="20"/>
  <c r="S124" i="20" s="1"/>
  <c r="AA26" i="7"/>
  <c r="AK181" i="18"/>
  <c r="AK173" i="18"/>
  <c r="AK178" i="18"/>
  <c r="AK170" i="18"/>
  <c r="AM100" i="18"/>
  <c r="AH23" i="7" s="1"/>
  <c r="AK53" i="18"/>
  <c r="AM98" i="18"/>
  <c r="AH21" i="7" s="1"/>
  <c r="AM45" i="18"/>
  <c r="AM50" i="18"/>
  <c r="AM54" i="18"/>
  <c r="AM47" i="18"/>
  <c r="AM130" i="18"/>
  <c r="AM41" i="18"/>
  <c r="AA13" i="7"/>
  <c r="AA15" i="7"/>
  <c r="AC10" i="7"/>
  <c r="AM178" i="18"/>
  <c r="AM138" i="18"/>
  <c r="AM35" i="18"/>
  <c r="AH14" i="7" s="1"/>
  <c r="AR33" i="18"/>
  <c r="AM12" i="7" s="1"/>
  <c r="AM32" i="18"/>
  <c r="AH10" i="7" s="1"/>
  <c r="AM33" i="18"/>
  <c r="AH12" i="7" s="1"/>
  <c r="AR35" i="18"/>
  <c r="AM14" i="7" s="1"/>
  <c r="AL55" i="18"/>
  <c r="AM132" i="18"/>
  <c r="AK34" i="18"/>
  <c r="AF13" i="7" s="1"/>
  <c r="AK36" i="18"/>
  <c r="AF15" i="7" s="1"/>
  <c r="S67" i="20" l="1"/>
  <c r="AA29" i="7"/>
  <c r="AM42" i="18"/>
  <c r="U141" i="20"/>
  <c r="U61" i="20"/>
  <c r="U62" i="20" s="1"/>
  <c r="AA31" i="7"/>
  <c r="AM181" i="18"/>
  <c r="AM173" i="18"/>
  <c r="AM170" i="18"/>
  <c r="AM53" i="18"/>
  <c r="AM34" i="18"/>
  <c r="AH13" i="7" s="1"/>
  <c r="AC15" i="7"/>
  <c r="AC13" i="7"/>
  <c r="AK56" i="18"/>
  <c r="AK55" i="18"/>
  <c r="AL56" i="18"/>
  <c r="AM156" i="18"/>
  <c r="AH31" i="7" s="1"/>
  <c r="AM154" i="18"/>
  <c r="AH29" i="7" s="1"/>
  <c r="AM49" i="18"/>
  <c r="AL49" i="18"/>
  <c r="AM36" i="18"/>
  <c r="AH15" i="7" l="1"/>
  <c r="AM66" i="18"/>
  <c r="U67" i="20"/>
  <c r="S89" i="20"/>
  <c r="P141" i="20"/>
  <c r="P61" i="20"/>
  <c r="AC31" i="7"/>
  <c r="AM55" i="18"/>
  <c r="AC29" i="7" l="1"/>
  <c r="AM65" i="18"/>
  <c r="P67" i="20"/>
  <c r="U89" i="20"/>
  <c r="S107" i="20"/>
  <c r="S108" i="20"/>
  <c r="P89" i="20" l="1"/>
  <c r="P91" i="20" s="1"/>
  <c r="P92" i="20" s="1"/>
  <c r="T99" i="20"/>
  <c r="T100" i="20" s="1"/>
  <c r="S70" i="20"/>
  <c r="S99" i="20"/>
  <c r="S100" i="20" s="1"/>
  <c r="U90" i="20" l="1"/>
  <c r="Q90" i="20"/>
  <c r="Q99" i="20"/>
  <c r="Q100" i="20" s="1"/>
  <c r="R99" i="20"/>
  <c r="R100" i="20" s="1"/>
  <c r="V99" i="20"/>
  <c r="V100" i="20" s="1"/>
  <c r="V72" i="20"/>
  <c r="U70" i="20"/>
  <c r="U72" i="20"/>
  <c r="Q91" i="20" l="1"/>
  <c r="R90" i="20"/>
  <c r="S90" i="20" s="1"/>
  <c r="U91" i="20"/>
  <c r="P70" i="20"/>
  <c r="P72" i="20"/>
  <c r="Z90" i="20" l="1"/>
  <c r="Q92" i="20"/>
  <c r="R91" i="20"/>
  <c r="V90" i="20"/>
  <c r="W90" i="20" s="1"/>
  <c r="X90" i="20" s="1"/>
  <c r="Y90" i="20" s="1"/>
  <c r="U92" i="20"/>
  <c r="T90" i="20"/>
  <c r="T91" i="20" s="1"/>
  <c r="T92" i="20" s="1"/>
  <c r="S91" i="20"/>
  <c r="R92" i="20" l="1"/>
  <c r="V91" i="20"/>
  <c r="S92" i="20"/>
  <c r="V92" i="20" l="1"/>
  <c r="AR100" i="18" l="1"/>
  <c r="AM23" i="7" s="1"/>
  <c r="AR98" i="18" l="1"/>
  <c r="AM21" i="7" s="1"/>
  <c r="AO52" i="18" l="1"/>
  <c r="AO48" i="18"/>
  <c r="AO49" i="18" s="1"/>
  <c r="AO40" i="18"/>
  <c r="AO53" i="18" l="1"/>
  <c r="AO63" i="18"/>
  <c r="AO66" i="18" s="1"/>
  <c r="AO54" i="18"/>
  <c r="AO50" i="18"/>
  <c r="AO62" i="18" l="1"/>
  <c r="AO55" i="18"/>
  <c r="AO56" i="18"/>
  <c r="AO64" i="18"/>
  <c r="AO65" i="18" s="1"/>
  <c r="AO123" i="18" l="1"/>
  <c r="AO131" i="18" l="1"/>
  <c r="AO135" i="18"/>
  <c r="AO137" i="18" l="1"/>
  <c r="AO139" i="18" s="1"/>
  <c r="AO164" i="18"/>
  <c r="AO163" i="18"/>
  <c r="AO132" i="18"/>
  <c r="AT132" i="18"/>
  <c r="AO133" i="18"/>
  <c r="AO136" i="18"/>
  <c r="W126" i="20"/>
  <c r="W24" i="20" s="1"/>
  <c r="AO145" i="18"/>
  <c r="AO138" i="18" l="1"/>
  <c r="AO148" i="18"/>
  <c r="AO144" i="18"/>
  <c r="AO146" i="18"/>
  <c r="AO147" i="18" s="1"/>
  <c r="W29" i="20"/>
  <c r="W36" i="20" s="1"/>
  <c r="W53" i="20"/>
  <c r="W99" i="20" l="1"/>
  <c r="W43" i="20" l="1"/>
  <c r="W57" i="20" l="1"/>
  <c r="AJ93" i="7" l="1"/>
  <c r="AJ94" i="7" s="1"/>
  <c r="W69" i="20"/>
  <c r="W89" i="20"/>
  <c r="W91" i="20" s="1"/>
  <c r="AJ97" i="7" l="1"/>
  <c r="AJ100" i="7" s="1"/>
  <c r="W92" i="20"/>
  <c r="W70" i="20"/>
  <c r="W71" i="20"/>
  <c r="AJ144" i="7" s="1"/>
  <c r="AJ145" i="7" s="1"/>
  <c r="AJ98" i="7" l="1"/>
  <c r="AJ99" i="7"/>
  <c r="W72" i="20"/>
  <c r="W97" i="20"/>
  <c r="W98" i="20" s="1"/>
  <c r="W14" i="20"/>
  <c r="W100" i="20" l="1"/>
  <c r="W21" i="20"/>
  <c r="AP135" i="18" l="1"/>
  <c r="AP164" i="18" l="1"/>
  <c r="AP163" i="18"/>
  <c r="AP145" i="18"/>
  <c r="AU136" i="18"/>
  <c r="AP136" i="18"/>
  <c r="AP131" i="18"/>
  <c r="AU132" i="18" s="1"/>
  <c r="AQ131" i="18"/>
  <c r="AV132" i="18" s="1"/>
  <c r="W39" i="20"/>
  <c r="AP137" i="18"/>
  <c r="AU138" i="18" s="1"/>
  <c r="AR122" i="18"/>
  <c r="AW123" i="18" s="1"/>
  <c r="AQ135" i="18"/>
  <c r="AV136" i="18" l="1"/>
  <c r="AP144" i="18"/>
  <c r="AP148" i="18"/>
  <c r="AU148" i="18"/>
  <c r="AP146" i="18"/>
  <c r="AP132" i="18"/>
  <c r="AP133" i="18"/>
  <c r="AR131" i="18"/>
  <c r="AQ132" i="18"/>
  <c r="AQ133" i="18"/>
  <c r="W40" i="20"/>
  <c r="AQ137" i="18"/>
  <c r="AV138" i="18" s="1"/>
  <c r="AQ145" i="18"/>
  <c r="AQ136" i="18"/>
  <c r="AR124" i="18"/>
  <c r="AR125" i="18" s="1"/>
  <c r="AR135" i="18"/>
  <c r="AR123" i="18"/>
  <c r="AP138" i="18"/>
  <c r="AP139" i="18"/>
  <c r="AQ144" i="18" l="1"/>
  <c r="AQ148" i="18"/>
  <c r="AV148" i="18"/>
  <c r="AP147" i="18"/>
  <c r="AU147" i="18"/>
  <c r="AQ146" i="18"/>
  <c r="AR133" i="18"/>
  <c r="AR132" i="18"/>
  <c r="AR136" i="18"/>
  <c r="AR137" i="18"/>
  <c r="AR138" i="18" s="1"/>
  <c r="AR145" i="18"/>
  <c r="AQ139" i="18"/>
  <c r="AQ138" i="18"/>
  <c r="AR144" i="18" l="1"/>
  <c r="AR146" i="18"/>
  <c r="AR148" i="18"/>
  <c r="AQ147" i="18"/>
  <c r="AR147" i="18" l="1"/>
  <c r="AS131" i="18"/>
  <c r="AX132" i="18" s="1"/>
  <c r="AS135" i="18"/>
  <c r="AA126" i="20"/>
  <c r="AA24" i="20" s="1"/>
  <c r="AX136" i="18" l="1"/>
  <c r="AS164" i="18"/>
  <c r="AS163" i="18"/>
  <c r="AS132" i="18"/>
  <c r="AW131" i="18"/>
  <c r="AS136" i="18"/>
  <c r="AS137" i="18"/>
  <c r="AX138" i="18" s="1"/>
  <c r="AS133" i="18"/>
  <c r="AS145" i="18"/>
  <c r="AA29" i="20"/>
  <c r="AA36" i="20" s="1"/>
  <c r="AS144" i="18" l="1"/>
  <c r="AS148" i="18"/>
  <c r="AX148" i="18"/>
  <c r="AW132" i="18"/>
  <c r="AW133" i="18"/>
  <c r="AS138" i="18"/>
  <c r="AS146" i="18"/>
  <c r="AS139" i="18"/>
  <c r="AS147" i="18" l="1"/>
  <c r="AX147" i="18"/>
  <c r="AA43" i="20" l="1"/>
  <c r="AV146" i="18" l="1"/>
  <c r="AV147" i="18" l="1"/>
  <c r="BA147" i="18"/>
  <c r="AP32" i="18" l="1"/>
  <c r="AK10" i="7" s="1"/>
  <c r="AQ32" i="18"/>
  <c r="AL10" i="7" s="1"/>
  <c r="AP37" i="18"/>
  <c r="AQ37" i="18"/>
  <c r="AS37" i="18"/>
  <c r="AQ60" i="18"/>
  <c r="AP150" i="18"/>
  <c r="AQ150" i="18"/>
  <c r="AN11" i="7" l="1"/>
  <c r="AL11" i="7"/>
  <c r="AK11" i="7"/>
  <c r="AQ61" i="18"/>
  <c r="AV61" i="18"/>
  <c r="AQ12" i="18"/>
  <c r="AV13" i="18" s="1"/>
  <c r="AQ178" i="18"/>
  <c r="AQ181" i="18"/>
  <c r="AV245" i="18" s="1"/>
  <c r="AP34" i="18"/>
  <c r="AK13" i="7" s="1"/>
  <c r="AQ170" i="18"/>
  <c r="AQ173" i="18"/>
  <c r="AP152" i="18"/>
  <c r="AK27" i="7" s="1"/>
  <c r="AP173" i="18"/>
  <c r="AP181" i="18"/>
  <c r="AU245" i="18" s="1"/>
  <c r="AP170" i="18"/>
  <c r="AP178" i="18"/>
  <c r="AQ52" i="18"/>
  <c r="AR60" i="18"/>
  <c r="AR46" i="18"/>
  <c r="AR39" i="18"/>
  <c r="AR40" i="18" s="1"/>
  <c r="AU155" i="18"/>
  <c r="AP30" i="7" s="1"/>
  <c r="AP151" i="18"/>
  <c r="AK26" i="7" s="1"/>
  <c r="AQ48" i="18"/>
  <c r="AV49" i="18" s="1"/>
  <c r="AR43" i="18"/>
  <c r="AR44" i="18" s="1"/>
  <c r="AQ40" i="18"/>
  <c r="AR29" i="18"/>
  <c r="AP48" i="18"/>
  <c r="AU49" i="18" s="1"/>
  <c r="AP36" i="18"/>
  <c r="AK15" i="7" s="1"/>
  <c r="AV153" i="18"/>
  <c r="AQ28" i="7" s="1"/>
  <c r="AS152" i="18"/>
  <c r="AN27" i="7" s="1"/>
  <c r="AQ151" i="18"/>
  <c r="AL26" i="7" s="1"/>
  <c r="AV155" i="18"/>
  <c r="AQ30" i="7" s="1"/>
  <c r="AQ152" i="18"/>
  <c r="AL27" i="7" s="1"/>
  <c r="AR27" i="18"/>
  <c r="Y44" i="20"/>
  <c r="X126" i="20"/>
  <c r="X24" i="20" s="1"/>
  <c r="Y126" i="20"/>
  <c r="Y24" i="20" s="1"/>
  <c r="AU153" i="18"/>
  <c r="AP28" i="7" s="1"/>
  <c r="X44" i="20"/>
  <c r="AQ36" i="18"/>
  <c r="AL15" i="7" s="1"/>
  <c r="AQ34" i="18"/>
  <c r="AL13" i="7" s="1"/>
  <c r="AQ163" i="18" l="1"/>
  <c r="AQ164" i="18"/>
  <c r="AR61" i="18"/>
  <c r="AQ13" i="18"/>
  <c r="AR12" i="18"/>
  <c r="AR13" i="18" s="1"/>
  <c r="AV249" i="18"/>
  <c r="AV247" i="18"/>
  <c r="AU247" i="18"/>
  <c r="AU249" i="18"/>
  <c r="AX227" i="18"/>
  <c r="AR30" i="18"/>
  <c r="AQ53" i="18"/>
  <c r="AV53" i="18"/>
  <c r="Y61" i="20"/>
  <c r="Y124" i="20"/>
  <c r="Y12" i="20" s="1"/>
  <c r="AP63" i="18"/>
  <c r="X61" i="20"/>
  <c r="X124" i="20"/>
  <c r="X12" i="20" s="1"/>
  <c r="AW29" i="18"/>
  <c r="BB30" i="18" s="1"/>
  <c r="AP154" i="18"/>
  <c r="AK29" i="7" s="1"/>
  <c r="AP156" i="18"/>
  <c r="AK31" i="7" s="1"/>
  <c r="AQ54" i="18"/>
  <c r="AQ63" i="18"/>
  <c r="AR52" i="18"/>
  <c r="AP54" i="18"/>
  <c r="AP53" i="18"/>
  <c r="AR36" i="18"/>
  <c r="AM15" i="7" s="1"/>
  <c r="AP50" i="18"/>
  <c r="AR48" i="18"/>
  <c r="AR49" i="18" s="1"/>
  <c r="AP49" i="18"/>
  <c r="AQ50" i="18"/>
  <c r="AQ49" i="18"/>
  <c r="AW27" i="18"/>
  <c r="AR28" i="18"/>
  <c r="AR31" i="18"/>
  <c r="AM9" i="7" s="1"/>
  <c r="AM25" i="7" s="1"/>
  <c r="Z44" i="20"/>
  <c r="X113" i="20"/>
  <c r="X119" i="20" s="1"/>
  <c r="X120" i="20" s="1"/>
  <c r="Y117" i="20" s="1"/>
  <c r="X53" i="20"/>
  <c r="X29" i="20"/>
  <c r="X36" i="20" s="1"/>
  <c r="AR34" i="18"/>
  <c r="AM13" i="7" s="1"/>
  <c r="AQ156" i="18"/>
  <c r="AL31" i="7" s="1"/>
  <c r="AQ154" i="18"/>
  <c r="AL29" i="7" s="1"/>
  <c r="Y53" i="20"/>
  <c r="Z24" i="20"/>
  <c r="Y29" i="20"/>
  <c r="Y36" i="20" s="1"/>
  <c r="Y113" i="20"/>
  <c r="Y119" i="20" s="1"/>
  <c r="AM96" i="7" l="1"/>
  <c r="AM39" i="7"/>
  <c r="AM47" i="7"/>
  <c r="AM35" i="7"/>
  <c r="AM41" i="7"/>
  <c r="AM45" i="7"/>
  <c r="AM76" i="7"/>
  <c r="AM74" i="7"/>
  <c r="AM75" i="7" s="1"/>
  <c r="AR14" i="18"/>
  <c r="AR159" i="18"/>
  <c r="AR160" i="18"/>
  <c r="AR163" i="18"/>
  <c r="AR164" i="18"/>
  <c r="AQ66" i="18"/>
  <c r="AV66" i="18"/>
  <c r="AP66" i="18"/>
  <c r="AU66" i="18"/>
  <c r="Y120" i="20"/>
  <c r="AA117" i="20" s="1"/>
  <c r="AA120" i="20" s="1"/>
  <c r="AC117" i="20" s="1"/>
  <c r="BB28" i="18"/>
  <c r="AQ62" i="18"/>
  <c r="AP62" i="18"/>
  <c r="AR26" i="18"/>
  <c r="Y67" i="20"/>
  <c r="X67" i="20"/>
  <c r="AP64" i="18"/>
  <c r="AP65" i="18" s="1"/>
  <c r="AU55" i="18"/>
  <c r="AP56" i="18"/>
  <c r="AV55" i="18"/>
  <c r="AQ56" i="18"/>
  <c r="AW30" i="18"/>
  <c r="AW28" i="18"/>
  <c r="BA60" i="18"/>
  <c r="BA32" i="18"/>
  <c r="AV10" i="7" s="1"/>
  <c r="BB31" i="18"/>
  <c r="AW9" i="7" s="1"/>
  <c r="AW25" i="7" s="1"/>
  <c r="Z12" i="20"/>
  <c r="AA57" i="20"/>
  <c r="AQ64" i="18"/>
  <c r="X50" i="20"/>
  <c r="Y50" i="20"/>
  <c r="AP55" i="18"/>
  <c r="AQ55" i="18"/>
  <c r="AS56" i="18"/>
  <c r="AR63" i="18"/>
  <c r="AR66" i="18" s="1"/>
  <c r="AR53" i="18"/>
  <c r="AW31" i="18"/>
  <c r="AR9" i="7" s="1"/>
  <c r="Z53" i="20"/>
  <c r="Z29" i="20"/>
  <c r="Z36" i="20" s="1"/>
  <c r="AR156" i="18"/>
  <c r="AM31" i="7" s="1"/>
  <c r="AR154" i="18"/>
  <c r="AM29" i="7" s="1"/>
  <c r="X114" i="20"/>
  <c r="AU150" i="18"/>
  <c r="AU32" i="18"/>
  <c r="AP10" i="7" s="1"/>
  <c r="AU37" i="18"/>
  <c r="AV32" i="18"/>
  <c r="AQ10" i="7" s="1"/>
  <c r="AV150" i="18"/>
  <c r="AV37" i="18"/>
  <c r="AW35" i="18"/>
  <c r="AR14" i="7" s="1"/>
  <c r="AR150" i="18"/>
  <c r="AW245" i="18" s="1"/>
  <c r="AW33" i="18"/>
  <c r="AR12" i="7" s="1"/>
  <c r="AR41" i="18"/>
  <c r="AR42" i="18" s="1"/>
  <c r="AR45" i="18"/>
  <c r="AR32" i="18"/>
  <c r="AM10" i="7" s="1"/>
  <c r="AR130" i="18"/>
  <c r="AR54" i="18"/>
  <c r="AR55" i="18" s="1"/>
  <c r="AR47" i="18"/>
  <c r="AR50" i="18"/>
  <c r="AQ11" i="7" l="1"/>
  <c r="AP11" i="7"/>
  <c r="AN93" i="7"/>
  <c r="AN97" i="7" s="1"/>
  <c r="AR25" i="7"/>
  <c r="AM49" i="7"/>
  <c r="AM50" i="7" s="1"/>
  <c r="AM48" i="7"/>
  <c r="AW39" i="7"/>
  <c r="AW96" i="7"/>
  <c r="AW41" i="7"/>
  <c r="AW47" i="7"/>
  <c r="AW35" i="7"/>
  <c r="AW45" i="7"/>
  <c r="AW74" i="7"/>
  <c r="AW159" i="18"/>
  <c r="AW160" i="18"/>
  <c r="BB14" i="18"/>
  <c r="AW14" i="18"/>
  <c r="BB159" i="18"/>
  <c r="BB160" i="18"/>
  <c r="AH62" i="20"/>
  <c r="AH128" i="20"/>
  <c r="BA61" i="18"/>
  <c r="BF61" i="18"/>
  <c r="AW26" i="18"/>
  <c r="AU38" i="18"/>
  <c r="AT38" i="18"/>
  <c r="AS38" i="18"/>
  <c r="AD117" i="20"/>
  <c r="AC120" i="20"/>
  <c r="BA12" i="18"/>
  <c r="BF13" i="18" s="1"/>
  <c r="AR62" i="18"/>
  <c r="AW246" i="18"/>
  <c r="AW247" i="18" s="1"/>
  <c r="AW249" i="18"/>
  <c r="BB26" i="18"/>
  <c r="AU65" i="18"/>
  <c r="AH123" i="20"/>
  <c r="AR64" i="18"/>
  <c r="AZ224" i="18"/>
  <c r="AZ213" i="18"/>
  <c r="BA224" i="18"/>
  <c r="BA213" i="18"/>
  <c r="AZ151" i="18"/>
  <c r="AU26" i="7" s="1"/>
  <c r="AU170" i="18"/>
  <c r="AU173" i="18"/>
  <c r="AU178" i="18"/>
  <c r="AU181" i="18"/>
  <c r="AZ245" i="18" s="1"/>
  <c r="AZ153" i="18"/>
  <c r="AU28" i="7" s="1"/>
  <c r="AZ155" i="18"/>
  <c r="AU30" i="7" s="1"/>
  <c r="AX152" i="18"/>
  <c r="AS27" i="7" s="1"/>
  <c r="AV181" i="18"/>
  <c r="BA245" i="18" s="1"/>
  <c r="AV178" i="18"/>
  <c r="BK13" i="18"/>
  <c r="BA34" i="18"/>
  <c r="AV13" i="7" s="1"/>
  <c r="AR173" i="18"/>
  <c r="AR170" i="18"/>
  <c r="AR181" i="18"/>
  <c r="AR178" i="18"/>
  <c r="AQ65" i="18"/>
  <c r="AV65" i="18"/>
  <c r="AV170" i="18"/>
  <c r="AV173" i="18"/>
  <c r="BA44" i="18"/>
  <c r="BA50" i="18"/>
  <c r="AW32" i="18"/>
  <c r="AR10" i="7" s="1"/>
  <c r="AW130" i="18"/>
  <c r="AW128" i="18"/>
  <c r="AW124" i="18"/>
  <c r="AW125" i="18" s="1"/>
  <c r="AC124" i="20"/>
  <c r="BG33" i="18"/>
  <c r="BB12" i="7" s="1"/>
  <c r="Z50" i="20"/>
  <c r="BB33" i="18"/>
  <c r="AW12" i="7" s="1"/>
  <c r="BA153" i="18"/>
  <c r="AV28" i="7" s="1"/>
  <c r="AW150" i="18"/>
  <c r="AZ37" i="18"/>
  <c r="AU11" i="7" s="1"/>
  <c r="BB60" i="18"/>
  <c r="AV34" i="18"/>
  <c r="AQ13" i="7" s="1"/>
  <c r="AV36" i="18"/>
  <c r="AQ15" i="7" s="1"/>
  <c r="AU36" i="18"/>
  <c r="AP15" i="7" s="1"/>
  <c r="AU34" i="18"/>
  <c r="AP13" i="7" s="1"/>
  <c r="Y111" i="20"/>
  <c r="Y114" i="20" s="1"/>
  <c r="X15" i="20"/>
  <c r="AA69" i="20"/>
  <c r="AA89" i="20"/>
  <c r="AR151" i="18"/>
  <c r="AM26" i="7" s="1"/>
  <c r="AW155" i="18"/>
  <c r="AR30" i="7" s="1"/>
  <c r="AW153" i="18"/>
  <c r="AR28" i="7" s="1"/>
  <c r="AV152" i="18"/>
  <c r="AQ27" i="7" s="1"/>
  <c r="AV151" i="18"/>
  <c r="AQ26" i="7" s="1"/>
  <c r="AW60" i="18"/>
  <c r="AU151" i="18"/>
  <c r="AP26" i="7" s="1"/>
  <c r="AU152" i="18"/>
  <c r="AP27" i="7" s="1"/>
  <c r="AD124" i="20"/>
  <c r="AD61" i="20"/>
  <c r="BB32" i="18"/>
  <c r="AW10" i="7" s="1"/>
  <c r="AW43" i="18"/>
  <c r="AW46" i="18"/>
  <c r="AW47" i="18" s="1"/>
  <c r="X18" i="20"/>
  <c r="AN94" i="7" l="1"/>
  <c r="AS94" i="7"/>
  <c r="AR96" i="7"/>
  <c r="AR76" i="7"/>
  <c r="AR74" i="7"/>
  <c r="AR75" i="7" s="1"/>
  <c r="AR45" i="7"/>
  <c r="AR35" i="7"/>
  <c r="AR47" i="7"/>
  <c r="AR39" i="7"/>
  <c r="AW76" i="7"/>
  <c r="AR41" i="7"/>
  <c r="AW49" i="7"/>
  <c r="AN98" i="7"/>
  <c r="AN100" i="7"/>
  <c r="AN99" i="7"/>
  <c r="AS98" i="7"/>
  <c r="Z129" i="20"/>
  <c r="AW61" i="18"/>
  <c r="Z128" i="20"/>
  <c r="BB61" i="18"/>
  <c r="BG61" i="18"/>
  <c r="BA13" i="18"/>
  <c r="AR65" i="18"/>
  <c r="AW12" i="18"/>
  <c r="AW13" i="18" s="1"/>
  <c r="BB12" i="18"/>
  <c r="Z61" i="20"/>
  <c r="Z62" i="20" s="1"/>
  <c r="BJ45" i="18"/>
  <c r="AC62" i="20"/>
  <c r="BB224" i="18"/>
  <c r="BB213" i="18"/>
  <c r="BA227" i="18"/>
  <c r="AZ227" i="18"/>
  <c r="AZ249" i="18"/>
  <c r="AZ247" i="18"/>
  <c r="BB245" i="18"/>
  <c r="BA249" i="18"/>
  <c r="BA247" i="18"/>
  <c r="AZ154" i="18"/>
  <c r="AU29" i="7" s="1"/>
  <c r="AZ156" i="18"/>
  <c r="AU31" i="7" s="1"/>
  <c r="AY152" i="18"/>
  <c r="AT27" i="7" s="1"/>
  <c r="AW173" i="18"/>
  <c r="AW170" i="18"/>
  <c r="AW178" i="18"/>
  <c r="AW181" i="18"/>
  <c r="BK34" i="18"/>
  <c r="BF13" i="7" s="1"/>
  <c r="BJ32" i="18"/>
  <c r="BE10" i="7" s="1"/>
  <c r="BJ13" i="18"/>
  <c r="BB46" i="18"/>
  <c r="BB47" i="18" s="1"/>
  <c r="AW151" i="18"/>
  <c r="AR26" i="7" s="1"/>
  <c r="AC61" i="20"/>
  <c r="AC126" i="20"/>
  <c r="BA40" i="18"/>
  <c r="BA41" i="18"/>
  <c r="BF42" i="18" s="1"/>
  <c r="BA49" i="18"/>
  <c r="BB43" i="18"/>
  <c r="BB45" i="18" s="1"/>
  <c r="AH61" i="20"/>
  <c r="AH124" i="20"/>
  <c r="AZ34" i="18"/>
  <c r="AU13" i="7" s="1"/>
  <c r="AZ36" i="18"/>
  <c r="AU15" i="7" s="1"/>
  <c r="BB153" i="18"/>
  <c r="AW28" i="7" s="1"/>
  <c r="AW34" i="18"/>
  <c r="AR13" i="7" s="1"/>
  <c r="AE12" i="20"/>
  <c r="AW36" i="18"/>
  <c r="AV156" i="18"/>
  <c r="AQ31" i="7" s="1"/>
  <c r="AV154" i="18"/>
  <c r="AQ29" i="7" s="1"/>
  <c r="Y18" i="20"/>
  <c r="AW44" i="18"/>
  <c r="AW45" i="18"/>
  <c r="AU154" i="18"/>
  <c r="AP29" i="7" s="1"/>
  <c r="AU156" i="18"/>
  <c r="AP31" i="7" s="1"/>
  <c r="AA70" i="20"/>
  <c r="Y15" i="20"/>
  <c r="AA111" i="20"/>
  <c r="AA114" i="20" s="1"/>
  <c r="AC111" i="20" s="1"/>
  <c r="AC114" i="20" s="1"/>
  <c r="AW75" i="7" l="1"/>
  <c r="AR48" i="7"/>
  <c r="AR49" i="7"/>
  <c r="AR50" i="7" s="1"/>
  <c r="AW48" i="7"/>
  <c r="AR15" i="7"/>
  <c r="BJ36" i="18"/>
  <c r="BE15" i="7" s="1"/>
  <c r="BJ34" i="18"/>
  <c r="BE13" i="7" s="1"/>
  <c r="AE128" i="20"/>
  <c r="BB13" i="18"/>
  <c r="BG13" i="18"/>
  <c r="AE61" i="20"/>
  <c r="AE62" i="20" s="1"/>
  <c r="BO34" i="18"/>
  <c r="BJ13" i="7" s="1"/>
  <c r="BB249" i="18"/>
  <c r="BB98" i="18"/>
  <c r="AW21" i="7" s="1"/>
  <c r="BB99" i="18"/>
  <c r="AW22" i="7" s="1"/>
  <c r="BA36" i="18"/>
  <c r="AV15" i="7" s="1"/>
  <c r="BA155" i="18"/>
  <c r="AV30" i="7" s="1"/>
  <c r="BB35" i="18"/>
  <c r="AW14" i="7" s="1"/>
  <c r="BB44" i="18"/>
  <c r="X43" i="20"/>
  <c r="BB34" i="18"/>
  <c r="AW13" i="7" s="1"/>
  <c r="AH126" i="20"/>
  <c r="AW156" i="18"/>
  <c r="AR31" i="7" s="1"/>
  <c r="X99" i="20"/>
  <c r="AA99" i="20"/>
  <c r="AA15" i="20"/>
  <c r="AW154" i="18"/>
  <c r="AR29" i="7" s="1"/>
  <c r="Z18" i="20"/>
  <c r="Y99" i="20"/>
  <c r="AC29" i="20"/>
  <c r="AC36" i="20" s="1"/>
  <c r="Z15" i="20"/>
  <c r="AD113" i="20"/>
  <c r="AD119" i="20" s="1"/>
  <c r="AD120" i="20" s="1"/>
  <c r="AF117" i="20" s="1"/>
  <c r="AF120" i="20" s="1"/>
  <c r="AG117" i="20" s="1"/>
  <c r="AW50" i="7" l="1"/>
  <c r="AH117" i="20"/>
  <c r="AG120" i="20"/>
  <c r="AE67" i="20"/>
  <c r="BB246" i="18"/>
  <c r="BB247" i="18" s="1"/>
  <c r="BB100" i="18"/>
  <c r="AW23" i="7" s="1"/>
  <c r="BB36" i="18"/>
  <c r="BB155" i="18"/>
  <c r="AW30" i="7" s="1"/>
  <c r="BA42" i="18"/>
  <c r="AH113" i="20"/>
  <c r="AH119" i="20" s="1"/>
  <c r="X57" i="20"/>
  <c r="Y43" i="20"/>
  <c r="AK93" i="7" l="1"/>
  <c r="AK94" i="7" s="1"/>
  <c r="AW15" i="7"/>
  <c r="AH120" i="20"/>
  <c r="AI117" i="20" s="1"/>
  <c r="BA101" i="18"/>
  <c r="AV19" i="7" s="1"/>
  <c r="BA150" i="18"/>
  <c r="Z43" i="20"/>
  <c r="Y57" i="20"/>
  <c r="X69" i="20"/>
  <c r="X89" i="20"/>
  <c r="X91" i="20" s="1"/>
  <c r="AD111" i="20"/>
  <c r="AD114" i="20" s="1"/>
  <c r="AK97" i="7" l="1"/>
  <c r="AK98" i="7" s="1"/>
  <c r="AL93" i="7"/>
  <c r="AL97" i="7" s="1"/>
  <c r="BF151" i="18"/>
  <c r="BA26" i="7" s="1"/>
  <c r="BF153" i="18"/>
  <c r="BA28" i="7" s="1"/>
  <c r="BF155" i="18"/>
  <c r="BA30" i="7" s="1"/>
  <c r="BC155" i="18"/>
  <c r="AX30" i="7" s="1"/>
  <c r="BD155" i="18"/>
  <c r="AY30" i="7" s="1"/>
  <c r="BF213" i="18"/>
  <c r="BF224" i="18"/>
  <c r="BA181" i="18"/>
  <c r="BA170" i="18"/>
  <c r="BA178" i="18"/>
  <c r="BA173" i="18"/>
  <c r="BA152" i="18"/>
  <c r="AV27" i="7" s="1"/>
  <c r="BA151" i="18"/>
  <c r="AV26" i="7" s="1"/>
  <c r="BB129" i="18"/>
  <c r="BB130" i="18" s="1"/>
  <c r="BB126" i="18"/>
  <c r="BB96" i="18"/>
  <c r="AW18" i="7" s="1"/>
  <c r="BB150" i="18"/>
  <c r="BB173" i="18" s="1"/>
  <c r="BG97" i="18"/>
  <c r="BB20" i="7" s="1"/>
  <c r="X92" i="20"/>
  <c r="Z57" i="20"/>
  <c r="Y69" i="20"/>
  <c r="Y89" i="20"/>
  <c r="Y91" i="20" s="1"/>
  <c r="Y92" i="20" s="1"/>
  <c r="AF111" i="20"/>
  <c r="AF114" i="20" s="1"/>
  <c r="X70" i="20"/>
  <c r="X71" i="20"/>
  <c r="AK144" i="7" s="1"/>
  <c r="AK145" i="7" s="1"/>
  <c r="AK99" i="7" l="1"/>
  <c r="AK100" i="7"/>
  <c r="AL94" i="7"/>
  <c r="AM93" i="7"/>
  <c r="AM97" i="7" s="1"/>
  <c r="AL98" i="7"/>
  <c r="AL100" i="7"/>
  <c r="AL99" i="7"/>
  <c r="AI62" i="20"/>
  <c r="AI128" i="20"/>
  <c r="BF156" i="18"/>
  <c r="BA31" i="7" s="1"/>
  <c r="BF154" i="18"/>
  <c r="BA29" i="7" s="1"/>
  <c r="BB128" i="18"/>
  <c r="BG127" i="18"/>
  <c r="AI61" i="20"/>
  <c r="BG213" i="18"/>
  <c r="BG224" i="18"/>
  <c r="BB151" i="18"/>
  <c r="AW26" i="7" s="1"/>
  <c r="BB170" i="18"/>
  <c r="BB181" i="18"/>
  <c r="BB178" i="18"/>
  <c r="AI123" i="20"/>
  <c r="BG153" i="18"/>
  <c r="BB28" i="7" s="1"/>
  <c r="AJ12" i="20"/>
  <c r="BA154" i="18"/>
  <c r="AV29" i="7" s="1"/>
  <c r="BA156" i="18"/>
  <c r="AV31" i="7" s="1"/>
  <c r="AJ61" i="20"/>
  <c r="AJ62" i="20" s="1"/>
  <c r="BB127" i="18"/>
  <c r="X72" i="20"/>
  <c r="Z69" i="20"/>
  <c r="Z89" i="20"/>
  <c r="Y71" i="20"/>
  <c r="AL144" i="7" s="1"/>
  <c r="AL145" i="7" s="1"/>
  <c r="AE18" i="20"/>
  <c r="AE15" i="20"/>
  <c r="X14" i="20"/>
  <c r="X97" i="20"/>
  <c r="X98" i="20" s="1"/>
  <c r="Z10" i="20"/>
  <c r="Y97" i="20"/>
  <c r="Y98" i="20" s="1"/>
  <c r="Y14" i="20"/>
  <c r="Y70" i="20"/>
  <c r="Z71" i="20"/>
  <c r="Z72" i="20" s="1"/>
  <c r="AA71" i="20"/>
  <c r="AN144" i="7" s="1"/>
  <c r="AN145" i="7" s="1"/>
  <c r="AM94" i="7" l="1"/>
  <c r="AM98" i="7"/>
  <c r="AM100" i="7"/>
  <c r="AM99" i="7"/>
  <c r="Z97" i="20"/>
  <c r="Z98" i="20" s="1"/>
  <c r="Z91" i="20"/>
  <c r="AI124" i="20"/>
  <c r="BF234" i="18"/>
  <c r="AI125" i="20"/>
  <c r="BB154" i="18"/>
  <c r="AW29" i="7" s="1"/>
  <c r="BB156" i="18"/>
  <c r="AW31" i="7" s="1"/>
  <c r="AI113" i="20"/>
  <c r="AI119" i="20" s="1"/>
  <c r="AI120" i="20" s="1"/>
  <c r="AK117" i="20" s="1"/>
  <c r="AA72" i="20"/>
  <c r="Y72" i="20"/>
  <c r="Z141" i="20"/>
  <c r="Z70" i="20"/>
  <c r="X100" i="20"/>
  <c r="Y100" i="20"/>
  <c r="Y21" i="20"/>
  <c r="Z14" i="20"/>
  <c r="X21" i="20"/>
  <c r="Z92" i="20" l="1"/>
  <c r="AE90" i="20"/>
  <c r="AA90" i="20"/>
  <c r="AB90" i="20" s="1"/>
  <c r="AC90" i="20" s="1"/>
  <c r="AD90" i="20" s="1"/>
  <c r="X38" i="20"/>
  <c r="Y38" i="20"/>
  <c r="Z21" i="20"/>
  <c r="AA91" i="20" l="1"/>
  <c r="AH111" i="20"/>
  <c r="AH114" i="20" s="1"/>
  <c r="X39" i="20"/>
  <c r="Z38" i="20"/>
  <c r="Y39" i="20"/>
  <c r="Z104" i="20" l="1"/>
  <c r="Z107" i="20" s="1"/>
  <c r="AA92" i="20"/>
  <c r="AI111" i="20"/>
  <c r="AI114" i="20" s="1"/>
  <c r="AJ18" i="20"/>
  <c r="AA97" i="20"/>
  <c r="AA98" i="20" s="1"/>
  <c r="AA14" i="20"/>
  <c r="Z39" i="20"/>
  <c r="X40" i="20"/>
  <c r="Y40" i="20"/>
  <c r="Z106" i="20" l="1"/>
  <c r="Z108" i="20" s="1"/>
  <c r="AK111" i="20"/>
  <c r="AA100" i="20"/>
  <c r="AA21" i="20"/>
  <c r="Z40" i="20"/>
  <c r="AJ15" i="20" l="1"/>
  <c r="AA39" i="20" l="1"/>
  <c r="AA40" i="20" l="1"/>
  <c r="AT52" i="18" l="1"/>
  <c r="AT50" i="18"/>
  <c r="AT49" i="18"/>
  <c r="AY53" i="18" l="1"/>
  <c r="AT54" i="18"/>
  <c r="AT63" i="18"/>
  <c r="AT53" i="18"/>
  <c r="AT66" i="18" l="1"/>
  <c r="AY66" i="18"/>
  <c r="AT62" i="18"/>
  <c r="AT64" i="18"/>
  <c r="AT65" i="18" s="1"/>
  <c r="AY55" i="18"/>
  <c r="AT56" i="18"/>
  <c r="AU56" i="18"/>
  <c r="AT55" i="18"/>
  <c r="AY65" i="18" l="1"/>
  <c r="AT135" i="18"/>
  <c r="AT164" i="18" l="1"/>
  <c r="AT163" i="18"/>
  <c r="AW135" i="18"/>
  <c r="AW137" i="18" s="1"/>
  <c r="AY136" i="18"/>
  <c r="BD56" i="18"/>
  <c r="AB126" i="20"/>
  <c r="AT145" i="18"/>
  <c r="AT137" i="18"/>
  <c r="AY138" i="18" s="1"/>
  <c r="AT136" i="18"/>
  <c r="AW136" i="18" l="1"/>
  <c r="AT144" i="18"/>
  <c r="AT146" i="18"/>
  <c r="AY147" i="18" s="1"/>
  <c r="AT148" i="18"/>
  <c r="AY148" i="18"/>
  <c r="AW138" i="18"/>
  <c r="AY139" i="18"/>
  <c r="BB48" i="18"/>
  <c r="BB50" i="18" s="1"/>
  <c r="AU139" i="18"/>
  <c r="AB29" i="20"/>
  <c r="AB36" i="20" s="1"/>
  <c r="AB39" i="20" s="1"/>
  <c r="AT138" i="18"/>
  <c r="AT139" i="18"/>
  <c r="AW145" i="18"/>
  <c r="AW144" i="18" l="1"/>
  <c r="AT147" i="18"/>
  <c r="AW146" i="18"/>
  <c r="AW148" i="18"/>
  <c r="BB39" i="18"/>
  <c r="BB41" i="18" l="1"/>
  <c r="AW147" i="18"/>
  <c r="BB135" i="18"/>
  <c r="BD139" i="18"/>
  <c r="BB136" i="18" l="1"/>
  <c r="BB137" i="18"/>
  <c r="BB138" i="18" s="1"/>
  <c r="BB145" i="18"/>
  <c r="BB131" i="18"/>
  <c r="BB144" i="18" l="1"/>
  <c r="BB146" i="18"/>
  <c r="BB148" i="18"/>
  <c r="AG125" i="20"/>
  <c r="AG126" i="20" s="1"/>
  <c r="BB122" i="18"/>
  <c r="AC99" i="20"/>
  <c r="AC100" i="20" s="1"/>
  <c r="AB99" i="20"/>
  <c r="AB100" i="20" s="1"/>
  <c r="BB133" i="18"/>
  <c r="BB132" i="18"/>
  <c r="BB147" i="18" l="1"/>
  <c r="BB123" i="18"/>
  <c r="BB124" i="18"/>
  <c r="BB125" i="18" s="1"/>
  <c r="AB57" i="20"/>
  <c r="AO93" i="7" l="1"/>
  <c r="AO97" i="7" s="1"/>
  <c r="AB69" i="20"/>
  <c r="AB89" i="20"/>
  <c r="AO94" i="7" l="1"/>
  <c r="AO100" i="7"/>
  <c r="AO99" i="7"/>
  <c r="AO98" i="7"/>
  <c r="AB70" i="20"/>
  <c r="AB71" i="20"/>
  <c r="AO144" i="7" s="1"/>
  <c r="AO145" i="7" s="1"/>
  <c r="AB91" i="20"/>
  <c r="AB92" i="20" l="1"/>
  <c r="AB72" i="20"/>
  <c r="AB21" i="20" l="1"/>
  <c r="AB40" i="20" l="1"/>
  <c r="AQ42" i="18" l="1"/>
  <c r="AD126" i="20" l="1"/>
  <c r="AW48" i="18" l="1"/>
  <c r="BB49" i="18" s="1"/>
  <c r="AW39" i="18"/>
  <c r="BA63" i="18"/>
  <c r="AE24" i="20"/>
  <c r="BA66" i="18" l="1"/>
  <c r="BF66" i="18"/>
  <c r="BA62" i="18"/>
  <c r="BA64" i="18"/>
  <c r="AW41" i="18"/>
  <c r="BB40" i="18"/>
  <c r="AI126" i="20"/>
  <c r="AW52" i="18"/>
  <c r="AW40" i="18"/>
  <c r="AE29" i="20"/>
  <c r="AW50" i="18"/>
  <c r="AW49" i="18"/>
  <c r="AW53" i="18" l="1"/>
  <c r="AW163" i="18"/>
  <c r="AW164" i="18"/>
  <c r="BA65" i="18"/>
  <c r="BF65" i="18"/>
  <c r="AW42" i="18"/>
  <c r="BB42" i="18"/>
  <c r="AJ24" i="20"/>
  <c r="AW54" i="18"/>
  <c r="AW63" i="18"/>
  <c r="AW66" i="18" s="1"/>
  <c r="AW62" i="18" l="1"/>
  <c r="AW64" i="18"/>
  <c r="AW55" i="18"/>
  <c r="AW65" i="18" l="1"/>
  <c r="AD99" i="20"/>
  <c r="BB52" i="18" l="1"/>
  <c r="AF126" i="20"/>
  <c r="BB54" i="18" l="1"/>
  <c r="BB55" i="18" s="1"/>
  <c r="BB163" i="18"/>
  <c r="BB164" i="18"/>
  <c r="BB63" i="18"/>
  <c r="BB66" i="18" s="1"/>
  <c r="BB53" i="18"/>
  <c r="BB62" i="18" l="1"/>
  <c r="BB64" i="18"/>
  <c r="BB65" i="18" l="1"/>
  <c r="AG99" i="20" l="1"/>
  <c r="AH99" i="20"/>
  <c r="AF99" i="20"/>
  <c r="AI99" i="20"/>
  <c r="AJ99" i="20" s="1"/>
  <c r="AC57" i="20" l="1"/>
  <c r="AP93" i="7" l="1"/>
  <c r="AP97" i="7" s="1"/>
  <c r="AC89" i="20"/>
  <c r="AC91" i="20" s="1"/>
  <c r="AC69" i="20"/>
  <c r="AU94" i="7" l="1"/>
  <c r="AP94" i="7"/>
  <c r="AP100" i="7"/>
  <c r="AP99" i="7"/>
  <c r="AP98" i="7"/>
  <c r="AU98" i="7"/>
  <c r="AC71" i="20"/>
  <c r="AP144" i="7" s="1"/>
  <c r="AP145" i="7" s="1"/>
  <c r="AC70" i="20"/>
  <c r="AC92" i="20"/>
  <c r="AC72" i="20" l="1"/>
  <c r="AC14" i="20"/>
  <c r="AC21" i="20" l="1"/>
  <c r="AE10" i="20"/>
  <c r="AD97" i="20"/>
  <c r="AD98" i="20" s="1"/>
  <c r="AD100" i="20" l="1"/>
  <c r="AE97" i="20"/>
  <c r="AE98" i="20" s="1"/>
  <c r="AE14" i="20"/>
  <c r="AE21" i="20" l="1"/>
  <c r="AE38" i="20"/>
  <c r="AC39" i="20"/>
  <c r="AE104" i="20" l="1"/>
  <c r="AE106" i="20" s="1"/>
  <c r="AE108" i="20" s="1"/>
  <c r="AC40" i="20"/>
  <c r="AE107" i="20" l="1"/>
  <c r="AD40" i="20" l="1"/>
  <c r="AD57" i="20"/>
  <c r="AQ93" i="7" l="1"/>
  <c r="AQ94" i="7" s="1"/>
  <c r="AE35" i="20"/>
  <c r="AD69" i="20"/>
  <c r="AE36" i="20" l="1"/>
  <c r="AE39" i="20" s="1"/>
  <c r="AQ97" i="7"/>
  <c r="AQ100" i="7" s="1"/>
  <c r="AD70" i="20"/>
  <c r="AE71" i="20"/>
  <c r="AE72" i="20" s="1"/>
  <c r="AD71" i="20"/>
  <c r="AQ144" i="7" s="1"/>
  <c r="AQ145" i="7" s="1"/>
  <c r="AE57" i="20"/>
  <c r="AR93" i="7" l="1"/>
  <c r="AE40" i="20"/>
  <c r="AQ98" i="7"/>
  <c r="AQ99" i="7"/>
  <c r="AD72" i="20"/>
  <c r="AE69" i="20"/>
  <c r="AG57" i="20"/>
  <c r="AT93" i="7" l="1"/>
  <c r="AF71" i="20"/>
  <c r="AS144" i="7" s="1"/>
  <c r="AS145" i="7" s="1"/>
  <c r="AR97" i="7"/>
  <c r="AW94" i="7"/>
  <c r="AR94" i="7"/>
  <c r="AG69" i="20"/>
  <c r="AG89" i="20"/>
  <c r="AE70" i="20"/>
  <c r="AF72" i="20" l="1"/>
  <c r="AT97" i="7"/>
  <c r="AT94" i="7"/>
  <c r="AR99" i="7"/>
  <c r="AW98" i="7"/>
  <c r="AR100" i="7"/>
  <c r="AR98" i="7"/>
  <c r="AG71" i="20"/>
  <c r="AT144" i="7" s="1"/>
  <c r="AT145" i="7" s="1"/>
  <c r="AG70" i="20"/>
  <c r="AG72" i="20" l="1"/>
  <c r="AT99" i="7"/>
  <c r="AT100" i="7"/>
  <c r="AT98" i="7"/>
  <c r="AF97" i="20"/>
  <c r="AF98" i="20" s="1"/>
  <c r="AG97" i="20" l="1"/>
  <c r="AG98" i="20" s="1"/>
  <c r="AF100" i="20"/>
  <c r="AH97" i="20"/>
  <c r="AH98" i="20" s="1"/>
  <c r="AH100" i="20" l="1"/>
  <c r="AG100" i="20"/>
  <c r="AG40" i="20" l="1"/>
  <c r="BC150" i="18" l="1"/>
  <c r="BH224" i="18" l="1"/>
  <c r="BC181" i="18"/>
  <c r="BC178" i="18"/>
  <c r="BC170" i="18"/>
  <c r="BC173" i="18"/>
  <c r="BH153" i="18"/>
  <c r="BC28" i="7" s="1"/>
  <c r="BH213" i="18"/>
  <c r="BC151" i="18"/>
  <c r="AX26" i="7" s="1"/>
  <c r="BC152" i="18"/>
  <c r="AX27" i="7" s="1"/>
  <c r="AK62" i="20" l="1"/>
  <c r="AK128" i="20"/>
  <c r="BE245" i="18"/>
  <c r="BE247" i="18" s="1"/>
  <c r="BH245" i="18"/>
  <c r="AK123" i="20"/>
  <c r="AK61" i="20"/>
  <c r="BC156" i="18"/>
  <c r="AX31" i="7" s="1"/>
  <c r="BC154" i="18"/>
  <c r="AX29" i="7" s="1"/>
  <c r="BC124" i="18"/>
  <c r="BH125" i="18" s="1"/>
  <c r="AK125" i="20"/>
  <c r="BC123" i="18"/>
  <c r="BH247" i="18" l="1"/>
  <c r="BE249" i="18"/>
  <c r="AK124" i="20"/>
  <c r="AK126" i="20"/>
  <c r="AK113" i="20"/>
  <c r="AK119" i="20" s="1"/>
  <c r="AK120" i="20" s="1"/>
  <c r="AL117" i="20" s="1"/>
  <c r="BC125" i="18"/>
  <c r="AM117" i="20" l="1"/>
  <c r="AK114" i="20"/>
  <c r="AL111" i="20" l="1"/>
  <c r="AP113" i="20" l="1"/>
  <c r="AP119" i="20" s="1"/>
  <c r="AK99" i="20"/>
  <c r="BD143" i="18" l="1"/>
  <c r="BD101" i="18"/>
  <c r="AY19" i="7" s="1"/>
  <c r="BD145" i="18" l="1"/>
  <c r="BI148" i="18" s="1"/>
  <c r="BJ224" i="18"/>
  <c r="AM61" i="20" l="1"/>
  <c r="AM128" i="20"/>
  <c r="AM123" i="20"/>
  <c r="BD144" i="18"/>
  <c r="BD146" i="18"/>
  <c r="BD148" i="18"/>
  <c r="BJ213" i="18"/>
  <c r="AM124" i="20" l="1"/>
  <c r="BD147" i="18"/>
  <c r="AM113" i="20" l="1"/>
  <c r="AM119" i="20" s="1"/>
  <c r="AM120" i="20" s="1"/>
  <c r="AN117" i="20" s="1"/>
  <c r="AN120" i="20" s="1"/>
  <c r="AP117" i="20" s="1"/>
  <c r="AP120" i="20" s="1"/>
  <c r="AQ117" i="20" s="1"/>
  <c r="AR113" i="20" l="1"/>
  <c r="AR114" i="20" s="1"/>
  <c r="AO18" i="20" l="1"/>
  <c r="AT18" i="20" l="1"/>
  <c r="AY18" i="20" l="1"/>
  <c r="AJ13" i="20"/>
  <c r="BC18" i="20" l="1"/>
  <c r="AO51" i="20"/>
  <c r="BD18" i="20" l="1"/>
  <c r="AO13" i="20"/>
  <c r="BE18" i="20" l="1"/>
  <c r="BF18" i="20" l="1"/>
  <c r="BG18" i="20" s="1"/>
  <c r="BH18" i="20" l="1"/>
  <c r="BI18" i="20" l="1"/>
  <c r="AT13" i="20"/>
  <c r="BJ18" i="20" l="1"/>
  <c r="AJ20" i="20"/>
  <c r="BK18" i="20" l="1"/>
  <c r="AH89" i="20"/>
  <c r="AH69" i="20"/>
  <c r="BL18" i="20" l="1"/>
  <c r="AY13" i="20"/>
  <c r="AH70" i="20"/>
  <c r="AH71" i="20"/>
  <c r="AU144" i="7" s="1"/>
  <c r="AU145" i="7" s="1"/>
  <c r="BM18" i="20" l="1"/>
  <c r="AH72" i="20"/>
  <c r="AO20" i="20"/>
  <c r="BN18" i="20" l="1"/>
  <c r="AO52" i="20"/>
  <c r="BE13" i="20" l="1"/>
  <c r="BE51" i="20" l="1"/>
  <c r="BF13" i="20"/>
  <c r="BC51" i="20"/>
  <c r="BD51" i="20" s="1"/>
  <c r="BD13" i="20"/>
  <c r="BG13" i="20" l="1"/>
  <c r="BF51" i="20"/>
  <c r="AT20" i="20"/>
  <c r="BH13" i="20" l="1"/>
  <c r="BG51" i="20"/>
  <c r="BJ13" i="20" l="1"/>
  <c r="BH51" i="20"/>
  <c r="BI51" i="20" s="1"/>
  <c r="BI13" i="20"/>
  <c r="AD67" i="20"/>
  <c r="BJ51" i="20" l="1"/>
  <c r="BK13" i="20"/>
  <c r="AE89" i="20"/>
  <c r="AE92" i="20" s="1"/>
  <c r="AD89" i="20"/>
  <c r="AD91" i="20" s="1"/>
  <c r="AD92" i="20" s="1"/>
  <c r="BK51" i="20" l="1"/>
  <c r="BL13" i="20"/>
  <c r="AY20" i="20"/>
  <c r="AF90" i="20"/>
  <c r="AF91" i="20" s="1"/>
  <c r="AJ90" i="20"/>
  <c r="BL51" i="20" l="1"/>
  <c r="BM13" i="20"/>
  <c r="BM51" i="20" s="1"/>
  <c r="AG90" i="20"/>
  <c r="AG91" i="20" s="1"/>
  <c r="AF92" i="20"/>
  <c r="BN13" i="20" l="1"/>
  <c r="BN51" i="20"/>
  <c r="AH90" i="20"/>
  <c r="AH91" i="20" s="1"/>
  <c r="AG92" i="20"/>
  <c r="AI90" i="20" l="1"/>
  <c r="BC20" i="20"/>
  <c r="AH92" i="20"/>
  <c r="BC52" i="20" l="1"/>
  <c r="BD52" i="20" s="1"/>
  <c r="BE20" i="20"/>
  <c r="BD20" i="20"/>
  <c r="AH137" i="20"/>
  <c r="AJ28" i="20"/>
  <c r="AH29" i="20"/>
  <c r="AJ127" i="20" l="1"/>
  <c r="AJ128" i="20" s="1"/>
  <c r="BE52" i="20"/>
  <c r="BF20" i="20"/>
  <c r="AH36" i="20"/>
  <c r="AH39" i="20" s="1"/>
  <c r="AJ29" i="20"/>
  <c r="BG20" i="20" l="1"/>
  <c r="BF52" i="20"/>
  <c r="AH40" i="20"/>
  <c r="AJ35" i="20"/>
  <c r="BG52" i="20" l="1"/>
  <c r="BH20" i="20"/>
  <c r="AJ36" i="20"/>
  <c r="BJ20" i="20" l="1"/>
  <c r="BJ52" i="20" s="1"/>
  <c r="BH52" i="20"/>
  <c r="BI52" i="20" s="1"/>
  <c r="BI20" i="20"/>
  <c r="AK89" i="20"/>
  <c r="AK69" i="20"/>
  <c r="BK20" i="20" l="1"/>
  <c r="AO54" i="20"/>
  <c r="AO28" i="20"/>
  <c r="AK70" i="20"/>
  <c r="AJ10" i="20"/>
  <c r="AJ97" i="20" s="1"/>
  <c r="AJ98" i="20" s="1"/>
  <c r="AI97" i="20"/>
  <c r="AI98" i="20" s="1"/>
  <c r="BL20" i="20" l="1"/>
  <c r="BK52" i="20"/>
  <c r="AI100" i="20"/>
  <c r="AJ100" i="20" s="1"/>
  <c r="AJ14" i="20"/>
  <c r="AO55" i="20"/>
  <c r="AO35" i="20"/>
  <c r="BL52" i="20" l="1"/>
  <c r="BM20" i="20"/>
  <c r="AJ21" i="20"/>
  <c r="BN20" i="20" l="1"/>
  <c r="BM52" i="20"/>
  <c r="BN52" i="20" s="1"/>
  <c r="AJ38" i="20"/>
  <c r="AJ104" i="20" l="1"/>
  <c r="AJ107" i="20" s="1"/>
  <c r="AJ39" i="20"/>
  <c r="AI40" i="20"/>
  <c r="AK97" i="20"/>
  <c r="AK98" i="20" s="1"/>
  <c r="AJ106" i="20" l="1"/>
  <c r="AJ108" i="20" s="1"/>
  <c r="AT35" i="20"/>
  <c r="AK100" i="20"/>
  <c r="AJ40" i="20"/>
  <c r="AY35" i="20" l="1"/>
  <c r="AK40" i="20"/>
  <c r="BC35" i="20" l="1"/>
  <c r="AJ138" i="20"/>
  <c r="BE35" i="20" l="1"/>
  <c r="BE55" i="20" s="1"/>
  <c r="BD35" i="20"/>
  <c r="BC55" i="20"/>
  <c r="BD55" i="20" s="1"/>
  <c r="BC98" i="18"/>
  <c r="AX21" i="7" s="1"/>
  <c r="AJ69" i="20"/>
  <c r="AI57" i="20"/>
  <c r="BF35" i="20" l="1"/>
  <c r="AV93" i="7"/>
  <c r="BG35" i="20"/>
  <c r="BF55" i="20"/>
  <c r="AJ70" i="20"/>
  <c r="AI69" i="20"/>
  <c r="AV97" i="7" l="1"/>
  <c r="AV94" i="7"/>
  <c r="BH35" i="20"/>
  <c r="BG55" i="20"/>
  <c r="AK71" i="20"/>
  <c r="AX144" i="7" s="1"/>
  <c r="AX145" i="7" s="1"/>
  <c r="AI70" i="20"/>
  <c r="AI71" i="20"/>
  <c r="AV144" i="7" s="1"/>
  <c r="AV145" i="7" s="1"/>
  <c r="AJ71" i="20"/>
  <c r="AJ72" i="20" s="1"/>
  <c r="BJ35" i="20" l="1"/>
  <c r="AV99" i="7"/>
  <c r="AV100" i="7"/>
  <c r="AV98" i="7"/>
  <c r="BI35" i="20"/>
  <c r="BH55" i="20"/>
  <c r="AK72" i="20"/>
  <c r="AI72" i="20"/>
  <c r="BK35" i="20" l="1"/>
  <c r="BJ55" i="20"/>
  <c r="BI55" i="20"/>
  <c r="AJ89" i="20"/>
  <c r="AJ91" i="20" s="1"/>
  <c r="BL35" i="20" l="1"/>
  <c r="BK55" i="20"/>
  <c r="AJ92" i="20"/>
  <c r="AK90" i="20"/>
  <c r="AO90" i="20"/>
  <c r="BM35" i="20" l="1"/>
  <c r="BL55" i="20"/>
  <c r="AK91" i="20"/>
  <c r="AK92" i="20" s="1"/>
  <c r="AL90" i="20"/>
  <c r="BN35" i="20" l="1"/>
  <c r="BM55" i="20"/>
  <c r="BN55" i="20" s="1"/>
  <c r="AM90" i="20"/>
  <c r="AN90" i="20" l="1"/>
  <c r="AI86" i="20"/>
  <c r="AI89" i="20" l="1"/>
  <c r="AI91" i="20" s="1"/>
  <c r="AI92" i="20" s="1"/>
  <c r="BG31" i="18"/>
  <c r="BB9" i="7" s="1"/>
  <c r="BD150" i="18"/>
  <c r="BI33" i="18"/>
  <c r="BD12" i="7" s="1"/>
  <c r="BD37" i="18"/>
  <c r="BG28" i="18"/>
  <c r="AY11" i="7" l="1"/>
  <c r="BG14" i="18"/>
  <c r="BG26" i="18"/>
  <c r="BD181" i="18"/>
  <c r="BI245" i="18" s="1"/>
  <c r="BD178" i="18"/>
  <c r="BE152" i="18"/>
  <c r="AZ27" i="7" s="1"/>
  <c r="BD168" i="18"/>
  <c r="BD173" i="18"/>
  <c r="AL128" i="20"/>
  <c r="BD63" i="18"/>
  <c r="BD66" i="18" s="1"/>
  <c r="BI153" i="18"/>
  <c r="BD28" i="7" s="1"/>
  <c r="BG43" i="18"/>
  <c r="BD36" i="18"/>
  <c r="AY15" i="7" s="1"/>
  <c r="BI224" i="18"/>
  <c r="BD151" i="18"/>
  <c r="AY26" i="7" s="1"/>
  <c r="BD152" i="18"/>
  <c r="AY27" i="7" s="1"/>
  <c r="BI213" i="18"/>
  <c r="BG46" i="18"/>
  <c r="BG130" i="18"/>
  <c r="BG32" i="18"/>
  <c r="BB10" i="7" s="1"/>
  <c r="BL33" i="18"/>
  <c r="BG12" i="7" s="1"/>
  <c r="BG168" i="18" l="1"/>
  <c r="BI169" i="18"/>
  <c r="AL62" i="20"/>
  <c r="AM62" i="20"/>
  <c r="BF245" i="18"/>
  <c r="BG245" i="18" s="1"/>
  <c r="AL61" i="20"/>
  <c r="AL123" i="20"/>
  <c r="BG47" i="18"/>
  <c r="BD170" i="18"/>
  <c r="BD169" i="18"/>
  <c r="BD62" i="18"/>
  <c r="BD64" i="18"/>
  <c r="BG45" i="18"/>
  <c r="BG44" i="18"/>
  <c r="BG34" i="18"/>
  <c r="BB13" i="7" s="1"/>
  <c r="BQ44" i="18"/>
  <c r="BD156" i="18"/>
  <c r="AY31" i="7" s="1"/>
  <c r="BD154" i="18"/>
  <c r="AY29" i="7" s="1"/>
  <c r="BL46" i="18"/>
  <c r="BG169" i="18" l="1"/>
  <c r="BL169" i="18"/>
  <c r="BG249" i="18"/>
  <c r="BF249" i="18"/>
  <c r="AL124" i="20"/>
  <c r="BD65" i="18"/>
  <c r="BL44" i="18"/>
  <c r="AO44" i="20"/>
  <c r="AL113" i="20"/>
  <c r="AL119" i="20" s="1"/>
  <c r="AL120" i="20" s="1"/>
  <c r="BG87" i="18" l="1"/>
  <c r="BH99" i="18"/>
  <c r="BC22" i="7" s="1"/>
  <c r="BF36" i="18"/>
  <c r="BA15" i="7" s="1"/>
  <c r="BF246" i="18"/>
  <c r="BF247" i="18" s="1"/>
  <c r="BG35" i="18"/>
  <c r="BB14" i="7" s="1"/>
  <c r="AL125" i="20"/>
  <c r="AL114" i="20"/>
  <c r="AQ113" i="20"/>
  <c r="BH248" i="18" l="1"/>
  <c r="BG246" i="18"/>
  <c r="BG247" i="18" s="1"/>
  <c r="BI248" i="18"/>
  <c r="AQ119" i="20"/>
  <c r="AQ120" i="20" s="1"/>
  <c r="BG155" i="18"/>
  <c r="BB30" i="7" s="1"/>
  <c r="BG80" i="18"/>
  <c r="BG36" i="18"/>
  <c r="BH155" i="18"/>
  <c r="BC30" i="7" s="1"/>
  <c r="BG99" i="18"/>
  <c r="BB22" i="7" s="1"/>
  <c r="BG86" i="18"/>
  <c r="AL126" i="20"/>
  <c r="AM111" i="20"/>
  <c r="AM114" i="20" s="1"/>
  <c r="BB15" i="7" l="1"/>
  <c r="BH249" i="18"/>
  <c r="BI101" i="18"/>
  <c r="BD19" i="7" s="1"/>
  <c r="BG83" i="18"/>
  <c r="BG77" i="18"/>
  <c r="BG89" i="18"/>
  <c r="BL90" i="18" s="1"/>
  <c r="BI143" i="18"/>
  <c r="BL79" i="18" l="1"/>
  <c r="BL81" i="18"/>
  <c r="BL78" i="18"/>
  <c r="BL80" i="18"/>
  <c r="BL82" i="18"/>
  <c r="BL91" i="18"/>
  <c r="BL93" i="18"/>
  <c r="BL85" i="18"/>
  <c r="BL87" i="18"/>
  <c r="BL84" i="18"/>
  <c r="BL86" i="18"/>
  <c r="BL88" i="18"/>
  <c r="BL92" i="18"/>
  <c r="BL94" i="18"/>
  <c r="BG90" i="18"/>
  <c r="BI146" i="18"/>
  <c r="BF96" i="18"/>
  <c r="BA18" i="7" s="1"/>
  <c r="BG95" i="18"/>
  <c r="BB17" i="7" s="1"/>
  <c r="BB25" i="7" s="1"/>
  <c r="BH96" i="18"/>
  <c r="BC18" i="7" s="1"/>
  <c r="BG78" i="18"/>
  <c r="BG84" i="18"/>
  <c r="BB96" i="7" l="1"/>
  <c r="BB41" i="7"/>
  <c r="BB35" i="7"/>
  <c r="BB39" i="7"/>
  <c r="BB45" i="7"/>
  <c r="BB47" i="7"/>
  <c r="BB74" i="7"/>
  <c r="BB75" i="7" s="1"/>
  <c r="BB76" i="7"/>
  <c r="BG160" i="18"/>
  <c r="BL97" i="18"/>
  <c r="BG20" i="7" s="1"/>
  <c r="BG159" i="18"/>
  <c r="BL99" i="18"/>
  <c r="BG22" i="7" s="1"/>
  <c r="BL248" i="18"/>
  <c r="BI147" i="18"/>
  <c r="BB79" i="18"/>
  <c r="BF100" i="18"/>
  <c r="BF98" i="18"/>
  <c r="BA21" i="7" s="1"/>
  <c r="AN128" i="20"/>
  <c r="BH100" i="18"/>
  <c r="BH98" i="18"/>
  <c r="BG128" i="18"/>
  <c r="BG143" i="18"/>
  <c r="BG96" i="18"/>
  <c r="BB18" i="7" s="1"/>
  <c r="BG150" i="18"/>
  <c r="BL245" i="18" s="1"/>
  <c r="BG135" i="18"/>
  <c r="BI144" i="18"/>
  <c r="BH151" i="18"/>
  <c r="BC26" i="7" s="1"/>
  <c r="BM213" i="18"/>
  <c r="BM224" i="18"/>
  <c r="BH152" i="18"/>
  <c r="BC27" i="7" s="1"/>
  <c r="BK213" i="18"/>
  <c r="BK224" i="18"/>
  <c r="AO15" i="20"/>
  <c r="AL99" i="20"/>
  <c r="BC23" i="7" l="1"/>
  <c r="AP114" i="20"/>
  <c r="AQ111" i="20" s="1"/>
  <c r="AQ114" i="20" s="1"/>
  <c r="BA23" i="7"/>
  <c r="BB49" i="7"/>
  <c r="BB50" i="7" s="1"/>
  <c r="BB48" i="7"/>
  <c r="BL98" i="18"/>
  <c r="BG21" i="7" s="1"/>
  <c r="BC21" i="7"/>
  <c r="BL249" i="18"/>
  <c r="AP123" i="20"/>
  <c r="AP128" i="20"/>
  <c r="BG181" i="18"/>
  <c r="BG178" i="18"/>
  <c r="AP61" i="20"/>
  <c r="AP62" i="20"/>
  <c r="AN123" i="20"/>
  <c r="AN61" i="20"/>
  <c r="AN62" i="20"/>
  <c r="BG173" i="18"/>
  <c r="BG170" i="18"/>
  <c r="BG137" i="18"/>
  <c r="BG138" i="18" s="1"/>
  <c r="BG136" i="18"/>
  <c r="BG145" i="18"/>
  <c r="BG144" i="18" s="1"/>
  <c r="BH148" i="18"/>
  <c r="AO50" i="20"/>
  <c r="AO12" i="20"/>
  <c r="AQ125" i="20"/>
  <c r="BF133" i="18"/>
  <c r="BG131" i="18"/>
  <c r="BH156" i="18"/>
  <c r="BC31" i="7" s="1"/>
  <c r="BH154" i="18"/>
  <c r="BC29" i="7" s="1"/>
  <c r="BL224" i="18"/>
  <c r="BG151" i="18"/>
  <c r="BB26" i="7" s="1"/>
  <c r="BL153" i="18"/>
  <c r="BG28" i="7" s="1"/>
  <c r="BL213" i="18"/>
  <c r="BG100" i="18"/>
  <c r="BB23" i="7" s="1"/>
  <c r="BF233" i="18"/>
  <c r="BF236" i="18" s="1"/>
  <c r="BF237" i="18" s="1"/>
  <c r="AO61" i="20" l="1"/>
  <c r="AO62" i="20" s="1"/>
  <c r="AP124" i="20"/>
  <c r="AN124" i="20"/>
  <c r="BH147" i="18"/>
  <c r="BG148" i="18"/>
  <c r="BG146" i="18"/>
  <c r="BG154" i="18"/>
  <c r="BB29" i="7" s="1"/>
  <c r="AP125" i="20"/>
  <c r="BG122" i="18"/>
  <c r="BG132" i="18"/>
  <c r="BG133" i="18"/>
  <c r="BG156" i="18"/>
  <c r="BB31" i="7" s="1"/>
  <c r="AP126" i="20" l="1"/>
  <c r="BG147" i="18"/>
  <c r="AN125" i="20"/>
  <c r="BG123" i="18"/>
  <c r="BG124" i="18"/>
  <c r="BG125" i="18" s="1"/>
  <c r="AT15" i="20"/>
  <c r="AN126" i="20" l="1"/>
  <c r="AO24" i="20"/>
  <c r="AO29" i="20" l="1"/>
  <c r="AO36" i="20" s="1"/>
  <c r="AQ126" i="20" l="1"/>
  <c r="AP70" i="20" l="1"/>
  <c r="AQ29" i="20"/>
  <c r="AQ36" i="20" s="1"/>
  <c r="AO45" i="20" l="1"/>
  <c r="AL138" i="20" l="1"/>
  <c r="AL137" i="20" l="1"/>
  <c r="AL57" i="20" l="1"/>
  <c r="AY93" i="7" l="1"/>
  <c r="AL69" i="20"/>
  <c r="AL89" i="20"/>
  <c r="AY97" i="7" l="1"/>
  <c r="AY94" i="7"/>
  <c r="BD94" i="7"/>
  <c r="AM71" i="20"/>
  <c r="AZ144" i="7" s="1"/>
  <c r="AZ145" i="7" s="1"/>
  <c r="AL71" i="20"/>
  <c r="AY144" i="7" s="1"/>
  <c r="AY145" i="7" s="1"/>
  <c r="AL91" i="20"/>
  <c r="AL70" i="20"/>
  <c r="AY99" i="7" l="1"/>
  <c r="AY98" i="7"/>
  <c r="BD98" i="7"/>
  <c r="AY100" i="7"/>
  <c r="AL92" i="20"/>
  <c r="AL72" i="20"/>
  <c r="AL97" i="20" l="1"/>
  <c r="AL98" i="20" s="1"/>
  <c r="AL100" i="20" l="1"/>
  <c r="AL39" i="20" l="1"/>
  <c r="AL40" i="20" l="1"/>
  <c r="BL48" i="18" l="1"/>
  <c r="BG52" i="18"/>
  <c r="BG163" i="18" l="1"/>
  <c r="BG164" i="18"/>
  <c r="BG48" i="18"/>
  <c r="BL39" i="18"/>
  <c r="BG54" i="18"/>
  <c r="BG55" i="18" s="1"/>
  <c r="BG53" i="18"/>
  <c r="BG63" i="18"/>
  <c r="BG66" i="18" s="1"/>
  <c r="BG64" i="18" l="1"/>
  <c r="BG62" i="18"/>
  <c r="BG50" i="18"/>
  <c r="BG49" i="18"/>
  <c r="BG39" i="18"/>
  <c r="BL40" i="18" s="1"/>
  <c r="BL49" i="18"/>
  <c r="BG65" i="18" l="1"/>
  <c r="BG41" i="18"/>
  <c r="BG42" i="18" s="1"/>
  <c r="BG40" i="18"/>
  <c r="AO53" i="20" l="1"/>
  <c r="AO129" i="20" l="1"/>
  <c r="AP99" i="20"/>
  <c r="AP100" i="20" s="1"/>
  <c r="AN99" i="20"/>
  <c r="AM99" i="20"/>
  <c r="AN100" i="20" l="1"/>
  <c r="AO100" i="20" s="1"/>
  <c r="AO99" i="20"/>
  <c r="AO57" i="20"/>
  <c r="BB93" i="7" l="1"/>
  <c r="AM91" i="20"/>
  <c r="AM70" i="20"/>
  <c r="AO69" i="20"/>
  <c r="BB97" i="7" l="1"/>
  <c r="BB94" i="7"/>
  <c r="AO70" i="20"/>
  <c r="AM72" i="20"/>
  <c r="BB99" i="7" l="1"/>
  <c r="BB98" i="7"/>
  <c r="BB100" i="7"/>
  <c r="AM97" i="20"/>
  <c r="AM98" i="20" s="1"/>
  <c r="AM92" i="20"/>
  <c r="AM100" i="20" l="1"/>
  <c r="AO14" i="20"/>
  <c r="AO21" i="20" l="1"/>
  <c r="AO38" i="20" l="1"/>
  <c r="AO39" i="20" l="1"/>
  <c r="AO104" i="20"/>
  <c r="AM40" i="20"/>
  <c r="AO106" i="20" l="1"/>
  <c r="AO108" i="20" s="1"/>
  <c r="AO107" i="20"/>
  <c r="AO40" i="20"/>
  <c r="BE98" i="18" l="1"/>
  <c r="BG98" i="18" l="1"/>
  <c r="BB21" i="7" s="1"/>
  <c r="AZ21" i="7"/>
  <c r="AO138" i="20" l="1"/>
  <c r="AQ89" i="20" l="1"/>
  <c r="AO89" i="20" l="1"/>
  <c r="AO91" i="20" l="1"/>
  <c r="AO92" i="20" s="1"/>
  <c r="AT90" i="20" l="1"/>
  <c r="AP90" i="20"/>
  <c r="AN57" i="20" l="1"/>
  <c r="BA93" i="7" l="1"/>
  <c r="AN69" i="20"/>
  <c r="AN89" i="20"/>
  <c r="AN91" i="20" s="1"/>
  <c r="AN92" i="20" s="1"/>
  <c r="BA94" i="7" l="1"/>
  <c r="BA97" i="7"/>
  <c r="AP71" i="20"/>
  <c r="AQ71" i="20"/>
  <c r="BD144" i="7" s="1"/>
  <c r="AO71" i="20"/>
  <c r="AO72" i="20" s="1"/>
  <c r="AN70" i="20"/>
  <c r="AN71" i="20"/>
  <c r="BA144" i="7" s="1"/>
  <c r="BA145" i="7" s="1"/>
  <c r="BA98" i="7" l="1"/>
  <c r="BA99" i="7"/>
  <c r="BA100" i="7"/>
  <c r="AP72" i="20"/>
  <c r="BC144" i="7"/>
  <c r="BC145" i="7" s="1"/>
  <c r="AN72" i="20"/>
  <c r="AP86" i="20" l="1"/>
  <c r="AP89" i="20" l="1"/>
  <c r="AP91" i="20" s="1"/>
  <c r="AP92" i="20" l="1"/>
  <c r="AQ90" i="20"/>
  <c r="AQ14" i="20"/>
  <c r="AQ97" i="20"/>
  <c r="AQ98" i="20" s="1"/>
  <c r="AQ91" i="20" l="1"/>
  <c r="AQ21" i="20"/>
  <c r="AR90" i="20" l="1"/>
  <c r="AQ92" i="20"/>
  <c r="AQ38" i="20"/>
  <c r="AQ39" i="20" l="1"/>
  <c r="AQ40" i="20" l="1"/>
  <c r="BI155" i="18" l="1"/>
  <c r="BD30" i="7" s="1"/>
  <c r="BI246" i="18"/>
  <c r="BI247" i="18" s="1"/>
  <c r="BK36" i="18" l="1"/>
  <c r="BF15" i="7" s="1"/>
  <c r="BL35" i="18"/>
  <c r="BG14" i="7" s="1"/>
  <c r="BL246" i="18" l="1"/>
  <c r="BL247" i="18" s="1"/>
  <c r="BI249" i="18" l="1"/>
  <c r="BO79" i="18" l="1"/>
  <c r="BJ128" i="18"/>
  <c r="BJ101" i="18"/>
  <c r="BE19" i="7" s="1"/>
  <c r="BO97" i="18" l="1"/>
  <c r="BO100" i="18" s="1"/>
  <c r="BO82" i="18"/>
  <c r="BO80" i="18"/>
  <c r="BQ88" i="18"/>
  <c r="BQ79" i="18"/>
  <c r="BQ82" i="18"/>
  <c r="BL155" i="18"/>
  <c r="BG30" i="7" s="1"/>
  <c r="BQ85" i="18"/>
  <c r="BO224" i="18"/>
  <c r="BO213" i="18"/>
  <c r="BJ100" i="18"/>
  <c r="AR61" i="20"/>
  <c r="BE23" i="7" l="1"/>
  <c r="BL100" i="18"/>
  <c r="BQ91" i="18"/>
  <c r="BP92" i="18"/>
  <c r="BP94" i="18"/>
  <c r="BP97" i="18"/>
  <c r="BP153" i="18" s="1"/>
  <c r="BJ20" i="7"/>
  <c r="BO98" i="18"/>
  <c r="BJ21" i="7" s="1"/>
  <c r="BO153" i="18"/>
  <c r="BG23" i="7"/>
  <c r="BK159" i="18"/>
  <c r="BK160" i="18"/>
  <c r="BK143" i="18"/>
  <c r="BL95" i="18"/>
  <c r="BQ248" i="18" s="1"/>
  <c r="BQ94" i="18" l="1"/>
  <c r="BK20" i="7"/>
  <c r="BJ28" i="7"/>
  <c r="BO154" i="18"/>
  <c r="BJ29" i="7" s="1"/>
  <c r="BO156" i="18"/>
  <c r="BJ31" i="7" s="1"/>
  <c r="BG17" i="7"/>
  <c r="BL96" i="18"/>
  <c r="BG18" i="7" s="1"/>
  <c r="BK164" i="18"/>
  <c r="BK163" i="18"/>
  <c r="BL122" i="18"/>
  <c r="BK28" i="7"/>
  <c r="BP213" i="18"/>
  <c r="BL143" i="18"/>
  <c r="BL128" i="18"/>
  <c r="BK145" i="18"/>
  <c r="BL135" i="18"/>
  <c r="BQ97" i="18"/>
  <c r="BL20" i="7" s="1"/>
  <c r="AS123" i="20" l="1"/>
  <c r="AS61" i="20"/>
  <c r="AS128" i="20"/>
  <c r="AT28" i="20"/>
  <c r="BL131" i="18"/>
  <c r="BL133" i="18" s="1"/>
  <c r="BK146" i="18"/>
  <c r="BK148" i="18"/>
  <c r="BK144" i="18"/>
  <c r="BL137" i="18"/>
  <c r="BL138" i="18" s="1"/>
  <c r="BL145" i="18"/>
  <c r="BL144" i="18" s="1"/>
  <c r="BL136" i="18"/>
  <c r="BL123" i="18"/>
  <c r="AT127" i="20" l="1"/>
  <c r="AS124" i="20"/>
  <c r="BK147" i="18"/>
  <c r="AT12" i="20"/>
  <c r="BL132" i="18"/>
  <c r="BL148" i="18"/>
  <c r="BL146" i="18"/>
  <c r="BL147" i="18" l="1"/>
  <c r="AS29" i="20"/>
  <c r="AT24" i="20"/>
  <c r="AT29" i="20" l="1"/>
  <c r="AQ137" i="20" l="1"/>
  <c r="AR129" i="20" l="1"/>
  <c r="AR69" i="20" l="1"/>
  <c r="AR89" i="20"/>
  <c r="AR91" i="20" s="1"/>
  <c r="AS90" i="20" s="1"/>
  <c r="AR70" i="20" l="1"/>
  <c r="AR71" i="20"/>
  <c r="BE144" i="7" s="1"/>
  <c r="AR92" i="20" l="1"/>
  <c r="AS97" i="20" l="1"/>
  <c r="AS14" i="20"/>
  <c r="AT10" i="20"/>
  <c r="AT97" i="20" s="1"/>
  <c r="AT14" i="20" l="1"/>
  <c r="AS21" i="20"/>
  <c r="AT21" i="20" l="1"/>
  <c r="AR40" i="20" l="1"/>
  <c r="BI28" i="18" l="1"/>
  <c r="BI31" i="18"/>
  <c r="BD9" i="7" s="1"/>
  <c r="BD25" i="7" s="1"/>
  <c r="BD141" i="7" l="1"/>
  <c r="BD96" i="7"/>
  <c r="BD47" i="7"/>
  <c r="BD35" i="7"/>
  <c r="BD41" i="7"/>
  <c r="BD39" i="7"/>
  <c r="BC135" i="7"/>
  <c r="BD45" i="7"/>
  <c r="AU62" i="20"/>
  <c r="BF141" i="7"/>
  <c r="BE141" i="7"/>
  <c r="BA135" i="7"/>
  <c r="AZ135" i="7"/>
  <c r="AY135" i="7"/>
  <c r="BH141" i="7"/>
  <c r="BN35" i="18"/>
  <c r="BN32" i="18"/>
  <c r="BI10" i="7" s="1"/>
  <c r="BI26" i="18"/>
  <c r="BI159" i="18"/>
  <c r="BI160" i="18"/>
  <c r="BI14" i="18"/>
  <c r="BL28" i="18"/>
  <c r="BI41" i="18"/>
  <c r="BI45" i="18"/>
  <c r="BL31" i="18"/>
  <c r="BJ37" i="18"/>
  <c r="BI32" i="18"/>
  <c r="BD10" i="7" s="1"/>
  <c r="BI52" i="18"/>
  <c r="BN53" i="18" s="1"/>
  <c r="BI60" i="18"/>
  <c r="BI61" i="18" s="1"/>
  <c r="BN33" i="18"/>
  <c r="BI12" i="7" s="1"/>
  <c r="BI37" i="18"/>
  <c r="BI150" i="18"/>
  <c r="BI47" i="18"/>
  <c r="BI50" i="18"/>
  <c r="BE11" i="7" l="1"/>
  <c r="BD11" i="7"/>
  <c r="BT37" i="18"/>
  <c r="BO11" i="7" s="1"/>
  <c r="BN9" i="7"/>
  <c r="BX32" i="18"/>
  <c r="BS10" i="7" s="1"/>
  <c r="BN246" i="18"/>
  <c r="BI14" i="7"/>
  <c r="BD68" i="7"/>
  <c r="BD48" i="7"/>
  <c r="BD49" i="7"/>
  <c r="BD56" i="7"/>
  <c r="BN155" i="18"/>
  <c r="BI30" i="7" s="1"/>
  <c r="BG9" i="7"/>
  <c r="BG25" i="7" s="1"/>
  <c r="BN153" i="18"/>
  <c r="BI28" i="7" s="1"/>
  <c r="BI42" i="18"/>
  <c r="BN42" i="18"/>
  <c r="BX33" i="18"/>
  <c r="BS12" i="7" s="1"/>
  <c r="BL14" i="18"/>
  <c r="BJ152" i="18"/>
  <c r="BE27" i="7" s="1"/>
  <c r="BI163" i="18"/>
  <c r="BI164" i="18"/>
  <c r="BL26" i="18"/>
  <c r="BL160" i="18"/>
  <c r="BL159" i="18"/>
  <c r="BL47" i="18"/>
  <c r="BL130" i="18"/>
  <c r="BI181" i="18"/>
  <c r="BI178" i="18"/>
  <c r="BL124" i="18"/>
  <c r="BL125" i="18" s="1"/>
  <c r="BL32" i="18"/>
  <c r="BG10" i="7" s="1"/>
  <c r="BL50" i="18"/>
  <c r="BL150" i="18"/>
  <c r="BL41" i="18"/>
  <c r="BL42" i="18" s="1"/>
  <c r="BL45" i="18"/>
  <c r="BI12" i="18"/>
  <c r="BI13" i="18" s="1"/>
  <c r="BL60" i="18"/>
  <c r="BN10" i="7"/>
  <c r="AS62" i="20"/>
  <c r="BN37" i="18"/>
  <c r="BI11" i="7" s="1"/>
  <c r="BO37" i="18"/>
  <c r="BJ11" i="7" s="1"/>
  <c r="BN12" i="7"/>
  <c r="BI36" i="18"/>
  <c r="BD15" i="7" s="1"/>
  <c r="BI34" i="18"/>
  <c r="BD13" i="7" s="1"/>
  <c r="BI54" i="18"/>
  <c r="BI53" i="18"/>
  <c r="BI63" i="18"/>
  <c r="BI62" i="18" s="1"/>
  <c r="BL52" i="18"/>
  <c r="BQ33" i="18"/>
  <c r="BL12" i="7" s="1"/>
  <c r="BI170" i="18"/>
  <c r="BI151" i="18"/>
  <c r="BD26" i="7" s="1"/>
  <c r="BI173" i="18"/>
  <c r="BN213" i="18"/>
  <c r="BI152" i="18"/>
  <c r="BD27" i="7" s="1"/>
  <c r="BN224" i="18"/>
  <c r="BQ224" i="18" l="1"/>
  <c r="BX61" i="18"/>
  <c r="BD62" i="7"/>
  <c r="BD59" i="7"/>
  <c r="BG56" i="7"/>
  <c r="BD51" i="7"/>
  <c r="BD50" i="7"/>
  <c r="BE51" i="7"/>
  <c r="BD72" i="7"/>
  <c r="BG68" i="7"/>
  <c r="BG96" i="7"/>
  <c r="BG39" i="7"/>
  <c r="BG35" i="7"/>
  <c r="BG41" i="7"/>
  <c r="BG45" i="7"/>
  <c r="BG47" i="7"/>
  <c r="BJ56" i="18"/>
  <c r="BN55" i="18"/>
  <c r="BX34" i="18"/>
  <c r="BS13" i="7" s="1"/>
  <c r="BN61" i="18"/>
  <c r="BN13" i="18"/>
  <c r="BL61" i="18"/>
  <c r="BL12" i="18"/>
  <c r="BL13" i="18" s="1"/>
  <c r="BL173" i="18"/>
  <c r="BL170" i="18"/>
  <c r="BL181" i="18"/>
  <c r="BT245" i="18" s="1"/>
  <c r="BL178" i="18"/>
  <c r="BQ153" i="18"/>
  <c r="BL28" i="7" s="1"/>
  <c r="BL163" i="18"/>
  <c r="BL164" i="18"/>
  <c r="AT128" i="20"/>
  <c r="AT61" i="20"/>
  <c r="AT62" i="20" s="1"/>
  <c r="BQ213" i="18"/>
  <c r="BL151" i="18"/>
  <c r="BG26" i="7" s="1"/>
  <c r="BL53" i="18"/>
  <c r="BL63" i="18"/>
  <c r="BL62" i="18" s="1"/>
  <c r="BL54" i="18"/>
  <c r="BL55" i="18" s="1"/>
  <c r="AR62" i="20"/>
  <c r="AQ123" i="20"/>
  <c r="AQ128" i="20"/>
  <c r="AQ62" i="20"/>
  <c r="AQ61" i="20"/>
  <c r="BI66" i="18"/>
  <c r="BI64" i="18"/>
  <c r="BN65" i="18" s="1"/>
  <c r="BI156" i="18"/>
  <c r="BD31" i="7" s="1"/>
  <c r="BI154" i="18"/>
  <c r="BD29" i="7" s="1"/>
  <c r="BI55" i="18"/>
  <c r="BI56" i="18"/>
  <c r="BS34" i="18"/>
  <c r="BN13" i="7" s="1"/>
  <c r="BL34" i="18"/>
  <c r="BG13" i="7" s="1"/>
  <c r="BN34" i="18"/>
  <c r="BI13" i="7" s="1"/>
  <c r="BL36" i="18"/>
  <c r="BG15" i="7" s="1"/>
  <c r="BT249" i="18" l="1"/>
  <c r="BS245" i="18"/>
  <c r="BS247" i="18" s="1"/>
  <c r="CE245" i="18"/>
  <c r="CD245" i="18"/>
  <c r="CC245" i="18"/>
  <c r="CB245" i="18"/>
  <c r="BP245" i="18"/>
  <c r="BP247" i="18" s="1"/>
  <c r="BR245" i="18"/>
  <c r="BR247" i="18" s="1"/>
  <c r="BG59" i="7"/>
  <c r="BO245" i="18"/>
  <c r="BO247" i="18" s="1"/>
  <c r="BC138" i="7"/>
  <c r="BD73" i="7"/>
  <c r="BD77" i="7"/>
  <c r="BD74" i="7"/>
  <c r="BD75" i="7" s="1"/>
  <c r="BD100" i="7"/>
  <c r="BD76" i="7"/>
  <c r="BD142" i="7"/>
  <c r="BF142" i="7"/>
  <c r="BG72" i="7"/>
  <c r="BE142" i="7"/>
  <c r="BA138" i="7"/>
  <c r="AZ138" i="7"/>
  <c r="AY138" i="7"/>
  <c r="BH142" i="7"/>
  <c r="BG49" i="7"/>
  <c r="BG50" i="7" s="1"/>
  <c r="BG48" i="7"/>
  <c r="BD80" i="7"/>
  <c r="BD63" i="7"/>
  <c r="BG62" i="7"/>
  <c r="BN245" i="18"/>
  <c r="BX245" i="18"/>
  <c r="BW245" i="18"/>
  <c r="BY245" i="18"/>
  <c r="BZ245" i="18"/>
  <c r="BU245" i="18"/>
  <c r="BM245" i="18"/>
  <c r="AQ124" i="20"/>
  <c r="BL154" i="18"/>
  <c r="BG29" i="7" s="1"/>
  <c r="BL156" i="18"/>
  <c r="BG31" i="7" s="1"/>
  <c r="BN56" i="18"/>
  <c r="BI65" i="18"/>
  <c r="BL64" i="18"/>
  <c r="BL66" i="18"/>
  <c r="CB248" i="18" l="1"/>
  <c r="CB35" i="18"/>
  <c r="BW14" i="7" s="1"/>
  <c r="CB246" i="18"/>
  <c r="CC248" i="18"/>
  <c r="CC35" i="18"/>
  <c r="CC36" i="18" s="1"/>
  <c r="CC246" i="18"/>
  <c r="CD248" i="18"/>
  <c r="CD35" i="18"/>
  <c r="CD36" i="18" s="1"/>
  <c r="CD246" i="18"/>
  <c r="CE248" i="18"/>
  <c r="CE35" i="18"/>
  <c r="BZ14" i="7" s="1"/>
  <c r="CE246" i="18"/>
  <c r="BP249" i="18"/>
  <c r="AT103" i="20"/>
  <c r="BU248" i="18"/>
  <c r="BO249" i="18"/>
  <c r="BD64" i="7"/>
  <c r="BG63" i="7"/>
  <c r="BQ245" i="18"/>
  <c r="BX54" i="18"/>
  <c r="CC54" i="18" s="1"/>
  <c r="BD85" i="7"/>
  <c r="BG80" i="7"/>
  <c r="BH143" i="7"/>
  <c r="BF143" i="7"/>
  <c r="BE143" i="7"/>
  <c r="BE145" i="7"/>
  <c r="BD143" i="7"/>
  <c r="BD145" i="7"/>
  <c r="BG76" i="7"/>
  <c r="BG73" i="7"/>
  <c r="BG74" i="7"/>
  <c r="BG75" i="7" s="1"/>
  <c r="BN249" i="18"/>
  <c r="BN247" i="18"/>
  <c r="BZ248" i="18"/>
  <c r="BZ246" i="18"/>
  <c r="BZ35" i="18"/>
  <c r="BU14" i="7" s="1"/>
  <c r="BY248" i="18"/>
  <c r="BY246" i="18"/>
  <c r="BY35" i="18"/>
  <c r="BT14" i="7" s="1"/>
  <c r="BW248" i="18"/>
  <c r="BW246" i="18"/>
  <c r="BW35" i="18"/>
  <c r="BR14" i="7" s="1"/>
  <c r="BX248" i="18"/>
  <c r="BX246" i="18"/>
  <c r="BX35" i="18"/>
  <c r="BS14" i="7" s="1"/>
  <c r="BK14" i="7"/>
  <c r="BN14" i="7"/>
  <c r="BM14" i="7"/>
  <c r="BU246" i="18"/>
  <c r="BU35" i="18" s="1"/>
  <c r="BP14" i="7" s="1"/>
  <c r="BL65" i="18"/>
  <c r="CC87" i="18" l="1"/>
  <c r="CC86" i="18" s="1"/>
  <c r="CC81" i="18"/>
  <c r="CC80" i="18" s="1"/>
  <c r="CC93" i="18"/>
  <c r="CC92" i="18" s="1"/>
  <c r="CE87" i="18"/>
  <c r="CE86" i="18" s="1"/>
  <c r="CE93" i="18"/>
  <c r="CE92" i="18" s="1"/>
  <c r="CE81" i="18"/>
  <c r="CE80" i="18" s="1"/>
  <c r="CB93" i="18"/>
  <c r="CB92" i="18" s="1"/>
  <c r="CB87" i="18"/>
  <c r="CB86" i="18" s="1"/>
  <c r="CB81" i="18"/>
  <c r="CB80" i="18" s="1"/>
  <c r="BY14" i="7"/>
  <c r="BY15" i="7"/>
  <c r="BX14" i="7"/>
  <c r="BX15" i="7"/>
  <c r="CD93" i="18"/>
  <c r="CD92" i="18" s="1"/>
  <c r="CD87" i="18"/>
  <c r="CD86" i="18" s="1"/>
  <c r="CD81" i="18"/>
  <c r="CD80" i="18" s="1"/>
  <c r="CC52" i="18"/>
  <c r="BU93" i="18"/>
  <c r="BU92" i="18" s="1"/>
  <c r="BU90" i="18" s="1"/>
  <c r="BU89" i="18" s="1"/>
  <c r="BU81" i="18"/>
  <c r="BU80" i="18" s="1"/>
  <c r="BU78" i="18" s="1"/>
  <c r="BU77" i="18" s="1"/>
  <c r="BU87" i="18"/>
  <c r="BU86" i="18" s="1"/>
  <c r="BU84" i="18" s="1"/>
  <c r="BU83" i="18" s="1"/>
  <c r="BG64" i="7"/>
  <c r="BQ249" i="18"/>
  <c r="BX52" i="18"/>
  <c r="BD86" i="7"/>
  <c r="BD88" i="7"/>
  <c r="BD146" i="7"/>
  <c r="BF146" i="7"/>
  <c r="BG146" i="7" s="1"/>
  <c r="BG85" i="7"/>
  <c r="BE146" i="7"/>
  <c r="BH146" i="7"/>
  <c r="BD90" i="7"/>
  <c r="BX36" i="18"/>
  <c r="BS15" i="7" s="1"/>
  <c r="BY87" i="18"/>
  <c r="BY86" i="18" s="1"/>
  <c r="BY81" i="18"/>
  <c r="BY80" i="18" s="1"/>
  <c r="BY93" i="18"/>
  <c r="BY92" i="18" s="1"/>
  <c r="BX87" i="18"/>
  <c r="BX86" i="18" s="1"/>
  <c r="BX81" i="18"/>
  <c r="BX80" i="18" s="1"/>
  <c r="BX93" i="18"/>
  <c r="BX92" i="18" s="1"/>
  <c r="BZ81" i="18"/>
  <c r="BZ80" i="18" s="1"/>
  <c r="BZ93" i="18"/>
  <c r="BZ92" i="18" s="1"/>
  <c r="BZ87" i="18"/>
  <c r="BZ86" i="18" s="1"/>
  <c r="BW93" i="18"/>
  <c r="BW92" i="18" s="1"/>
  <c r="BW87" i="18"/>
  <c r="BW86" i="18" s="1"/>
  <c r="BW81" i="18"/>
  <c r="BW80" i="18" s="1"/>
  <c r="BY36" i="18"/>
  <c r="BT15" i="7" s="1"/>
  <c r="BS36" i="18"/>
  <c r="BN15" i="7" s="1"/>
  <c r="BQ35" i="18"/>
  <c r="BN36" i="18"/>
  <c r="BI15" i="7" s="1"/>
  <c r="BO36" i="18"/>
  <c r="BN66" i="18"/>
  <c r="AQ70" i="20"/>
  <c r="CC39" i="18" l="1"/>
  <c r="CC63" i="18"/>
  <c r="CC53" i="18"/>
  <c r="BU95" i="18"/>
  <c r="BL14" i="7"/>
  <c r="BQ246" i="18"/>
  <c r="BQ247" i="18" s="1"/>
  <c r="BX53" i="18"/>
  <c r="BX39" i="18"/>
  <c r="BX63" i="18"/>
  <c r="AY137" i="7"/>
  <c r="AZ137" i="7"/>
  <c r="BG86" i="7"/>
  <c r="BG88" i="7"/>
  <c r="BC136" i="7"/>
  <c r="BA136" i="7"/>
  <c r="BD89" i="7"/>
  <c r="AZ136" i="7"/>
  <c r="AY136" i="7"/>
  <c r="BJ15" i="7"/>
  <c r="BY85" i="18"/>
  <c r="BY84" i="18" s="1"/>
  <c r="BY83" i="18" s="1"/>
  <c r="CD85" i="18" s="1"/>
  <c r="CD84" i="18" s="1"/>
  <c r="CD83" i="18" s="1"/>
  <c r="BZ91" i="18"/>
  <c r="BZ90" i="18" s="1"/>
  <c r="BZ89" i="18" s="1"/>
  <c r="CE91" i="18" s="1"/>
  <c r="CE90" i="18" s="1"/>
  <c r="CE89" i="18" s="1"/>
  <c r="BK22" i="7"/>
  <c r="AR99" i="20"/>
  <c r="AR100" i="20" s="1"/>
  <c r="AQ72" i="20"/>
  <c r="AQ99" i="20"/>
  <c r="AQ100" i="20" s="1"/>
  <c r="AR72" i="20"/>
  <c r="BS66" i="18"/>
  <c r="BV95" i="18" l="1"/>
  <c r="CC62" i="18"/>
  <c r="CC64" i="18"/>
  <c r="CC41" i="18"/>
  <c r="CC48" i="18"/>
  <c r="CC50" i="18" s="1"/>
  <c r="BX66" i="18"/>
  <c r="CC66" i="18"/>
  <c r="BX40" i="18"/>
  <c r="CC40" i="18"/>
  <c r="BR124" i="18"/>
  <c r="BR125" i="18" s="1"/>
  <c r="BR143" i="18"/>
  <c r="BR128" i="18"/>
  <c r="BW128" i="18" s="1"/>
  <c r="CB128" i="18" s="1"/>
  <c r="BR135" i="18"/>
  <c r="BR130" i="18"/>
  <c r="BR133" i="18"/>
  <c r="BX48" i="18"/>
  <c r="BX64" i="18"/>
  <c r="BX41" i="18"/>
  <c r="BX62" i="18"/>
  <c r="BG89" i="7"/>
  <c r="BZ85" i="18"/>
  <c r="BY91" i="18"/>
  <c r="BS65" i="18"/>
  <c r="BK30" i="7"/>
  <c r="BM155" i="18"/>
  <c r="BH30" i="7" s="1"/>
  <c r="BZ79" i="18"/>
  <c r="BZ78" i="18" s="1"/>
  <c r="BZ77" i="18" s="1"/>
  <c r="BP95" i="18"/>
  <c r="BU96" i="18" s="1"/>
  <c r="CE79" i="18" l="1"/>
  <c r="BX42" i="18"/>
  <c r="CC42" i="18"/>
  <c r="BX65" i="18"/>
  <c r="CC65" i="18"/>
  <c r="BX49" i="18"/>
  <c r="CC49" i="18"/>
  <c r="BR136" i="18"/>
  <c r="BR137" i="18"/>
  <c r="BR145" i="18"/>
  <c r="BX50" i="18"/>
  <c r="BP135" i="18"/>
  <c r="BP143" i="18"/>
  <c r="BP101" i="18"/>
  <c r="BK19" i="7" s="1"/>
  <c r="BP128" i="18"/>
  <c r="BU128" i="18" s="1"/>
  <c r="BZ128" i="18" s="1"/>
  <c r="CE128" i="18" s="1"/>
  <c r="BP130" i="18"/>
  <c r="BP133" i="18"/>
  <c r="BU99" i="18"/>
  <c r="BP22" i="7" s="1"/>
  <c r="BK17" i="7"/>
  <c r="BO22" i="7"/>
  <c r="BZ84" i="18"/>
  <c r="BZ83" i="18" s="1"/>
  <c r="CE85" i="18" s="1"/>
  <c r="CE84" i="18" s="1"/>
  <c r="CE83" i="18" s="1"/>
  <c r="BY90" i="18"/>
  <c r="BY89" i="18" s="1"/>
  <c r="CD91" i="18" s="1"/>
  <c r="CD90" i="18" s="1"/>
  <c r="CD89" i="18" s="1"/>
  <c r="BO130" i="18"/>
  <c r="BY79" i="18"/>
  <c r="BY78" i="18" s="1"/>
  <c r="BY77" i="18" s="1"/>
  <c r="BP96" i="18"/>
  <c r="BP100" i="18" s="1"/>
  <c r="BU97" i="18"/>
  <c r="BY95" i="18" l="1"/>
  <c r="BZ95" i="18"/>
  <c r="BZ143" i="18" s="1"/>
  <c r="CD79" i="18"/>
  <c r="CE78" i="18"/>
  <c r="CE77" i="18" s="1"/>
  <c r="CE95" i="18" s="1"/>
  <c r="BR146" i="18"/>
  <c r="BR147" i="18" s="1"/>
  <c r="BR148" i="18"/>
  <c r="BR138" i="18"/>
  <c r="BW137" i="18"/>
  <c r="CB137" i="18" s="1"/>
  <c r="BR144" i="18"/>
  <c r="BP20" i="7"/>
  <c r="BO20" i="7"/>
  <c r="BO28" i="7"/>
  <c r="BK18" i="7"/>
  <c r="BP98" i="18"/>
  <c r="BK21" i="7" s="1"/>
  <c r="BK23" i="7"/>
  <c r="BP136" i="18"/>
  <c r="BP137" i="18"/>
  <c r="BR139" i="18" s="1"/>
  <c r="BP145" i="18"/>
  <c r="BK69" i="7"/>
  <c r="BU126" i="18"/>
  <c r="BP37" i="7" s="1"/>
  <c r="BP17" i="7"/>
  <c r="BL37" i="7"/>
  <c r="BU130" i="18"/>
  <c r="BZ99" i="18"/>
  <c r="BU22" i="7" s="1"/>
  <c r="BU143" i="18"/>
  <c r="BZ97" i="18"/>
  <c r="BU20" i="7" s="1"/>
  <c r="BT213" i="18"/>
  <c r="BT224" i="18"/>
  <c r="BM160" i="18"/>
  <c r="BM150" i="18"/>
  <c r="BM101" i="18"/>
  <c r="BH19" i="7" s="1"/>
  <c r="BM159" i="18"/>
  <c r="BO131" i="18"/>
  <c r="BR97" i="18"/>
  <c r="BM20" i="7" s="1"/>
  <c r="BW79" i="18"/>
  <c r="BW78" i="18" s="1"/>
  <c r="BW77" i="18" s="1"/>
  <c r="BP123" i="18"/>
  <c r="BP124" i="18"/>
  <c r="BP125" i="18" s="1"/>
  <c r="BW85" i="18"/>
  <c r="BW84" i="18" s="1"/>
  <c r="BW83" i="18" s="1"/>
  <c r="BR99" i="18"/>
  <c r="CE97" i="18" l="1"/>
  <c r="BZ20" i="7" s="1"/>
  <c r="CE99" i="18"/>
  <c r="BZ22" i="7" s="1"/>
  <c r="CB79" i="18"/>
  <c r="CB85" i="18"/>
  <c r="BZ17" i="7"/>
  <c r="CE126" i="18"/>
  <c r="CE130" i="18"/>
  <c r="CE143" i="18"/>
  <c r="CE96" i="18"/>
  <c r="CD99" i="18"/>
  <c r="BY22" i="7" s="1"/>
  <c r="CD97" i="18"/>
  <c r="BY20" i="7" s="1"/>
  <c r="CD78" i="18"/>
  <c r="CD77" i="18" s="1"/>
  <c r="CD95" i="18" s="1"/>
  <c r="BT17" i="7"/>
  <c r="BT25" i="7" s="1"/>
  <c r="BY126" i="18"/>
  <c r="BT37" i="7" s="1"/>
  <c r="BU17" i="7"/>
  <c r="BZ126" i="18"/>
  <c r="BU37" i="7" s="1"/>
  <c r="BZ96" i="18"/>
  <c r="BU18" i="7" s="1"/>
  <c r="BZ130" i="18"/>
  <c r="BM22" i="7"/>
  <c r="BR248" i="18"/>
  <c r="BR249" i="18" s="1"/>
  <c r="BP148" i="18"/>
  <c r="BP146" i="18"/>
  <c r="BP147" i="18" s="1"/>
  <c r="BP138" i="18"/>
  <c r="BP139" i="18"/>
  <c r="BU137" i="18"/>
  <c r="BP144" i="18"/>
  <c r="BU127" i="18"/>
  <c r="BU100" i="18"/>
  <c r="BP23" i="7" s="1"/>
  <c r="BP18" i="7"/>
  <c r="BP69" i="7"/>
  <c r="BP38" i="7"/>
  <c r="BU98" i="18"/>
  <c r="BP21" i="7" s="1"/>
  <c r="BJ23" i="7"/>
  <c r="AW61" i="20"/>
  <c r="BL69" i="7"/>
  <c r="BL38" i="7"/>
  <c r="BT160" i="18"/>
  <c r="BO17" i="7"/>
  <c r="BJ96" i="7"/>
  <c r="BY213" i="18"/>
  <c r="BZ101" i="18"/>
  <c r="BU19" i="7" s="1"/>
  <c r="BY143" i="18"/>
  <c r="BW91" i="18"/>
  <c r="BY150" i="18"/>
  <c r="BY160" i="18"/>
  <c r="BY96" i="18"/>
  <c r="BT18" i="7" s="1"/>
  <c r="BY130" i="18"/>
  <c r="BY135" i="18"/>
  <c r="BY145" i="18" s="1"/>
  <c r="BY159" i="18"/>
  <c r="BO37" i="7"/>
  <c r="BB44" i="20" s="1"/>
  <c r="BB113" i="20" s="1"/>
  <c r="BT159" i="18"/>
  <c r="BY99" i="18"/>
  <c r="BT22" i="7" s="1"/>
  <c r="BY97" i="18"/>
  <c r="BT20" i="7" s="1"/>
  <c r="BU101" i="18"/>
  <c r="BP19" i="7" s="1"/>
  <c r="BM181" i="18"/>
  <c r="BM173" i="18"/>
  <c r="BM170" i="18"/>
  <c r="BM178" i="18"/>
  <c r="BM152" i="18"/>
  <c r="BH27" i="7" s="1"/>
  <c r="BM151" i="18"/>
  <c r="BH26" i="7" s="1"/>
  <c r="AS125" i="20"/>
  <c r="BR155" i="18"/>
  <c r="BM30" i="7" s="1"/>
  <c r="BO133" i="18"/>
  <c r="BO132" i="18"/>
  <c r="BR153" i="18"/>
  <c r="BM28" i="7" s="1"/>
  <c r="BR213" i="18"/>
  <c r="BR224" i="18"/>
  <c r="AU125" i="20"/>
  <c r="BC44" i="20"/>
  <c r="BM163" i="18"/>
  <c r="BM164" i="18"/>
  <c r="BO69" i="7" l="1"/>
  <c r="BO25" i="7"/>
  <c r="BB61" i="20" s="1"/>
  <c r="BG61" i="20"/>
  <c r="BZ100" i="18"/>
  <c r="BU23" i="7" s="1"/>
  <c r="BT96" i="7"/>
  <c r="BU69" i="7"/>
  <c r="BZ127" i="18"/>
  <c r="CD155" i="18"/>
  <c r="BY30" i="7" s="1"/>
  <c r="BZ18" i="7"/>
  <c r="CE98" i="18"/>
  <c r="BZ21" i="7" s="1"/>
  <c r="CE100" i="18"/>
  <c r="BZ23" i="7" s="1"/>
  <c r="CD153" i="18"/>
  <c r="BY28" i="7" s="1"/>
  <c r="BZ37" i="7"/>
  <c r="CE127" i="18"/>
  <c r="CB84" i="18"/>
  <c r="CB83" i="18" s="1"/>
  <c r="BY17" i="7"/>
  <c r="BY25" i="7" s="1"/>
  <c r="CD150" i="18"/>
  <c r="CD159" i="18"/>
  <c r="CD160" i="18"/>
  <c r="CD130" i="18"/>
  <c r="CD126" i="18"/>
  <c r="CD96" i="18"/>
  <c r="CD135" i="18"/>
  <c r="CD122" i="18" s="1"/>
  <c r="CD143" i="18"/>
  <c r="CD213" i="18"/>
  <c r="CD224" i="18"/>
  <c r="BZ98" i="18"/>
  <c r="BU21" i="7" s="1"/>
  <c r="BT41" i="7"/>
  <c r="CE101" i="18"/>
  <c r="BZ19" i="7" s="1"/>
  <c r="CB78" i="18"/>
  <c r="CB77" i="18" s="1"/>
  <c r="BU38" i="7"/>
  <c r="AX126" i="20"/>
  <c r="BZ137" i="18"/>
  <c r="BU139" i="18"/>
  <c r="BW139" i="18"/>
  <c r="BU135" i="18"/>
  <c r="BW99" i="18"/>
  <c r="BR22" i="7" s="1"/>
  <c r="BM17" i="7"/>
  <c r="BT39" i="7"/>
  <c r="BT38" i="7"/>
  <c r="BT69" i="7"/>
  <c r="BO38" i="7"/>
  <c r="BO21" i="7"/>
  <c r="BO18" i="7"/>
  <c r="BO23" i="7"/>
  <c r="BY151" i="18"/>
  <c r="BT26" i="7" s="1"/>
  <c r="BY224" i="18"/>
  <c r="BY146" i="18"/>
  <c r="BW97" i="18"/>
  <c r="BR20" i="7" s="1"/>
  <c r="BW90" i="18"/>
  <c r="BW89" i="18" s="1"/>
  <c r="BW95" i="18" s="1"/>
  <c r="BY127" i="18"/>
  <c r="BY136" i="18"/>
  <c r="BY122" i="18"/>
  <c r="BH44" i="20"/>
  <c r="BY144" i="18"/>
  <c r="BY155" i="18"/>
  <c r="BT30" i="7" s="1"/>
  <c r="BG44" i="20"/>
  <c r="BY153" i="18"/>
  <c r="BT28" i="7" s="1"/>
  <c r="BY100" i="18"/>
  <c r="BT23" i="7" s="1"/>
  <c r="BY98" i="18"/>
  <c r="BT21" i="7" s="1"/>
  <c r="AU61" i="20"/>
  <c r="AU128" i="20"/>
  <c r="AU123" i="20"/>
  <c r="AU126" i="20"/>
  <c r="AS126" i="20"/>
  <c r="BC113" i="20"/>
  <c r="AX113" i="20"/>
  <c r="BM154" i="18"/>
  <c r="BH29" i="7" s="1"/>
  <c r="BM156" i="18"/>
  <c r="BH31" i="7" s="1"/>
  <c r="AW113" i="20"/>
  <c r="BM37" i="7"/>
  <c r="BR96" i="18"/>
  <c r="BM18" i="7" s="1"/>
  <c r="BR101" i="18"/>
  <c r="BM19" i="7" s="1"/>
  <c r="BO39" i="7" l="1"/>
  <c r="BO41" i="7"/>
  <c r="BO96" i="7"/>
  <c r="CE137" i="18"/>
  <c r="CB139" i="18"/>
  <c r="CD123" i="18"/>
  <c r="CD124" i="18"/>
  <c r="CD131" i="18"/>
  <c r="CB91" i="18"/>
  <c r="CD151" i="18"/>
  <c r="CD145" i="18"/>
  <c r="CD144" i="18" s="1"/>
  <c r="CD136" i="18"/>
  <c r="BY96" i="7"/>
  <c r="BY41" i="7"/>
  <c r="BL61" i="20"/>
  <c r="BZ69" i="7"/>
  <c r="BM44" i="20"/>
  <c r="BZ38" i="7"/>
  <c r="BY18" i="7"/>
  <c r="CD98" i="18"/>
  <c r="BY21" i="7" s="1"/>
  <c r="CD100" i="18"/>
  <c r="BY23" i="7" s="1"/>
  <c r="BY37" i="7"/>
  <c r="CD127" i="18"/>
  <c r="BW96" i="18"/>
  <c r="BR18" i="7" s="1"/>
  <c r="BG113" i="20"/>
  <c r="BH113" i="20"/>
  <c r="BU122" i="18"/>
  <c r="BU136" i="18"/>
  <c r="BU145" i="18"/>
  <c r="BZ139" i="18"/>
  <c r="BZ135" i="18"/>
  <c r="BM69" i="7"/>
  <c r="BM38" i="7"/>
  <c r="BY124" i="18"/>
  <c r="BY125" i="18" s="1"/>
  <c r="BO29" i="7"/>
  <c r="BO26" i="7"/>
  <c r="BY148" i="18"/>
  <c r="BY123" i="18"/>
  <c r="BY131" i="18"/>
  <c r="BY132" i="18" s="1"/>
  <c r="BY154" i="18"/>
  <c r="BT29" i="7" s="1"/>
  <c r="BY156" i="18"/>
  <c r="BT31" i="7" s="1"/>
  <c r="AU124" i="20"/>
  <c r="BM125" i="20"/>
  <c r="BR100" i="18"/>
  <c r="BM23" i="7" s="1"/>
  <c r="BR98" i="18"/>
  <c r="BM21" i="7" s="1"/>
  <c r="AU113" i="20"/>
  <c r="CE139" i="18" l="1"/>
  <c r="CE135" i="18"/>
  <c r="BM113" i="20"/>
  <c r="BW135" i="18"/>
  <c r="BW122" i="18" s="1"/>
  <c r="BW130" i="18"/>
  <c r="BY26" i="7"/>
  <c r="CD156" i="18"/>
  <c r="BY31" i="7" s="1"/>
  <c r="CD154" i="18"/>
  <c r="BY29" i="7" s="1"/>
  <c r="BY38" i="7"/>
  <c r="BL44" i="20"/>
  <c r="BY69" i="7"/>
  <c r="BY39" i="7"/>
  <c r="CB99" i="18"/>
  <c r="CB90" i="18"/>
  <c r="CB89" i="18" s="1"/>
  <c r="CB95" i="18" s="1"/>
  <c r="CB97" i="18"/>
  <c r="CD133" i="18"/>
  <c r="CD132" i="18"/>
  <c r="CD148" i="18"/>
  <c r="CD146" i="18"/>
  <c r="CD147" i="18" s="1"/>
  <c r="CD125" i="18"/>
  <c r="BW126" i="18"/>
  <c r="BR37" i="7" s="1"/>
  <c r="BW101" i="18"/>
  <c r="BR19" i="7" s="1"/>
  <c r="BW143" i="18"/>
  <c r="BR17" i="7"/>
  <c r="BU123" i="18"/>
  <c r="BU131" i="18"/>
  <c r="BU124" i="18"/>
  <c r="BU125" i="18" s="1"/>
  <c r="BZ122" i="18"/>
  <c r="BZ136" i="18"/>
  <c r="BZ145" i="18"/>
  <c r="BU146" i="18"/>
  <c r="BU147" i="18" s="1"/>
  <c r="BU144" i="18"/>
  <c r="BU148" i="18"/>
  <c r="BY147" i="18"/>
  <c r="BY133" i="18"/>
  <c r="BW98" i="18"/>
  <c r="BR21" i="7" s="1"/>
  <c r="BW100" i="18"/>
  <c r="BR23" i="7" l="1"/>
  <c r="BW145" i="18"/>
  <c r="BW146" i="18" s="1"/>
  <c r="BW147" i="18" s="1"/>
  <c r="CE122" i="18"/>
  <c r="CE123" i="18" s="1"/>
  <c r="CE145" i="18"/>
  <c r="CE136" i="18"/>
  <c r="BW136" i="18"/>
  <c r="BL113" i="20"/>
  <c r="BR38" i="7"/>
  <c r="BW20" i="7"/>
  <c r="BW127" i="18"/>
  <c r="BR69" i="7"/>
  <c r="BW22" i="7"/>
  <c r="BZ124" i="18"/>
  <c r="BZ131" i="18"/>
  <c r="BZ123" i="18"/>
  <c r="BZ146" i="18"/>
  <c r="BZ144" i="18"/>
  <c r="BZ148" i="18"/>
  <c r="BU132" i="18"/>
  <c r="BU133" i="18"/>
  <c r="BJ85" i="7"/>
  <c r="BE44" i="20"/>
  <c r="BW123" i="18"/>
  <c r="BW124" i="18"/>
  <c r="BW125" i="18" s="1"/>
  <c r="BW131" i="18"/>
  <c r="BW148" i="18" l="1"/>
  <c r="BW144" i="18"/>
  <c r="CE131" i="18"/>
  <c r="CE133" i="18" s="1"/>
  <c r="CE124" i="18"/>
  <c r="CE125" i="18" s="1"/>
  <c r="CE144" i="18"/>
  <c r="CE146" i="18"/>
  <c r="CE147" i="18" s="1"/>
  <c r="CE148" i="18"/>
  <c r="BW17" i="7"/>
  <c r="CB130" i="18"/>
  <c r="CB101" i="18"/>
  <c r="BW19" i="7" s="1"/>
  <c r="CB143" i="18"/>
  <c r="CB96" i="18"/>
  <c r="CB126" i="18"/>
  <c r="CB135" i="18"/>
  <c r="BZ147" i="18"/>
  <c r="BZ125" i="18"/>
  <c r="BE113" i="20"/>
  <c r="BZ132" i="18"/>
  <c r="BZ133" i="18"/>
  <c r="BJ90" i="7"/>
  <c r="BJ88" i="7"/>
  <c r="BJ86" i="7"/>
  <c r="BW132" i="18"/>
  <c r="BW133" i="18"/>
  <c r="AS99" i="20"/>
  <c r="AT99" i="20" s="1"/>
  <c r="AT31" i="20"/>
  <c r="AT96" i="20" s="1"/>
  <c r="AT98" i="20" s="1"/>
  <c r="AS36" i="20"/>
  <c r="AS38" i="20" s="1"/>
  <c r="AS96" i="20"/>
  <c r="AS98" i="20" s="1"/>
  <c r="AS135" i="20"/>
  <c r="AU132" i="20" s="1"/>
  <c r="CE132" i="18" l="1"/>
  <c r="CB145" i="18"/>
  <c r="CB136" i="18"/>
  <c r="BW37" i="7"/>
  <c r="CB127" i="18"/>
  <c r="CB122" i="18"/>
  <c r="BW18" i="7"/>
  <c r="CB98" i="18"/>
  <c r="CB100" i="18"/>
  <c r="AT36" i="20"/>
  <c r="AS39" i="20"/>
  <c r="AS40" i="20" s="1"/>
  <c r="BJ89" i="7"/>
  <c r="AS136" i="20"/>
  <c r="AU134" i="20"/>
  <c r="AU136" i="20"/>
  <c r="AU99" i="20"/>
  <c r="AS100" i="20"/>
  <c r="AT100" i="20" s="1"/>
  <c r="AT38" i="20"/>
  <c r="AS134" i="20"/>
  <c r="BJ44" i="20" l="1"/>
  <c r="BW38" i="7"/>
  <c r="BW69" i="7"/>
  <c r="BW23" i="7"/>
  <c r="CB144" i="18"/>
  <c r="CB146" i="18"/>
  <c r="CB147" i="18" s="1"/>
  <c r="CB148" i="18"/>
  <c r="CB124" i="18"/>
  <c r="CB125" i="18" s="1"/>
  <c r="CB123" i="18"/>
  <c r="CB131" i="18"/>
  <c r="BW21" i="7"/>
  <c r="AT39" i="20"/>
  <c r="AT104" i="20"/>
  <c r="AU96" i="20"/>
  <c r="BJ113" i="20" l="1"/>
  <c r="CB132" i="18"/>
  <c r="CB133" i="18"/>
  <c r="AT106" i="20"/>
  <c r="AT108" i="20" s="1"/>
  <c r="AT107" i="20"/>
  <c r="AT40" i="20"/>
  <c r="AV96" i="20"/>
  <c r="AW96" i="20" l="1"/>
  <c r="AS43" i="20" l="1"/>
  <c r="AS44" i="20"/>
  <c r="AS113" i="20" l="1"/>
  <c r="AS114" i="20" s="1"/>
  <c r="AU111" i="20" s="1"/>
  <c r="AV111" i="20" s="1"/>
  <c r="AS45" i="20" l="1"/>
  <c r="BF36" i="7" l="1"/>
  <c r="BH45" i="20"/>
  <c r="BM45" i="20" s="1"/>
  <c r="BP36" i="7"/>
  <c r="BI45" i="20" l="1"/>
  <c r="BZ36" i="7"/>
  <c r="CA36" i="7" s="1"/>
  <c r="BN45" i="20"/>
  <c r="BE139" i="7"/>
  <c r="BF77" i="7"/>
  <c r="BF90" i="7"/>
  <c r="BG36" i="7"/>
  <c r="BD139" i="7"/>
  <c r="BA139" i="7"/>
  <c r="BC139" i="7"/>
  <c r="BU36" i="7"/>
  <c r="BV36" i="7" s="1"/>
  <c r="BN139" i="7"/>
  <c r="BQ36" i="7"/>
  <c r="BK139" i="7"/>
  <c r="BO139" i="7"/>
  <c r="BM139" i="7"/>
  <c r="BP139" i="7" l="1"/>
  <c r="BA137" i="7"/>
  <c r="BC137" i="7"/>
  <c r="BG77" i="7"/>
  <c r="BG90" i="7"/>
  <c r="BD45" i="20"/>
  <c r="AS46" i="20" l="1"/>
  <c r="AS47" i="20"/>
  <c r="AS48" i="20"/>
  <c r="AS129" i="20" l="1"/>
  <c r="AS57" i="20" l="1"/>
  <c r="AT57" i="20"/>
  <c r="AT129" i="20"/>
  <c r="BG93" i="7" l="1"/>
  <c r="BF93" i="7"/>
  <c r="AT69" i="20"/>
  <c r="AS69" i="20"/>
  <c r="BG94" i="7" l="1"/>
  <c r="BG97" i="7"/>
  <c r="AS70" i="20"/>
  <c r="BF97" i="7"/>
  <c r="BF94" i="7"/>
  <c r="AT70" i="20"/>
  <c r="AT71" i="20"/>
  <c r="AT72" i="20" s="1"/>
  <c r="AS71" i="20"/>
  <c r="BG99" i="7" l="1"/>
  <c r="BG98" i="7"/>
  <c r="BG100" i="7"/>
  <c r="BF99" i="7"/>
  <c r="BF98" i="7"/>
  <c r="BF100" i="7"/>
  <c r="AS72" i="20"/>
  <c r="BF144" i="7"/>
  <c r="BF145" i="7" s="1"/>
  <c r="AS77" i="20" l="1"/>
  <c r="AS133" i="20" l="1"/>
  <c r="AS78" i="20"/>
  <c r="AT86" i="20"/>
  <c r="AS86" i="20" l="1"/>
  <c r="AS89" i="20" s="1"/>
  <c r="AS91" i="20" s="1"/>
  <c r="AS92" i="20" s="1"/>
  <c r="AT89" i="20"/>
  <c r="AT91" i="20" s="1"/>
  <c r="AT92" i="20" l="1"/>
  <c r="AY90" i="20"/>
  <c r="AU90" i="20"/>
  <c r="AS137" i="20" l="1"/>
  <c r="AT138" i="20"/>
  <c r="AU69" i="20" l="1"/>
  <c r="AU89" i="20"/>
  <c r="AU91" i="20" s="1"/>
  <c r="AU92" i="20" s="1"/>
  <c r="AV71" i="20" l="1"/>
  <c r="BI144" i="7" s="1"/>
  <c r="AW71" i="20"/>
  <c r="AU70" i="20"/>
  <c r="AU71" i="20"/>
  <c r="BH144" i="7" s="1"/>
  <c r="BH145" i="7" s="1"/>
  <c r="AV90" i="20"/>
  <c r="AU72" i="20" l="1"/>
  <c r="AU97" i="20"/>
  <c r="AU98" i="20" s="1"/>
  <c r="AU100" i="20" l="1"/>
  <c r="AU38" i="20" l="1"/>
  <c r="AU39" i="20" l="1"/>
  <c r="AU40" i="20" l="1"/>
  <c r="BM247" i="18" l="1"/>
  <c r="BM249" i="18"/>
  <c r="BQ99" i="18" l="1"/>
  <c r="BL22" i="7" s="1"/>
  <c r="BQ87" i="18"/>
  <c r="BQ86" i="18"/>
  <c r="BQ80" i="18"/>
  <c r="BQ93" i="18"/>
  <c r="BQ81" i="18"/>
  <c r="BQ77" i="18" l="1"/>
  <c r="BV80" i="18" s="1"/>
  <c r="BQ83" i="18"/>
  <c r="BQ155" i="18"/>
  <c r="BL30" i="7" s="1"/>
  <c r="BQ92" i="18"/>
  <c r="BQ78" i="18" l="1"/>
  <c r="BV81" i="18"/>
  <c r="BQ84" i="18"/>
  <c r="BV82" i="18"/>
  <c r="BV93" i="18"/>
  <c r="BV92" i="18"/>
  <c r="BV86" i="18"/>
  <c r="BV94" i="18"/>
  <c r="BQ89" i="18"/>
  <c r="BN95" i="18"/>
  <c r="BV88" i="18"/>
  <c r="BV79" i="18"/>
  <c r="BV87" i="18"/>
  <c r="BV85" i="18"/>
  <c r="BX85" i="18"/>
  <c r="BX84" i="18" s="1"/>
  <c r="BX83" i="18" s="1"/>
  <c r="CC85" i="18" s="1"/>
  <c r="CC84" i="18" s="1"/>
  <c r="CC83" i="18" s="1"/>
  <c r="CF83" i="18" s="1"/>
  <c r="BS96" i="18" l="1"/>
  <c r="BS97" i="18"/>
  <c r="CA83" i="18"/>
  <c r="BI17" i="7"/>
  <c r="BI25" i="7" s="1"/>
  <c r="BS99" i="18"/>
  <c r="BQ90" i="18"/>
  <c r="BN160" i="18"/>
  <c r="BN143" i="18"/>
  <c r="BN135" i="18"/>
  <c r="BS136" i="18" s="1"/>
  <c r="BN150" i="18"/>
  <c r="BS151" i="18" s="1"/>
  <c r="BN96" i="18"/>
  <c r="BN128" i="18"/>
  <c r="BX128" i="18" s="1"/>
  <c r="CC128" i="18" s="1"/>
  <c r="BX79" i="18"/>
  <c r="BV83" i="18"/>
  <c r="CA94" i="18" s="1"/>
  <c r="BN20" i="7"/>
  <c r="BN101" i="18"/>
  <c r="BI19" i="7" s="1"/>
  <c r="BO101" i="18"/>
  <c r="BJ19" i="7" s="1"/>
  <c r="BN130" i="18"/>
  <c r="BN159" i="18"/>
  <c r="BQ95" i="18"/>
  <c r="BV77" i="18"/>
  <c r="BV91" i="18"/>
  <c r="BX91" i="18"/>
  <c r="BX90" i="18" s="1"/>
  <c r="BX89" i="18" s="1"/>
  <c r="CC91" i="18" s="1"/>
  <c r="CC90" i="18" s="1"/>
  <c r="CC89" i="18" s="1"/>
  <c r="CF89" i="18" s="1"/>
  <c r="BS155" i="18" l="1"/>
  <c r="BS98" i="18"/>
  <c r="BI18" i="7"/>
  <c r="BN100" i="18"/>
  <c r="BS153" i="18"/>
  <c r="BS156" i="18" s="1"/>
  <c r="BN22" i="7"/>
  <c r="BS248" i="18"/>
  <c r="BS249" i="18" s="1"/>
  <c r="BI96" i="7"/>
  <c r="AW62" i="20"/>
  <c r="BI141" i="7"/>
  <c r="CF94" i="18"/>
  <c r="CF88" i="18"/>
  <c r="CF93" i="18"/>
  <c r="CF87" i="18"/>
  <c r="CF86" i="18"/>
  <c r="CF92" i="18"/>
  <c r="CF85" i="18"/>
  <c r="CF91" i="18"/>
  <c r="CF84" i="18"/>
  <c r="BD135" i="7"/>
  <c r="AV62" i="20"/>
  <c r="BI45" i="7"/>
  <c r="BI41" i="7"/>
  <c r="BI47" i="7"/>
  <c r="BJ141" i="7"/>
  <c r="BI39" i="7"/>
  <c r="CA89" i="18"/>
  <c r="CF90" i="18" s="1"/>
  <c r="BV96" i="18"/>
  <c r="BE135" i="7"/>
  <c r="BI35" i="7"/>
  <c r="BL17" i="7"/>
  <c r="AV123" i="20"/>
  <c r="BN181" i="18"/>
  <c r="BN178" i="18"/>
  <c r="BO152" i="18"/>
  <c r="BJ27" i="7" s="1"/>
  <c r="BN152" i="18"/>
  <c r="BI27" i="7" s="1"/>
  <c r="BN173" i="18"/>
  <c r="BN170" i="18"/>
  <c r="BN151" i="18"/>
  <c r="BI26" i="7" s="1"/>
  <c r="BI23" i="7"/>
  <c r="BN98" i="18"/>
  <c r="BI21" i="7" s="1"/>
  <c r="BN145" i="18"/>
  <c r="BN137" i="18"/>
  <c r="BN136" i="18"/>
  <c r="CA85" i="18"/>
  <c r="CA88" i="18"/>
  <c r="CA91" i="18"/>
  <c r="CA93" i="18"/>
  <c r="CA87" i="18"/>
  <c r="CA92" i="18"/>
  <c r="CA86" i="18"/>
  <c r="CA84" i="18"/>
  <c r="CA82" i="18"/>
  <c r="CA81" i="18"/>
  <c r="CA80" i="18"/>
  <c r="CA79" i="18"/>
  <c r="BX78" i="18"/>
  <c r="BX77" i="18" s="1"/>
  <c r="BX95" i="18" s="1"/>
  <c r="CA95" i="18" s="1"/>
  <c r="BV89" i="18"/>
  <c r="BV90" i="18" s="1"/>
  <c r="BV78" i="18"/>
  <c r="BV84" i="18"/>
  <c r="BQ135" i="18"/>
  <c r="BN127" i="18"/>
  <c r="BQ126" i="18"/>
  <c r="BS224" i="18"/>
  <c r="BS213" i="18"/>
  <c r="BQ143" i="18"/>
  <c r="BQ96" i="18"/>
  <c r="BL18" i="7" s="1"/>
  <c r="BN30" i="7"/>
  <c r="BV99" i="18"/>
  <c r="BQ22" i="7" s="1"/>
  <c r="BN164" i="18"/>
  <c r="BN163" i="18"/>
  <c r="BV97" i="18"/>
  <c r="BQ20" i="7" s="1"/>
  <c r="BN28" i="7" l="1"/>
  <c r="BI49" i="7"/>
  <c r="BI50" i="7" s="1"/>
  <c r="BI68" i="7"/>
  <c r="BI72" i="7" s="1"/>
  <c r="BS154" i="18"/>
  <c r="BO139" i="18"/>
  <c r="BS138" i="18"/>
  <c r="CC79" i="18"/>
  <c r="BI48" i="7"/>
  <c r="BI56" i="7"/>
  <c r="BJ51" i="7"/>
  <c r="BI51" i="7"/>
  <c r="BX99" i="18"/>
  <c r="BS22" i="7" s="1"/>
  <c r="BN17" i="7"/>
  <c r="AV126" i="20"/>
  <c r="AV61" i="20"/>
  <c r="AV128" i="20"/>
  <c r="BN138" i="18"/>
  <c r="BN33" i="7"/>
  <c r="BN139" i="18"/>
  <c r="BN144" i="18"/>
  <c r="BN148" i="18"/>
  <c r="BN146" i="18"/>
  <c r="BN147" i="18" s="1"/>
  <c r="BN156" i="18"/>
  <c r="BI31" i="7" s="1"/>
  <c r="BN154" i="18"/>
  <c r="BI29" i="7" s="1"/>
  <c r="CA90" i="18"/>
  <c r="BX97" i="18"/>
  <c r="BS20" i="7" s="1"/>
  <c r="BQ122" i="18"/>
  <c r="BQ123" i="18" s="1"/>
  <c r="BN124" i="18"/>
  <c r="BN133" i="18"/>
  <c r="CC99" i="18"/>
  <c r="BX22" i="7" s="1"/>
  <c r="CA77" i="18"/>
  <c r="BN123" i="18"/>
  <c r="BN18" i="7"/>
  <c r="BS160" i="18"/>
  <c r="BS159" i="18"/>
  <c r="BS101" i="18"/>
  <c r="BN19" i="7" s="1"/>
  <c r="BO19" i="7"/>
  <c r="BQ17" i="7"/>
  <c r="BN37" i="7"/>
  <c r="BQ98" i="18"/>
  <c r="BL21" i="7" s="1"/>
  <c r="BQ100" i="18"/>
  <c r="BL23" i="7" s="1"/>
  <c r="BQ136" i="18"/>
  <c r="BQ145" i="18"/>
  <c r="BQ144" i="18" s="1"/>
  <c r="BQ137" i="18"/>
  <c r="BQ138" i="18" s="1"/>
  <c r="BQ127" i="18"/>
  <c r="BQ128" i="18"/>
  <c r="BA125" i="20" l="1"/>
  <c r="BF125" i="20" s="1"/>
  <c r="BI59" i="7"/>
  <c r="BN125" i="18"/>
  <c r="BS125" i="18"/>
  <c r="BI62" i="7"/>
  <c r="BN25" i="7"/>
  <c r="CF82" i="18"/>
  <c r="CF81" i="18"/>
  <c r="CF80" i="18"/>
  <c r="CF79" i="18"/>
  <c r="CC97" i="18"/>
  <c r="BX20" i="7" s="1"/>
  <c r="CC78" i="18"/>
  <c r="CC77" i="18" s="1"/>
  <c r="CA78" i="18"/>
  <c r="BS17" i="7"/>
  <c r="BS25" i="7" s="1"/>
  <c r="BX126" i="18"/>
  <c r="BS37" i="7" s="1"/>
  <c r="BQ37" i="7"/>
  <c r="BI73" i="7"/>
  <c r="BI100" i="7"/>
  <c r="BI74" i="7"/>
  <c r="BI75" i="7" s="1"/>
  <c r="BI142" i="7"/>
  <c r="BI76" i="7"/>
  <c r="BI77" i="7"/>
  <c r="BD138" i="7"/>
  <c r="BJ142" i="7"/>
  <c r="BE138" i="7"/>
  <c r="BN38" i="7"/>
  <c r="BN69" i="7"/>
  <c r="BN43" i="7"/>
  <c r="BN34" i="7"/>
  <c r="AV124" i="20"/>
  <c r="BX137" i="18"/>
  <c r="CC137" i="18" s="1"/>
  <c r="BS139" i="18"/>
  <c r="BQ131" i="18"/>
  <c r="BQ133" i="18" s="1"/>
  <c r="BY101" i="18"/>
  <c r="BT19" i="7" s="1"/>
  <c r="BX130" i="18"/>
  <c r="BX96" i="18"/>
  <c r="BS18" i="7" s="1"/>
  <c r="BX143" i="18"/>
  <c r="BX101" i="18"/>
  <c r="BS19" i="7" s="1"/>
  <c r="BX160" i="18"/>
  <c r="BX159" i="18"/>
  <c r="BX150" i="18"/>
  <c r="CA97" i="18"/>
  <c r="BV20" i="7" s="1"/>
  <c r="CA99" i="18"/>
  <c r="BV22" i="7" s="1"/>
  <c r="BX213" i="18"/>
  <c r="BX224" i="18"/>
  <c r="BX153" i="18"/>
  <c r="BS28" i="7" s="1"/>
  <c r="BX155" i="18"/>
  <c r="BS30" i="7" s="1"/>
  <c r="BO27" i="7"/>
  <c r="BN26" i="7"/>
  <c r="BV126" i="18"/>
  <c r="BV122" i="18"/>
  <c r="BS164" i="18"/>
  <c r="BS163" i="18"/>
  <c r="BV135" i="18"/>
  <c r="BQ18" i="7"/>
  <c r="BV143" i="18"/>
  <c r="BN21" i="7"/>
  <c r="BS100" i="18"/>
  <c r="BN23" i="7" s="1"/>
  <c r="AV113" i="20"/>
  <c r="BQ146" i="18"/>
  <c r="BQ148" i="18"/>
  <c r="BN41" i="7" l="1"/>
  <c r="BA123" i="20"/>
  <c r="BA128" i="20"/>
  <c r="BF128" i="20" s="1"/>
  <c r="BK128" i="20" s="1"/>
  <c r="BA126" i="20"/>
  <c r="BK125" i="20"/>
  <c r="BI63" i="7"/>
  <c r="BN39" i="7"/>
  <c r="BN47" i="7"/>
  <c r="BN45" i="7"/>
  <c r="BA61" i="20"/>
  <c r="BN35" i="7"/>
  <c r="BI80" i="7"/>
  <c r="BI85" i="7" s="1"/>
  <c r="BI90" i="7" s="1"/>
  <c r="BN96" i="7"/>
  <c r="CC139" i="18"/>
  <c r="CD139" i="18"/>
  <c r="BS96" i="7"/>
  <c r="BQ69" i="7"/>
  <c r="CF97" i="18"/>
  <c r="CA20" i="7" s="1"/>
  <c r="CF99" i="18"/>
  <c r="CA22" i="7" s="1"/>
  <c r="CC95" i="18"/>
  <c r="CF77" i="18"/>
  <c r="CF78" i="18" s="1"/>
  <c r="CC213" i="18"/>
  <c r="CC224" i="18"/>
  <c r="CC155" i="18"/>
  <c r="BX30" i="7" s="1"/>
  <c r="CC153" i="18"/>
  <c r="BX28" i="7" s="1"/>
  <c r="BS41" i="7"/>
  <c r="BV17" i="7"/>
  <c r="BX135" i="18"/>
  <c r="BX122" i="18" s="1"/>
  <c r="BS33" i="7" s="1"/>
  <c r="BX151" i="18"/>
  <c r="BS26" i="7" s="1"/>
  <c r="BQ38" i="7"/>
  <c r="BJ143" i="7"/>
  <c r="AW72" i="20"/>
  <c r="BI143" i="7"/>
  <c r="BI145" i="7"/>
  <c r="BS69" i="7"/>
  <c r="BV69" i="7" s="1"/>
  <c r="BS38" i="7"/>
  <c r="BS39" i="7"/>
  <c r="BV37" i="7"/>
  <c r="BN44" i="7"/>
  <c r="BX139" i="18"/>
  <c r="BY139" i="18"/>
  <c r="BQ132" i="18"/>
  <c r="BX127" i="18"/>
  <c r="CA126" i="18"/>
  <c r="BY152" i="18"/>
  <c r="BT27" i="7" s="1"/>
  <c r="BX98" i="18"/>
  <c r="BS21" i="7" s="1"/>
  <c r="BX100" i="18"/>
  <c r="CA143" i="18"/>
  <c r="CA96" i="18"/>
  <c r="BV18" i="7" s="1"/>
  <c r="BF61" i="20"/>
  <c r="BV123" i="18"/>
  <c r="BV136" i="18"/>
  <c r="BV145" i="18"/>
  <c r="BV137" i="18"/>
  <c r="BV138" i="18" s="1"/>
  <c r="BV100" i="18"/>
  <c r="BV131" i="18"/>
  <c r="BV127" i="18"/>
  <c r="BV128" i="18"/>
  <c r="BQ147" i="18"/>
  <c r="AW111" i="20"/>
  <c r="BS146" i="18"/>
  <c r="BS148" i="18"/>
  <c r="AW129" i="20"/>
  <c r="BN29" i="7"/>
  <c r="BN31" i="7"/>
  <c r="BV98" i="18"/>
  <c r="BQ21" i="7" s="1"/>
  <c r="BI86" i="7" l="1"/>
  <c r="BS23" i="7"/>
  <c r="BN48" i="7"/>
  <c r="BJ146" i="7"/>
  <c r="BN49" i="7"/>
  <c r="BN68" i="7"/>
  <c r="BN72" i="7" s="1"/>
  <c r="BI64" i="7"/>
  <c r="BF127" i="20"/>
  <c r="BF28" i="20" s="1"/>
  <c r="BI88" i="7"/>
  <c r="BI146" i="7"/>
  <c r="BA124" i="20"/>
  <c r="BF123" i="20"/>
  <c r="BX123" i="18"/>
  <c r="BS147" i="18"/>
  <c r="BX164" i="18"/>
  <c r="CA135" i="18"/>
  <c r="CA137" i="18" s="1"/>
  <c r="CA138" i="18" s="1"/>
  <c r="BX136" i="18"/>
  <c r="BX131" i="18"/>
  <c r="BX132" i="18" s="1"/>
  <c r="BX124" i="18"/>
  <c r="BX125" i="18" s="1"/>
  <c r="BX145" i="18"/>
  <c r="BX144" i="18" s="1"/>
  <c r="BX163" i="18"/>
  <c r="CA122" i="18"/>
  <c r="CA123" i="18" s="1"/>
  <c r="BX17" i="7"/>
  <c r="BX25" i="7" s="1"/>
  <c r="CC96" i="18"/>
  <c r="CC143" i="18"/>
  <c r="CC135" i="18"/>
  <c r="CC130" i="18"/>
  <c r="CC126" i="18"/>
  <c r="CC101" i="18"/>
  <c r="BX19" i="7" s="1"/>
  <c r="CC159" i="18"/>
  <c r="CC160" i="18"/>
  <c r="CC150" i="18"/>
  <c r="CD101" i="18"/>
  <c r="BY19" i="7" s="1"/>
  <c r="CF95" i="18"/>
  <c r="BX154" i="18"/>
  <c r="BS29" i="7" s="1"/>
  <c r="BS35" i="7"/>
  <c r="BS43" i="7"/>
  <c r="BS34" i="7"/>
  <c r="BX156" i="18"/>
  <c r="BS31" i="7" s="1"/>
  <c r="BV144" i="18"/>
  <c r="BV146" i="18"/>
  <c r="BV147" i="18" s="1"/>
  <c r="BV38" i="7"/>
  <c r="BD137" i="7"/>
  <c r="BE137" i="7"/>
  <c r="BQ23" i="7"/>
  <c r="AV129" i="20"/>
  <c r="AV70" i="20"/>
  <c r="CA127" i="18"/>
  <c r="CA128" i="18"/>
  <c r="CA100" i="18"/>
  <c r="BF126" i="20"/>
  <c r="BF24" i="20" s="1"/>
  <c r="CA98" i="18"/>
  <c r="BV21" i="7" s="1"/>
  <c r="BF44" i="20"/>
  <c r="BA113" i="20"/>
  <c r="BD44" i="20"/>
  <c r="AX111" i="20"/>
  <c r="BV133" i="18"/>
  <c r="BV132" i="18"/>
  <c r="BV148" i="18"/>
  <c r="BN50" i="7" l="1"/>
  <c r="BI89" i="7"/>
  <c r="BE136" i="7"/>
  <c r="BD136" i="7"/>
  <c r="BK123" i="20"/>
  <c r="BF124" i="20"/>
  <c r="BF12" i="20" s="1"/>
  <c r="BX146" i="18"/>
  <c r="BX147" i="18" s="1"/>
  <c r="BX148" i="18"/>
  <c r="CA145" i="18"/>
  <c r="CA144" i="18" s="1"/>
  <c r="CA136" i="18"/>
  <c r="CA131" i="18"/>
  <c r="CA132" i="18" s="1"/>
  <c r="BX133" i="18"/>
  <c r="BX37" i="7"/>
  <c r="CC127" i="18"/>
  <c r="CF126" i="18"/>
  <c r="CA17" i="7"/>
  <c r="CF96" i="18"/>
  <c r="CA18" i="7" s="1"/>
  <c r="CF143" i="18"/>
  <c r="CC122" i="18"/>
  <c r="CC136" i="18"/>
  <c r="CC145" i="18"/>
  <c r="CC164" i="18"/>
  <c r="CC163" i="18"/>
  <c r="CF135" i="18"/>
  <c r="CD152" i="18"/>
  <c r="BY27" i="7" s="1"/>
  <c r="CC151" i="18"/>
  <c r="BX18" i="7"/>
  <c r="CC100" i="18"/>
  <c r="CC98" i="18"/>
  <c r="BK124" i="20"/>
  <c r="BK12" i="20" s="1"/>
  <c r="BK127" i="20"/>
  <c r="BK28" i="20" s="1"/>
  <c r="BX96" i="7"/>
  <c r="BK61" i="20"/>
  <c r="BX41" i="7"/>
  <c r="BS47" i="7"/>
  <c r="BS45" i="7"/>
  <c r="BS44" i="7"/>
  <c r="BF113" i="20"/>
  <c r="BN74" i="7"/>
  <c r="BN73" i="7"/>
  <c r="BN76" i="7"/>
  <c r="BN77" i="7"/>
  <c r="BV23" i="7"/>
  <c r="BF29" i="20"/>
  <c r="BI44" i="20"/>
  <c r="CA133" i="18" l="1"/>
  <c r="CA146" i="18"/>
  <c r="CA147" i="18" s="1"/>
  <c r="CA148" i="18"/>
  <c r="BN75" i="7"/>
  <c r="CF145" i="18"/>
  <c r="CF144" i="18" s="1"/>
  <c r="CF137" i="18"/>
  <c r="CF138" i="18" s="1"/>
  <c r="CF136" i="18"/>
  <c r="BX21" i="7"/>
  <c r="CF98" i="18"/>
  <c r="CA21" i="7" s="1"/>
  <c r="CC148" i="18"/>
  <c r="CC146" i="18"/>
  <c r="CC147" i="18" s="1"/>
  <c r="BX26" i="7"/>
  <c r="CC156" i="18"/>
  <c r="BX31" i="7" s="1"/>
  <c r="CC154" i="18"/>
  <c r="BX29" i="7" s="1"/>
  <c r="CC123" i="18"/>
  <c r="CC124" i="18"/>
  <c r="CC125" i="18" s="1"/>
  <c r="CC131" i="18"/>
  <c r="BX33" i="7"/>
  <c r="CF122" i="18"/>
  <c r="CF127" i="18"/>
  <c r="CF128" i="18"/>
  <c r="BX23" i="7"/>
  <c r="CF100" i="18"/>
  <c r="CA23" i="7" s="1"/>
  <c r="CC144" i="18"/>
  <c r="BX69" i="7"/>
  <c r="CA69" i="7" s="1"/>
  <c r="BX38" i="7"/>
  <c r="BK44" i="20"/>
  <c r="BX39" i="7"/>
  <c r="CA37" i="7"/>
  <c r="BS68" i="7"/>
  <c r="BS72" i="7" s="1"/>
  <c r="BS48" i="7"/>
  <c r="BS49" i="7"/>
  <c r="BS50" i="7" s="1"/>
  <c r="AY15" i="20"/>
  <c r="AW99" i="20"/>
  <c r="AV99" i="20"/>
  <c r="BX43" i="7" l="1"/>
  <c r="BX47" i="7" s="1"/>
  <c r="CA38" i="7"/>
  <c r="BK113" i="20"/>
  <c r="BN44" i="20"/>
  <c r="CF123" i="18"/>
  <c r="CF148" i="18"/>
  <c r="CF146" i="18"/>
  <c r="CF147" i="18" s="1"/>
  <c r="BX35" i="7"/>
  <c r="BK126" i="20"/>
  <c r="BK24" i="20" s="1"/>
  <c r="BX34" i="7"/>
  <c r="CC132" i="18"/>
  <c r="CC133" i="18"/>
  <c r="CF131" i="18"/>
  <c r="AZ111" i="20"/>
  <c r="BS73" i="7"/>
  <c r="BS76" i="7"/>
  <c r="BS74" i="7"/>
  <c r="BS77" i="7"/>
  <c r="BX45" i="7" l="1"/>
  <c r="BX44" i="7"/>
  <c r="BX49" i="7"/>
  <c r="BX68" i="7"/>
  <c r="BX48" i="7"/>
  <c r="BK29" i="20"/>
  <c r="CF133" i="18"/>
  <c r="CF132" i="18"/>
  <c r="BS75" i="7"/>
  <c r="BX72" i="7" l="1"/>
  <c r="BX50" i="7"/>
  <c r="BX74" i="7" l="1"/>
  <c r="BX75" i="7" s="1"/>
  <c r="BX77" i="7"/>
  <c r="BX73" i="7"/>
  <c r="BX76" i="7"/>
  <c r="AU137" i="20" l="1"/>
  <c r="BJ93" i="7" l="1"/>
  <c r="BJ94" i="7" l="1"/>
  <c r="BJ97" i="7"/>
  <c r="BJ98" i="7" l="1"/>
  <c r="BJ100" i="7"/>
  <c r="BJ99" i="7"/>
  <c r="AV89" i="20"/>
  <c r="AV91" i="20" s="1"/>
  <c r="AV92" i="20" l="1"/>
  <c r="AW90" i="20"/>
  <c r="BJ144" i="7"/>
  <c r="AW91" i="20" l="1"/>
  <c r="AW92" i="20" s="1"/>
  <c r="BJ145" i="7"/>
  <c r="AV97" i="20"/>
  <c r="AV98" i="20" s="1"/>
  <c r="AV72" i="20"/>
  <c r="AX90" i="20" l="1"/>
  <c r="AV100" i="20"/>
  <c r="AV21" i="20"/>
  <c r="AV38" i="20" l="1"/>
  <c r="AW14" i="20"/>
  <c r="AW97" i="20"/>
  <c r="AW98" i="20" s="1"/>
  <c r="AV39" i="20" l="1"/>
  <c r="AW100" i="20"/>
  <c r="AW21" i="20"/>
  <c r="AW38" i="20" l="1"/>
  <c r="AV40" i="20"/>
  <c r="AW39" i="20" l="1"/>
  <c r="AW134" i="20"/>
  <c r="BL54" i="7"/>
  <c r="AW40" i="20" l="1"/>
  <c r="AY31" i="20" l="1"/>
  <c r="AX96" i="20"/>
  <c r="AZ96" i="20"/>
  <c r="BN56" i="7" l="1"/>
  <c r="AY96" i="20"/>
  <c r="BA36" i="20"/>
  <c r="BA96" i="20"/>
  <c r="BN59" i="7" l="1"/>
  <c r="BN62" i="7" l="1"/>
  <c r="BN63" i="7" l="1"/>
  <c r="BN80" i="7"/>
  <c r="BN85" i="7" l="1"/>
  <c r="BN64" i="7"/>
  <c r="BN88" i="7" l="1"/>
  <c r="BN86" i="7"/>
  <c r="BN90" i="7"/>
  <c r="BN89" i="7" l="1"/>
  <c r="AW137" i="20" l="1"/>
  <c r="AY138" i="20"/>
  <c r="BQ29" i="18" l="1"/>
  <c r="BU29" i="18"/>
  <c r="BP30" i="18"/>
  <c r="BP31" i="18"/>
  <c r="BP37" i="18" s="1"/>
  <c r="BK11" i="7" l="1"/>
  <c r="BP26" i="18"/>
  <c r="BP32" i="18"/>
  <c r="BU33" i="18"/>
  <c r="BP12" i="7" s="1"/>
  <c r="BV29" i="18"/>
  <c r="BV30" i="18" s="1"/>
  <c r="BZ29" i="18"/>
  <c r="CE29" i="18" s="1"/>
  <c r="BK9" i="7"/>
  <c r="BK25" i="7" s="1"/>
  <c r="BP60" i="18"/>
  <c r="BP52" i="18"/>
  <c r="BP47" i="18"/>
  <c r="BP41" i="18"/>
  <c r="BP42" i="18" s="1"/>
  <c r="BP50" i="18"/>
  <c r="BP150" i="18"/>
  <c r="BP159" i="18"/>
  <c r="BP160" i="18"/>
  <c r="BP45" i="18"/>
  <c r="BU31" i="18"/>
  <c r="BQ31" i="18"/>
  <c r="BQ30" i="18"/>
  <c r="BQ39" i="18"/>
  <c r="C27" i="18" l="1"/>
  <c r="BU153" i="18"/>
  <c r="BP28" i="7" s="1"/>
  <c r="CF29" i="18"/>
  <c r="CE31" i="18"/>
  <c r="CA29" i="18"/>
  <c r="BP181" i="18"/>
  <c r="BP178" i="18"/>
  <c r="BP173" i="18"/>
  <c r="BP170" i="18"/>
  <c r="BU224" i="18"/>
  <c r="BU155" i="18"/>
  <c r="BP30" i="7" s="1"/>
  <c r="BU213" i="18"/>
  <c r="BP36" i="18"/>
  <c r="BP34" i="18"/>
  <c r="AX123" i="20"/>
  <c r="AX124" i="20" s="1"/>
  <c r="BZ31" i="18"/>
  <c r="BU150" i="18"/>
  <c r="BU151" i="18" s="1"/>
  <c r="BU37" i="18"/>
  <c r="BP11" i="7" s="1"/>
  <c r="BP9" i="7"/>
  <c r="BP25" i="7" s="1"/>
  <c r="BU160" i="18"/>
  <c r="BU32" i="18"/>
  <c r="BZ33" i="18"/>
  <c r="BK39" i="7"/>
  <c r="BK35" i="7"/>
  <c r="C16" i="18"/>
  <c r="C20" i="18"/>
  <c r="C18" i="18"/>
  <c r="C22" i="18"/>
  <c r="BP151" i="18"/>
  <c r="BK26" i="7" s="1"/>
  <c r="BP152" i="18"/>
  <c r="BK27" i="7" s="1"/>
  <c r="BP53" i="18"/>
  <c r="BP54" i="18"/>
  <c r="BP63" i="18"/>
  <c r="BP163" i="18"/>
  <c r="BP164" i="18"/>
  <c r="BQ52" i="18"/>
  <c r="BQ54" i="18" s="1"/>
  <c r="BQ55" i="18" s="1"/>
  <c r="BU47" i="18"/>
  <c r="BU60" i="18"/>
  <c r="C29" i="18"/>
  <c r="BU45" i="18"/>
  <c r="BU159" i="18"/>
  <c r="BP12" i="18"/>
  <c r="BP13" i="18" s="1"/>
  <c r="BP61" i="18"/>
  <c r="BQ60" i="18"/>
  <c r="BL9" i="7"/>
  <c r="BQ159" i="18"/>
  <c r="BV33" i="18"/>
  <c r="BQ12" i="7" s="1"/>
  <c r="BQ47" i="18"/>
  <c r="BQ45" i="18"/>
  <c r="BQ130" i="18"/>
  <c r="BQ26" i="18"/>
  <c r="BQ124" i="18"/>
  <c r="BQ125" i="18" s="1"/>
  <c r="BQ160" i="18"/>
  <c r="BQ150" i="18"/>
  <c r="BQ32" i="18"/>
  <c r="BL10" i="7" s="1"/>
  <c r="BQ40" i="18"/>
  <c r="BQ41" i="18"/>
  <c r="BQ42" i="18" s="1"/>
  <c r="BQ48" i="18"/>
  <c r="BK43" i="7"/>
  <c r="BK47" i="7" s="1"/>
  <c r="BL33" i="7"/>
  <c r="BK10" i="7"/>
  <c r="AX62" i="20"/>
  <c r="AX61" i="20"/>
  <c r="BK41" i="7"/>
  <c r="BF135" i="7"/>
  <c r="BK96" i="7"/>
  <c r="BK141" i="7"/>
  <c r="BZ9" i="7" l="1"/>
  <c r="BZ25" i="7" s="1"/>
  <c r="CE60" i="18"/>
  <c r="CE45" i="18"/>
  <c r="CE47" i="18"/>
  <c r="CE37" i="18"/>
  <c r="BZ11" i="7" s="1"/>
  <c r="CE160" i="18"/>
  <c r="CE159" i="18"/>
  <c r="CE150" i="18"/>
  <c r="CE152" i="18" s="1"/>
  <c r="BZ27" i="7" s="1"/>
  <c r="CA30" i="18"/>
  <c r="CF30" i="18"/>
  <c r="CE33" i="18"/>
  <c r="BZ12" i="7" s="1"/>
  <c r="CE32" i="18"/>
  <c r="BZ45" i="18"/>
  <c r="BQ12" i="18"/>
  <c r="BQ13" i="18" s="1"/>
  <c r="BC123" i="20"/>
  <c r="BH123" i="20" s="1"/>
  <c r="BM123" i="20" s="1"/>
  <c r="BU36" i="18"/>
  <c r="BP15" i="7" s="1"/>
  <c r="BU34" i="18"/>
  <c r="BP13" i="7" s="1"/>
  <c r="BU156" i="18"/>
  <c r="BP31" i="7" s="1"/>
  <c r="BQ178" i="18"/>
  <c r="BQ181" i="18"/>
  <c r="BQ170" i="18"/>
  <c r="BQ173" i="18"/>
  <c r="BK56" i="7"/>
  <c r="BZ224" i="18"/>
  <c r="BU152" i="18"/>
  <c r="BP27" i="7" s="1"/>
  <c r="BZ213" i="18"/>
  <c r="BU154" i="18"/>
  <c r="BP29" i="7" s="1"/>
  <c r="BP26" i="7"/>
  <c r="BZ160" i="18"/>
  <c r="BU9" i="7"/>
  <c r="BU25" i="7" s="1"/>
  <c r="BZ150" i="18"/>
  <c r="BZ37" i="18"/>
  <c r="BU11" i="7" s="1"/>
  <c r="BZ32" i="18"/>
  <c r="BZ36" i="18" s="1"/>
  <c r="BZ159" i="18"/>
  <c r="BZ60" i="18"/>
  <c r="BZ153" i="18"/>
  <c r="BU28" i="7" s="1"/>
  <c r="BZ47" i="18"/>
  <c r="BZ155" i="18"/>
  <c r="BU30" i="7" s="1"/>
  <c r="BC61" i="20"/>
  <c r="BP39" i="7"/>
  <c r="BP41" i="7"/>
  <c r="BP96" i="7"/>
  <c r="BU12" i="7"/>
  <c r="BP10" i="7"/>
  <c r="BQ164" i="18"/>
  <c r="BQ53" i="18"/>
  <c r="BU61" i="18"/>
  <c r="BQ63" i="18"/>
  <c r="BQ66" i="18" s="1"/>
  <c r="BQ163" i="18"/>
  <c r="BP154" i="18"/>
  <c r="BQ154" i="18" s="1"/>
  <c r="BL29" i="7" s="1"/>
  <c r="BP156" i="18"/>
  <c r="BK31" i="7" s="1"/>
  <c r="BQ61" i="18"/>
  <c r="BP66" i="18"/>
  <c r="BP64" i="18"/>
  <c r="BP65" i="18" s="1"/>
  <c r="BP55" i="18"/>
  <c r="BP56" i="18"/>
  <c r="BU54" i="18"/>
  <c r="BP62" i="18"/>
  <c r="BQ151" i="18"/>
  <c r="BL26" i="7" s="1"/>
  <c r="BV224" i="18"/>
  <c r="BV213" i="18"/>
  <c r="BV153" i="18"/>
  <c r="BQ28" i="7" s="1"/>
  <c r="BL25" i="7"/>
  <c r="BK15" i="7"/>
  <c r="BQ36" i="18"/>
  <c r="BL15" i="7" s="1"/>
  <c r="AY28" i="20"/>
  <c r="AY12" i="20"/>
  <c r="BQ49" i="18"/>
  <c r="BQ50" i="18"/>
  <c r="BL34" i="7"/>
  <c r="BK48" i="7"/>
  <c r="BK68" i="7"/>
  <c r="BK49" i="7"/>
  <c r="BL43" i="7"/>
  <c r="BK45" i="7"/>
  <c r="BK44" i="7"/>
  <c r="BK13" i="7"/>
  <c r="BQ34" i="18"/>
  <c r="BL13" i="7" s="1"/>
  <c r="AY24" i="20"/>
  <c r="AX29" i="20"/>
  <c r="AX36" i="20" s="1"/>
  <c r="BQ62" i="18" l="1"/>
  <c r="BQ64" i="18"/>
  <c r="BQ65" i="18" s="1"/>
  <c r="BZ96" i="7"/>
  <c r="BM61" i="20"/>
  <c r="BM124" i="20"/>
  <c r="BM12" i="20" s="1"/>
  <c r="BZ41" i="7"/>
  <c r="BZ39" i="7"/>
  <c r="CE153" i="18"/>
  <c r="BZ28" i="7" s="1"/>
  <c r="BZ10" i="7"/>
  <c r="CE34" i="18"/>
  <c r="BZ13" i="7" s="1"/>
  <c r="CE36" i="18"/>
  <c r="BZ15" i="7" s="1"/>
  <c r="CE155" i="18"/>
  <c r="BZ30" i="7" s="1"/>
  <c r="CE213" i="18"/>
  <c r="CE224" i="18"/>
  <c r="CE151" i="18"/>
  <c r="CE61" i="18"/>
  <c r="BK62" i="7"/>
  <c r="BZ34" i="18"/>
  <c r="BU13" i="7" s="1"/>
  <c r="BU10" i="7"/>
  <c r="BC124" i="20"/>
  <c r="BC12" i="20" s="1"/>
  <c r="BZ152" i="18"/>
  <c r="BU27" i="7" s="1"/>
  <c r="BZ61" i="18"/>
  <c r="BK59" i="7"/>
  <c r="BL35" i="7"/>
  <c r="BU41" i="7"/>
  <c r="BU96" i="7"/>
  <c r="BU39" i="7"/>
  <c r="BZ151" i="18"/>
  <c r="BZ154" i="18" s="1"/>
  <c r="BH61" i="20"/>
  <c r="BH124" i="20"/>
  <c r="BH12" i="20" s="1"/>
  <c r="BQ156" i="18"/>
  <c r="BL31" i="7" s="1"/>
  <c r="BK29" i="7"/>
  <c r="BZ54" i="18"/>
  <c r="BU52" i="18"/>
  <c r="AY62" i="20"/>
  <c r="AY61" i="20"/>
  <c r="BL41" i="7"/>
  <c r="BL96" i="7"/>
  <c r="BL39" i="7"/>
  <c r="BL44" i="7"/>
  <c r="BL45" i="7"/>
  <c r="BL47" i="7"/>
  <c r="BK51" i="7"/>
  <c r="BK50" i="7"/>
  <c r="BL56" i="7"/>
  <c r="AY127" i="20"/>
  <c r="AY128" i="20" s="1"/>
  <c r="BL68" i="7"/>
  <c r="BK72" i="7"/>
  <c r="BU15" i="7"/>
  <c r="AY29" i="20"/>
  <c r="AY36" i="20" s="1"/>
  <c r="BK80" i="7" l="1"/>
  <c r="CE54" i="18"/>
  <c r="BN12" i="20"/>
  <c r="BZ26" i="7"/>
  <c r="CE154" i="18"/>
  <c r="BZ29" i="7" s="1"/>
  <c r="CE156" i="18"/>
  <c r="BZ31" i="7" s="1"/>
  <c r="BD12" i="20"/>
  <c r="BU26" i="7"/>
  <c r="BZ156" i="18"/>
  <c r="BU31" i="7" s="1"/>
  <c r="BI12" i="20"/>
  <c r="BU63" i="18"/>
  <c r="BU164" i="18"/>
  <c r="BU53" i="18"/>
  <c r="BU163" i="18"/>
  <c r="BU39" i="18"/>
  <c r="BZ52" i="18"/>
  <c r="BL49" i="7"/>
  <c r="BL50" i="7" s="1"/>
  <c r="BL48" i="7"/>
  <c r="AY129" i="20"/>
  <c r="BU29" i="7"/>
  <c r="BK142" i="7"/>
  <c r="BK74" i="7"/>
  <c r="BL72" i="7"/>
  <c r="BK73" i="7"/>
  <c r="BK77" i="7"/>
  <c r="BF138" i="7"/>
  <c r="BK76" i="7"/>
  <c r="BL62" i="7"/>
  <c r="BK63" i="7"/>
  <c r="BL58" i="7"/>
  <c r="CE52" i="18" l="1"/>
  <c r="AZ129" i="20"/>
  <c r="BU64" i="18"/>
  <c r="BU65" i="18" s="1"/>
  <c r="BU40" i="18"/>
  <c r="BU48" i="18"/>
  <c r="BP33" i="7"/>
  <c r="BU41" i="18"/>
  <c r="BU42" i="18" s="1"/>
  <c r="BZ39" i="18"/>
  <c r="BZ163" i="18"/>
  <c r="BZ164" i="18"/>
  <c r="BZ63" i="18"/>
  <c r="BZ53" i="18"/>
  <c r="BU62" i="18"/>
  <c r="BU66" i="18"/>
  <c r="BK85" i="7"/>
  <c r="BL80" i="7"/>
  <c r="BL76" i="7"/>
  <c r="BL74" i="7"/>
  <c r="BL73" i="7"/>
  <c r="BL77" i="7"/>
  <c r="BL59" i="7"/>
  <c r="AY103" i="20" s="1"/>
  <c r="BK64" i="7"/>
  <c r="BL63" i="7"/>
  <c r="BK75" i="7"/>
  <c r="AX99" i="20"/>
  <c r="AY99" i="20" s="1"/>
  <c r="BK143" i="7"/>
  <c r="CE39" i="18" l="1"/>
  <c r="CE40" i="18" s="1"/>
  <c r="CE63" i="18"/>
  <c r="CE164" i="18"/>
  <c r="CE163" i="18"/>
  <c r="CE53" i="18"/>
  <c r="BP35" i="7"/>
  <c r="BP43" i="7"/>
  <c r="BP34" i="7"/>
  <c r="BC126" i="20"/>
  <c r="BC24" i="20" s="1"/>
  <c r="BU33" i="7"/>
  <c r="BZ48" i="18"/>
  <c r="BZ41" i="18"/>
  <c r="BZ40" i="18"/>
  <c r="BZ62" i="18"/>
  <c r="BZ64" i="18"/>
  <c r="BZ66" i="18"/>
  <c r="BU49" i="18"/>
  <c r="BU50" i="18"/>
  <c r="BK90" i="7"/>
  <c r="BL85" i="7"/>
  <c r="BK146" i="7"/>
  <c r="BL146" i="7" s="1"/>
  <c r="BK88" i="7"/>
  <c r="BK86" i="7"/>
  <c r="BL75" i="7"/>
  <c r="BL64" i="7"/>
  <c r="CE64" i="18" l="1"/>
  <c r="CE65" i="18" s="1"/>
  <c r="CE62" i="18"/>
  <c r="BZ33" i="7"/>
  <c r="CE48" i="18"/>
  <c r="CE50" i="18" s="1"/>
  <c r="CE41" i="18"/>
  <c r="CE42" i="18" s="1"/>
  <c r="CE66" i="18"/>
  <c r="BZ65" i="18"/>
  <c r="BZ42" i="18"/>
  <c r="BL90" i="7"/>
  <c r="BZ49" i="18"/>
  <c r="BZ50" i="18"/>
  <c r="BP44" i="7"/>
  <c r="BP47" i="7"/>
  <c r="BP45" i="7"/>
  <c r="BH126" i="20"/>
  <c r="BH24" i="20" s="1"/>
  <c r="BU35" i="7"/>
  <c r="BU34" i="7"/>
  <c r="BU43" i="7"/>
  <c r="BD24" i="20"/>
  <c r="AX69" i="20"/>
  <c r="AX89" i="20"/>
  <c r="AX91" i="20" s="1"/>
  <c r="BK93" i="7"/>
  <c r="BL86" i="7"/>
  <c r="BL88" i="7"/>
  <c r="AY57" i="20"/>
  <c r="BF137" i="7"/>
  <c r="BK89" i="7"/>
  <c r="BF136" i="7"/>
  <c r="BZ34" i="7" l="1"/>
  <c r="BM126" i="20"/>
  <c r="BM24" i="20" s="1"/>
  <c r="BZ35" i="7"/>
  <c r="BZ43" i="7"/>
  <c r="CE49" i="18"/>
  <c r="BU44" i="7"/>
  <c r="BU47" i="7"/>
  <c r="BU45" i="7"/>
  <c r="BI24" i="20"/>
  <c r="BP49" i="7"/>
  <c r="BP48" i="7"/>
  <c r="BP68" i="7"/>
  <c r="BL89" i="7"/>
  <c r="AX92" i="20"/>
  <c r="AX70" i="20"/>
  <c r="AX71" i="20"/>
  <c r="AY71" i="20"/>
  <c r="AY72" i="20" s="1"/>
  <c r="AY89" i="20"/>
  <c r="AY91" i="20" s="1"/>
  <c r="AY69" i="20"/>
  <c r="BL93" i="7"/>
  <c r="BK94" i="7"/>
  <c r="BK97" i="7"/>
  <c r="BZ47" i="7" l="1"/>
  <c r="BZ45" i="7"/>
  <c r="BN24" i="20"/>
  <c r="BZ44" i="7"/>
  <c r="BP72" i="7"/>
  <c r="BU49" i="7"/>
  <c r="BU68" i="7"/>
  <c r="BU48" i="7"/>
  <c r="BP50" i="7"/>
  <c r="BL94" i="7"/>
  <c r="BL97" i="7"/>
  <c r="BK98" i="7"/>
  <c r="BK99" i="7"/>
  <c r="BK100" i="7"/>
  <c r="AX97" i="20"/>
  <c r="AX98" i="20" s="1"/>
  <c r="AY10" i="20"/>
  <c r="AX14" i="20"/>
  <c r="BD90" i="20"/>
  <c r="AZ90" i="20"/>
  <c r="AY70" i="20"/>
  <c r="AX72" i="20"/>
  <c r="BK144" i="7"/>
  <c r="BZ48" i="7" l="1"/>
  <c r="BZ49" i="7"/>
  <c r="BZ68" i="7"/>
  <c r="BZ72" i="7" s="1"/>
  <c r="AX21" i="20"/>
  <c r="BK145" i="7"/>
  <c r="BU50" i="7"/>
  <c r="BU72" i="7"/>
  <c r="BP73" i="7"/>
  <c r="BP77" i="7"/>
  <c r="BP76" i="7"/>
  <c r="BP74" i="7"/>
  <c r="BP75" i="7" s="1"/>
  <c r="BL98" i="7"/>
  <c r="BL99" i="7"/>
  <c r="BL100" i="7"/>
  <c r="AX100" i="20"/>
  <c r="AY100" i="20" s="1"/>
  <c r="AY97" i="20"/>
  <c r="AY98" i="20" s="1"/>
  <c r="AY14" i="20"/>
  <c r="AY92" i="20"/>
  <c r="BZ50" i="7" l="1"/>
  <c r="BZ77" i="7"/>
  <c r="BZ74" i="7"/>
  <c r="BZ76" i="7"/>
  <c r="BZ73" i="7"/>
  <c r="BU74" i="7"/>
  <c r="BU73" i="7"/>
  <c r="BU77" i="7"/>
  <c r="BU76" i="7"/>
  <c r="AX38" i="20"/>
  <c r="AY21" i="20"/>
  <c r="BZ75" i="7" l="1"/>
  <c r="BU75" i="7"/>
  <c r="AY38" i="20"/>
  <c r="AX39" i="20"/>
  <c r="AX40" i="20" l="1"/>
  <c r="AY104" i="20"/>
  <c r="AY39" i="20"/>
  <c r="AY106" i="20" l="1"/>
  <c r="AY108" i="20" s="1"/>
  <c r="AY107" i="20"/>
  <c r="AY40" i="20"/>
  <c r="BV27" i="18" l="1"/>
  <c r="BR31" i="18" l="1"/>
  <c r="BV31" i="18"/>
  <c r="BV28" i="18"/>
  <c r="BW27" i="18"/>
  <c r="CB27" i="18" s="1"/>
  <c r="BR52" i="18" l="1"/>
  <c r="BR53" i="18" s="1"/>
  <c r="BW33" i="18"/>
  <c r="BR12" i="7" s="1"/>
  <c r="CB31" i="18"/>
  <c r="CF27" i="18"/>
  <c r="CF31" i="18" s="1"/>
  <c r="BS37" i="18"/>
  <c r="BN11" i="7" s="1"/>
  <c r="BR26" i="18"/>
  <c r="BM9" i="7"/>
  <c r="BR32" i="18"/>
  <c r="BR60" i="18"/>
  <c r="BR159" i="18"/>
  <c r="BR150" i="18"/>
  <c r="BS152" i="18" s="1"/>
  <c r="BR160" i="18"/>
  <c r="BR37" i="18"/>
  <c r="BM11" i="7" s="1"/>
  <c r="BR45" i="18"/>
  <c r="BR47" i="18"/>
  <c r="BW31" i="18"/>
  <c r="CA27" i="18"/>
  <c r="BQ9" i="7"/>
  <c r="BQ25" i="7" s="1"/>
  <c r="BV47" i="18"/>
  <c r="BV124" i="18"/>
  <c r="BV125" i="18" s="1"/>
  <c r="BV159" i="18"/>
  <c r="CA35" i="18"/>
  <c r="BV14" i="7" s="1"/>
  <c r="BV32" i="18"/>
  <c r="BQ10" i="7" s="1"/>
  <c r="BV45" i="18"/>
  <c r="BV130" i="18"/>
  <c r="BV150" i="18"/>
  <c r="BV160" i="18"/>
  <c r="CA33" i="18" l="1"/>
  <c r="BV12" i="7" s="1"/>
  <c r="BR54" i="18"/>
  <c r="BS56" i="18" s="1"/>
  <c r="CF45" i="18"/>
  <c r="CA9" i="7"/>
  <c r="CA25" i="7" s="1"/>
  <c r="CF130" i="18"/>
  <c r="CF47" i="18"/>
  <c r="CF159" i="18"/>
  <c r="CF150" i="18"/>
  <c r="CF160" i="18"/>
  <c r="CF124" i="18"/>
  <c r="CF28" i="18"/>
  <c r="BW9" i="7"/>
  <c r="BW25" i="7" s="1"/>
  <c r="CB45" i="18"/>
  <c r="CB47" i="18"/>
  <c r="CB60" i="18"/>
  <c r="CB32" i="18"/>
  <c r="CB36" i="18" s="1"/>
  <c r="CC37" i="18"/>
  <c r="BX11" i="7" s="1"/>
  <c r="CB160" i="18"/>
  <c r="CB150" i="18"/>
  <c r="CB159" i="18"/>
  <c r="CB37" i="18"/>
  <c r="BW11" i="7" s="1"/>
  <c r="BR181" i="18"/>
  <c r="BR178" i="18"/>
  <c r="BR12" i="18"/>
  <c r="BR13" i="18" s="1"/>
  <c r="BW153" i="18"/>
  <c r="BR28" i="7" s="1"/>
  <c r="BR173" i="18"/>
  <c r="BR170" i="18"/>
  <c r="BW54" i="18"/>
  <c r="CB54" i="18" s="1"/>
  <c r="BM25" i="7"/>
  <c r="BR61" i="18"/>
  <c r="BV60" i="18"/>
  <c r="BR151" i="18"/>
  <c r="BW213" i="18"/>
  <c r="BR152" i="18"/>
  <c r="BM27" i="7" s="1"/>
  <c r="BW224" i="18"/>
  <c r="BN27" i="7"/>
  <c r="BM10" i="7"/>
  <c r="BR36" i="18"/>
  <c r="BR34" i="18"/>
  <c r="BW155" i="18"/>
  <c r="BR30" i="7" s="1"/>
  <c r="BR164" i="18"/>
  <c r="BR163" i="18"/>
  <c r="BR63" i="18"/>
  <c r="BV151" i="18"/>
  <c r="BQ26" i="7" s="1"/>
  <c r="CA213" i="18"/>
  <c r="CA224" i="18"/>
  <c r="BD62" i="20"/>
  <c r="BD61" i="20"/>
  <c r="BQ39" i="7"/>
  <c r="BQ41" i="7"/>
  <c r="BQ96" i="7"/>
  <c r="CA31" i="18"/>
  <c r="CA28" i="18"/>
  <c r="BW60" i="18"/>
  <c r="BW150" i="18"/>
  <c r="BW159" i="18"/>
  <c r="BR9" i="7"/>
  <c r="BR25" i="7" s="1"/>
  <c r="BW37" i="18"/>
  <c r="BR11" i="7" s="1"/>
  <c r="BW47" i="18"/>
  <c r="BW45" i="18"/>
  <c r="BW160" i="18"/>
  <c r="BX37" i="18"/>
  <c r="BS11" i="7" s="1"/>
  <c r="BW32" i="18"/>
  <c r="BR55" i="18" l="1"/>
  <c r="BR56" i="18"/>
  <c r="CC56" i="18"/>
  <c r="CB56" i="18"/>
  <c r="CB52" i="18"/>
  <c r="CB39" i="18" s="1"/>
  <c r="CB61" i="18"/>
  <c r="CF60" i="18"/>
  <c r="BW10" i="7"/>
  <c r="CB34" i="18"/>
  <c r="BW13" i="7" s="1"/>
  <c r="BW15" i="7"/>
  <c r="BJ61" i="20"/>
  <c r="BW41" i="7"/>
  <c r="BW96" i="7"/>
  <c r="BW39" i="7"/>
  <c r="BM62" i="20"/>
  <c r="BZ141" i="7"/>
  <c r="BX141" i="7"/>
  <c r="BL62" i="20"/>
  <c r="BW141" i="7"/>
  <c r="BY141" i="7"/>
  <c r="BJ62" i="20"/>
  <c r="BK62" i="20"/>
  <c r="BN62" i="20"/>
  <c r="CA41" i="7"/>
  <c r="CA96" i="7"/>
  <c r="BN61" i="20"/>
  <c r="CA39" i="7"/>
  <c r="CC152" i="18"/>
  <c r="BX27" i="7" s="1"/>
  <c r="CB152" i="18"/>
  <c r="BW27" i="7" s="1"/>
  <c r="CB213" i="18"/>
  <c r="CB224" i="18"/>
  <c r="CB155" i="18"/>
  <c r="BW30" i="7" s="1"/>
  <c r="CB153" i="18"/>
  <c r="BW28" i="7" s="1"/>
  <c r="CB151" i="18"/>
  <c r="CF35" i="18"/>
  <c r="CA14" i="7" s="1"/>
  <c r="CF32" i="18"/>
  <c r="CA10" i="7" s="1"/>
  <c r="CF33" i="18"/>
  <c r="CA12" i="7" s="1"/>
  <c r="BB62" i="20"/>
  <c r="BW52" i="18"/>
  <c r="BW39" i="18" s="1"/>
  <c r="BW40" i="18" s="1"/>
  <c r="CA153" i="18"/>
  <c r="BV28" i="7" s="1"/>
  <c r="BI135" i="7"/>
  <c r="AZ128" i="20"/>
  <c r="BE128" i="20" s="1"/>
  <c r="BJ128" i="20" s="1"/>
  <c r="BJ127" i="20" s="1"/>
  <c r="BJ28" i="20" s="1"/>
  <c r="AZ123" i="20"/>
  <c r="BV61" i="18"/>
  <c r="BM96" i="7"/>
  <c r="BA62" i="20"/>
  <c r="BM41" i="7"/>
  <c r="BM141" i="7"/>
  <c r="AZ61" i="20"/>
  <c r="BH135" i="7"/>
  <c r="BX56" i="18"/>
  <c r="BW56" i="18"/>
  <c r="BP141" i="7"/>
  <c r="BK135" i="7"/>
  <c r="BO141" i="7"/>
  <c r="BJ135" i="7"/>
  <c r="AZ62" i="20"/>
  <c r="BC62" i="20"/>
  <c r="BN141" i="7"/>
  <c r="BM39" i="7"/>
  <c r="CA155" i="18"/>
  <c r="BV30" i="7" s="1"/>
  <c r="BR40" i="18"/>
  <c r="BM33" i="7"/>
  <c r="BR41" i="18"/>
  <c r="BR42" i="18" s="1"/>
  <c r="BR48" i="18"/>
  <c r="BM26" i="7"/>
  <c r="BR156" i="18"/>
  <c r="BR154" i="18"/>
  <c r="BV34" i="18"/>
  <c r="BQ13" i="7" s="1"/>
  <c r="BM13" i="7"/>
  <c r="BR64" i="18"/>
  <c r="BR62" i="18"/>
  <c r="BR66" i="18"/>
  <c r="BM15" i="7"/>
  <c r="BH62" i="20"/>
  <c r="BE62" i="20"/>
  <c r="BE61" i="20"/>
  <c r="BF62" i="20"/>
  <c r="BG62" i="20"/>
  <c r="BO135" i="7"/>
  <c r="BT141" i="7"/>
  <c r="BP135" i="7"/>
  <c r="BU141" i="7"/>
  <c r="BR39" i="7"/>
  <c r="BR41" i="7"/>
  <c r="BR96" i="7"/>
  <c r="BN135" i="7"/>
  <c r="BS141" i="7"/>
  <c r="BM135" i="7"/>
  <c r="BR141" i="7"/>
  <c r="BV9" i="7"/>
  <c r="BV25" i="7" s="1"/>
  <c r="CA45" i="18"/>
  <c r="CA124" i="18"/>
  <c r="CA150" i="18"/>
  <c r="CA159" i="18"/>
  <c r="CA130" i="18"/>
  <c r="CA160" i="18"/>
  <c r="CA32" i="18"/>
  <c r="BV10" i="7" s="1"/>
  <c r="CA47" i="18"/>
  <c r="BR10" i="7"/>
  <c r="BW34" i="18"/>
  <c r="BW36" i="18"/>
  <c r="BW152" i="18"/>
  <c r="BR27" i="7" s="1"/>
  <c r="BX152" i="18"/>
  <c r="BS27" i="7" s="1"/>
  <c r="BW151" i="18"/>
  <c r="CA60" i="18"/>
  <c r="BW61" i="18"/>
  <c r="CF34" i="18" l="1"/>
  <c r="CA13" i="7" s="1"/>
  <c r="CB164" i="18"/>
  <c r="CB163" i="18"/>
  <c r="CB63" i="18"/>
  <c r="CB64" i="18" s="1"/>
  <c r="BK54" i="20"/>
  <c r="CF36" i="18"/>
  <c r="CA15" i="7" s="1"/>
  <c r="CF61" i="18"/>
  <c r="BR33" i="7"/>
  <c r="BW63" i="18"/>
  <c r="BW62" i="18" s="1"/>
  <c r="BW164" i="18"/>
  <c r="CB53" i="18"/>
  <c r="BW48" i="18"/>
  <c r="BW50" i="18" s="1"/>
  <c r="CB48" i="18"/>
  <c r="CB40" i="18"/>
  <c r="CB41" i="18"/>
  <c r="BW33" i="7"/>
  <c r="BW163" i="18"/>
  <c r="BW41" i="18"/>
  <c r="BW42" i="18" s="1"/>
  <c r="BW53" i="18"/>
  <c r="BW26" i="7"/>
  <c r="CB156" i="18"/>
  <c r="BW31" i="7" s="1"/>
  <c r="CB154" i="18"/>
  <c r="BW29" i="7" s="1"/>
  <c r="CF224" i="18"/>
  <c r="CF213" i="18"/>
  <c r="CF155" i="18"/>
  <c r="CA30" i="7" s="1"/>
  <c r="CF153" i="18"/>
  <c r="CA28" i="7" s="1"/>
  <c r="CF151" i="18"/>
  <c r="CA26" i="7" s="1"/>
  <c r="CA125" i="18"/>
  <c r="CF125" i="18"/>
  <c r="BE127" i="20"/>
  <c r="BE28" i="20" s="1"/>
  <c r="CA151" i="18"/>
  <c r="BV26" i="7" s="1"/>
  <c r="AZ125" i="20"/>
  <c r="AZ124" i="20"/>
  <c r="BE123" i="20"/>
  <c r="BJ123" i="20" s="1"/>
  <c r="BJ124" i="20" s="1"/>
  <c r="BJ12" i="20" s="1"/>
  <c r="BR65" i="18"/>
  <c r="BR49" i="18"/>
  <c r="BR50" i="18"/>
  <c r="BV154" i="18"/>
  <c r="BQ29" i="7" s="1"/>
  <c r="BM29" i="7"/>
  <c r="BM31" i="7"/>
  <c r="BM35" i="7"/>
  <c r="BM43" i="7"/>
  <c r="BM34" i="7"/>
  <c r="BR26" i="7"/>
  <c r="BW154" i="18"/>
  <c r="BW156" i="18"/>
  <c r="BI62" i="20"/>
  <c r="BI61" i="20"/>
  <c r="BV41" i="7"/>
  <c r="BV96" i="7"/>
  <c r="BV39" i="7"/>
  <c r="CA61" i="18"/>
  <c r="BR15" i="7"/>
  <c r="CA36" i="18"/>
  <c r="BV15" i="7" s="1"/>
  <c r="BR13" i="7"/>
  <c r="CA34" i="18"/>
  <c r="BV13" i="7" s="1"/>
  <c r="CB62" i="18" l="1"/>
  <c r="BJ50" i="20"/>
  <c r="BK50" i="20"/>
  <c r="BW66" i="18"/>
  <c r="BF54" i="20"/>
  <c r="BW49" i="18"/>
  <c r="BW34" i="7"/>
  <c r="BR35" i="7"/>
  <c r="BW64" i="18"/>
  <c r="BW65" i="18" s="1"/>
  <c r="BR43" i="7"/>
  <c r="BR34" i="7"/>
  <c r="CB66" i="18"/>
  <c r="CF156" i="18"/>
  <c r="CA31" i="7" s="1"/>
  <c r="BW43" i="7"/>
  <c r="BW35" i="7"/>
  <c r="CB42" i="18"/>
  <c r="CB50" i="18"/>
  <c r="CB49" i="18"/>
  <c r="CF154" i="18"/>
  <c r="CA29" i="7" s="1"/>
  <c r="BE124" i="20"/>
  <c r="BE12" i="20" s="1"/>
  <c r="AZ126" i="20"/>
  <c r="BE125" i="20"/>
  <c r="BJ125" i="20" s="1"/>
  <c r="BJ126" i="20" s="1"/>
  <c r="BJ24" i="20" s="1"/>
  <c r="AZ29" i="20"/>
  <c r="AZ36" i="20" s="1"/>
  <c r="BM47" i="7"/>
  <c r="BM44" i="7"/>
  <c r="BM45" i="7"/>
  <c r="BR31" i="7"/>
  <c r="CA156" i="18"/>
  <c r="BV31" i="7" s="1"/>
  <c r="BR29" i="7"/>
  <c r="CA154" i="18"/>
  <c r="BV29" i="7" s="1"/>
  <c r="BR47" i="7" l="1"/>
  <c r="BR44" i="7"/>
  <c r="BR45" i="7"/>
  <c r="BW44" i="7"/>
  <c r="CB65" i="18"/>
  <c r="BJ29" i="20"/>
  <c r="BK53" i="20"/>
  <c r="BJ53" i="20"/>
  <c r="BW45" i="7"/>
  <c r="BW47" i="7"/>
  <c r="BE126" i="20"/>
  <c r="BE24" i="20" s="1"/>
  <c r="BE50" i="20"/>
  <c r="BF50" i="20"/>
  <c r="BM48" i="7"/>
  <c r="BM68" i="7"/>
  <c r="BM56" i="7"/>
  <c r="BM49" i="7"/>
  <c r="BA129" i="20"/>
  <c r="BE29" i="20" l="1"/>
  <c r="BR49" i="7"/>
  <c r="BS51" i="7" s="1"/>
  <c r="BR48" i="7"/>
  <c r="BR68" i="7"/>
  <c r="BR72" i="7" s="1"/>
  <c r="BK129" i="20"/>
  <c r="BW49" i="7"/>
  <c r="BW68" i="7"/>
  <c r="BW48" i="7"/>
  <c r="BE53" i="20"/>
  <c r="BF53" i="20"/>
  <c r="BM59" i="7"/>
  <c r="BQ83" i="7"/>
  <c r="BM72" i="7"/>
  <c r="BA69" i="20"/>
  <c r="BA89" i="20"/>
  <c r="BN93" i="7"/>
  <c r="BN51" i="7"/>
  <c r="BM50" i="7"/>
  <c r="BM51" i="7"/>
  <c r="BR51" i="7" l="1"/>
  <c r="BW50" i="7"/>
  <c r="BR50" i="7"/>
  <c r="BW72" i="7"/>
  <c r="BW73" i="7" s="1"/>
  <c r="BX51" i="7"/>
  <c r="BW51" i="7"/>
  <c r="BF129" i="20"/>
  <c r="BA70" i="20"/>
  <c r="BM62" i="7"/>
  <c r="BN97" i="7"/>
  <c r="BN94" i="7"/>
  <c r="BM142" i="7"/>
  <c r="BM77" i="7"/>
  <c r="BM74" i="7"/>
  <c r="BI138" i="7"/>
  <c r="BN142" i="7"/>
  <c r="BH138" i="7"/>
  <c r="BM76" i="7"/>
  <c r="BM73" i="7"/>
  <c r="BR73" i="7"/>
  <c r="BR77" i="7"/>
  <c r="BR76" i="7"/>
  <c r="BR74" i="7"/>
  <c r="BW74" i="7" l="1"/>
  <c r="BW75" i="7" s="1"/>
  <c r="BW77" i="7"/>
  <c r="BW76" i="7"/>
  <c r="BM75" i="7"/>
  <c r="BR75" i="7"/>
  <c r="AZ99" i="20"/>
  <c r="BM143" i="7"/>
  <c r="BN143" i="7"/>
  <c r="BA99" i="20"/>
  <c r="BN98" i="7"/>
  <c r="BN100" i="7"/>
  <c r="BN99" i="7"/>
  <c r="BM80" i="7"/>
  <c r="BM63" i="7"/>
  <c r="BM85" i="7" l="1"/>
  <c r="BM64" i="7"/>
  <c r="BM88" i="7" l="1"/>
  <c r="BM90" i="7"/>
  <c r="BN146" i="7"/>
  <c r="BM146" i="7"/>
  <c r="BM86" i="7"/>
  <c r="BH137" i="7" l="1"/>
  <c r="BI137" i="7"/>
  <c r="BM89" i="7"/>
  <c r="BH136" i="7"/>
  <c r="BI136" i="7"/>
  <c r="AZ69" i="20"/>
  <c r="AZ89" i="20"/>
  <c r="AZ91" i="20" s="1"/>
  <c r="BM93" i="7"/>
  <c r="BA90" i="20" l="1"/>
  <c r="AZ70" i="20"/>
  <c r="AZ71" i="20"/>
  <c r="BA71" i="20"/>
  <c r="BM94" i="7"/>
  <c r="BM97" i="7"/>
  <c r="AZ92" i="20" l="1"/>
  <c r="BN144" i="7"/>
  <c r="BA72" i="20"/>
  <c r="AZ72" i="20"/>
  <c r="BM144" i="7"/>
  <c r="BM99" i="7"/>
  <c r="BM98" i="7"/>
  <c r="BM100" i="7"/>
  <c r="AZ97" i="20"/>
  <c r="AZ98" i="20" s="1"/>
  <c r="AZ14" i="20"/>
  <c r="BA91" i="20"/>
  <c r="BN145" i="7" l="1"/>
  <c r="AZ100" i="20"/>
  <c r="BM145" i="7"/>
  <c r="BB90" i="20"/>
  <c r="AZ21" i="20"/>
  <c r="AZ38" i="20" l="1"/>
  <c r="BA92" i="20"/>
  <c r="BA97" i="20"/>
  <c r="BA98" i="20" s="1"/>
  <c r="BA100" i="20" s="1"/>
  <c r="BA14" i="20"/>
  <c r="BA21" i="20" l="1"/>
  <c r="AZ39" i="20"/>
  <c r="AZ40" i="20" l="1"/>
  <c r="BA38" i="20"/>
  <c r="BA39" i="20" l="1"/>
  <c r="BA40" i="20" l="1"/>
  <c r="AX128" i="20" l="1"/>
  <c r="BC128" i="20" s="1"/>
  <c r="BH128" i="20" s="1"/>
  <c r="BM128" i="20" s="1"/>
  <c r="BM127" i="20" s="1"/>
  <c r="BM28" i="20" s="1"/>
  <c r="BH127" i="20" l="1"/>
  <c r="BH28" i="20" s="1"/>
  <c r="BN28" i="20"/>
  <c r="BM29" i="20"/>
  <c r="BC127" i="20"/>
  <c r="BC28" i="20" s="1"/>
  <c r="BH29" i="20" l="1"/>
  <c r="BI28" i="20"/>
  <c r="BN127" i="20"/>
  <c r="BN128" i="20" s="1"/>
  <c r="BN29" i="20"/>
  <c r="BC29" i="20"/>
  <c r="BD28" i="20"/>
  <c r="BJ54" i="20" l="1"/>
  <c r="BI127" i="20"/>
  <c r="BI128" i="20" s="1"/>
  <c r="BI29" i="20"/>
  <c r="BD29" i="20"/>
  <c r="BD127" i="20"/>
  <c r="BD128" i="20" s="1"/>
  <c r="BE54" i="20"/>
  <c r="BJ129" i="20" l="1"/>
  <c r="BE129" i="20"/>
  <c r="BD56" i="20"/>
  <c r="BT39" i="18"/>
  <c r="BT48" i="18" s="1"/>
  <c r="BV52" i="18"/>
  <c r="BY52" i="18"/>
  <c r="BY63" i="18" s="1"/>
  <c r="CA52" i="18"/>
  <c r="BV53" i="18"/>
  <c r="BY53" i="18"/>
  <c r="BV54" i="18"/>
  <c r="BV55" i="18" s="1"/>
  <c r="BY54" i="18"/>
  <c r="BZ56" i="18" s="1"/>
  <c r="CD54" i="18"/>
  <c r="CD52" i="18" s="1"/>
  <c r="BU56" i="18"/>
  <c r="BY56" i="18"/>
  <c r="CD56" i="18"/>
  <c r="CE56" i="18"/>
  <c r="BV63" i="18"/>
  <c r="BT163" i="18"/>
  <c r="BV163" i="18"/>
  <c r="BT164" i="18"/>
  <c r="BV164" i="18"/>
  <c r="BY164" i="18"/>
  <c r="CA164" i="18"/>
  <c r="BV48" i="18" l="1"/>
  <c r="BT49" i="18"/>
  <c r="BT50" i="18"/>
  <c r="BY64" i="18"/>
  <c r="BY65" i="18" s="1"/>
  <c r="BY66" i="18"/>
  <c r="BY62" i="18"/>
  <c r="BT41" i="18"/>
  <c r="BT42" i="18" s="1"/>
  <c r="BV62" i="18"/>
  <c r="BV64" i="18"/>
  <c r="BV65" i="18" s="1"/>
  <c r="BV66" i="18"/>
  <c r="CD164" i="18"/>
  <c r="CF52" i="18"/>
  <c r="CD53" i="18"/>
  <c r="CD63" i="18"/>
  <c r="CD163" i="18"/>
  <c r="BO33" i="7"/>
  <c r="BV39" i="18"/>
  <c r="BT40" i="18"/>
  <c r="CA53" i="18"/>
  <c r="CA54" i="18"/>
  <c r="CA55" i="18" s="1"/>
  <c r="CA63" i="18"/>
  <c r="CA163" i="18"/>
  <c r="CD39" i="18"/>
  <c r="BY39" i="18"/>
  <c r="BY163" i="18"/>
  <c r="BO35" i="7" l="1"/>
  <c r="BQ33" i="7"/>
  <c r="BO34" i="7"/>
  <c r="BO43" i="7"/>
  <c r="CF164" i="18"/>
  <c r="CF53" i="18"/>
  <c r="CF54" i="18"/>
  <c r="CF55" i="18" s="1"/>
  <c r="CF63" i="18"/>
  <c r="CF163" i="18"/>
  <c r="BY33" i="7"/>
  <c r="CF39" i="18"/>
  <c r="CD40" i="18"/>
  <c r="CD41" i="18"/>
  <c r="CD42" i="18" s="1"/>
  <c r="CD48" i="18"/>
  <c r="BT33" i="7"/>
  <c r="BY41" i="18"/>
  <c r="BY42" i="18" s="1"/>
  <c r="BY48" i="18"/>
  <c r="CA39" i="18"/>
  <c r="BY40" i="18"/>
  <c r="CD62" i="18"/>
  <c r="CD64" i="18"/>
  <c r="CD65" i="18" s="1"/>
  <c r="CD66" i="18"/>
  <c r="CA64" i="18"/>
  <c r="CA65" i="18" s="1"/>
  <c r="CA66" i="18"/>
  <c r="CA62" i="18"/>
  <c r="BV41" i="18"/>
  <c r="BV42" i="18" s="1"/>
  <c r="BV40" i="18"/>
  <c r="BV50" i="18"/>
  <c r="BV49" i="18"/>
  <c r="BT34" i="7" l="1"/>
  <c r="BT43" i="7"/>
  <c r="BT35" i="7"/>
  <c r="BV33" i="7"/>
  <c r="CF41" i="18"/>
  <c r="CF40" i="18"/>
  <c r="CA40" i="18"/>
  <c r="CA41" i="18"/>
  <c r="CA42" i="18" s="1"/>
  <c r="CF48" i="18"/>
  <c r="CD49" i="18"/>
  <c r="CD50" i="18"/>
  <c r="BY35" i="7"/>
  <c r="CA33" i="7"/>
  <c r="BY34" i="7"/>
  <c r="BY43" i="7"/>
  <c r="BY50" i="18"/>
  <c r="CA48" i="18"/>
  <c r="BY49" i="18"/>
  <c r="BQ35" i="7"/>
  <c r="BQ34" i="7"/>
  <c r="CF62" i="18"/>
  <c r="CF64" i="18"/>
  <c r="CF65" i="18" s="1"/>
  <c r="CF66" i="18"/>
  <c r="BO44" i="7"/>
  <c r="BO47" i="7"/>
  <c r="BO45" i="7"/>
  <c r="BQ43" i="7"/>
  <c r="BT45" i="7" l="1"/>
  <c r="BV43" i="7"/>
  <c r="BT44" i="7"/>
  <c r="BT47" i="7"/>
  <c r="CA49" i="18"/>
  <c r="CA50" i="18"/>
  <c r="CA35" i="7"/>
  <c r="CA34" i="7"/>
  <c r="CF50" i="18"/>
  <c r="CF49" i="18"/>
  <c r="BV34" i="7"/>
  <c r="BV35" i="7"/>
  <c r="BQ44" i="7"/>
  <c r="BQ47" i="7"/>
  <c r="BQ45" i="7"/>
  <c r="BY44" i="7"/>
  <c r="BY47" i="7"/>
  <c r="BY45" i="7"/>
  <c r="CA43" i="7"/>
  <c r="BO49" i="7"/>
  <c r="BO48" i="7"/>
  <c r="BO68" i="7"/>
  <c r="CF42" i="18"/>
  <c r="BO72" i="7" l="1"/>
  <c r="BQ68" i="7"/>
  <c r="BQ49" i="7"/>
  <c r="BQ50" i="7" s="1"/>
  <c r="BQ48" i="7"/>
  <c r="BV45" i="7"/>
  <c r="BV44" i="7"/>
  <c r="BV47" i="7"/>
  <c r="BY49" i="7"/>
  <c r="BY48" i="7"/>
  <c r="BY68" i="7"/>
  <c r="BO51" i="7"/>
  <c r="BP51" i="7"/>
  <c r="BO50" i="7"/>
  <c r="BT48" i="7"/>
  <c r="BT49" i="7"/>
  <c r="BT68" i="7"/>
  <c r="CA44" i="7"/>
  <c r="CA47" i="7"/>
  <c r="CA45" i="7"/>
  <c r="BV48" i="7" l="1"/>
  <c r="BV49" i="7"/>
  <c r="BV50" i="7" s="1"/>
  <c r="CA49" i="7"/>
  <c r="CA48" i="7"/>
  <c r="BT50" i="7"/>
  <c r="BT51" i="7"/>
  <c r="BU51" i="7"/>
  <c r="BY51" i="7"/>
  <c r="BY50" i="7"/>
  <c r="BZ51" i="7"/>
  <c r="CA68" i="7"/>
  <c r="BY72" i="7"/>
  <c r="BV68" i="7"/>
  <c r="BT72" i="7"/>
  <c r="BQ72" i="7"/>
  <c r="BO73" i="7"/>
  <c r="BO77" i="7"/>
  <c r="BJ138" i="7"/>
  <c r="BR142" i="7"/>
  <c r="BN138" i="7"/>
  <c r="BO76" i="7"/>
  <c r="BK138" i="7"/>
  <c r="BS142" i="7"/>
  <c r="BM138" i="7"/>
  <c r="BO142" i="7"/>
  <c r="BO74" i="7"/>
  <c r="BO75" i="7" s="1"/>
  <c r="BP142" i="7"/>
  <c r="CA50" i="7" l="1"/>
  <c r="BO143" i="7"/>
  <c r="BB99" i="20"/>
  <c r="CA72" i="7"/>
  <c r="BY73" i="7"/>
  <c r="BY77" i="7"/>
  <c r="BZ142" i="7"/>
  <c r="BY74" i="7"/>
  <c r="BY142" i="7"/>
  <c r="BY76" i="7"/>
  <c r="BC99" i="20"/>
  <c r="BD99" i="20" s="1"/>
  <c r="BP143" i="7"/>
  <c r="BF99" i="20"/>
  <c r="BS143" i="7"/>
  <c r="BE99" i="20"/>
  <c r="BR143" i="7"/>
  <c r="BQ74" i="7"/>
  <c r="BQ75" i="7" s="1"/>
  <c r="BQ76" i="7"/>
  <c r="BQ73" i="7"/>
  <c r="BQ77" i="7"/>
  <c r="BT74" i="7"/>
  <c r="BT75" i="7" s="1"/>
  <c r="BT76" i="7"/>
  <c r="BO138" i="7"/>
  <c r="BW142" i="7"/>
  <c r="BT73" i="7"/>
  <c r="BT77" i="7"/>
  <c r="BP138" i="7"/>
  <c r="BX142" i="7"/>
  <c r="BV72" i="7"/>
  <c r="BT142" i="7"/>
  <c r="BU142" i="7"/>
  <c r="BY75" i="7" l="1"/>
  <c r="CA74" i="7"/>
  <c r="CA76" i="7"/>
  <c r="CA73" i="7"/>
  <c r="CA77" i="7"/>
  <c r="BG99" i="20"/>
  <c r="BT143" i="7"/>
  <c r="BM99" i="20"/>
  <c r="BN99" i="20" s="1"/>
  <c r="BZ143" i="7"/>
  <c r="BH99" i="20"/>
  <c r="BI99" i="20" s="1"/>
  <c r="BU143" i="7"/>
  <c r="BV73" i="7"/>
  <c r="BV77" i="7"/>
  <c r="BV74" i="7"/>
  <c r="BV75" i="7" s="1"/>
  <c r="BV76" i="7"/>
  <c r="BK99" i="20"/>
  <c r="BX143" i="7"/>
  <c r="BJ99" i="20"/>
  <c r="BW143" i="7"/>
  <c r="BL99" i="20"/>
  <c r="BY143" i="7"/>
  <c r="CA75" i="7" l="1"/>
  <c r="BB10" i="20"/>
  <c r="BC10" i="20"/>
  <c r="BD10" i="20"/>
  <c r="BE10" i="20"/>
  <c r="BF10" i="20"/>
  <c r="BG10" i="20"/>
  <c r="BH10" i="20"/>
  <c r="BI10" i="20"/>
  <c r="BJ10" i="20"/>
  <c r="BK10" i="20"/>
  <c r="BL10" i="20"/>
  <c r="BM10" i="20"/>
  <c r="BN10" i="20"/>
  <c r="BB12" i="20"/>
  <c r="BG12" i="20"/>
  <c r="BL12" i="20"/>
  <c r="BB14" i="20"/>
  <c r="BC14" i="20"/>
  <c r="BD14" i="20"/>
  <c r="BE14" i="20"/>
  <c r="BF14" i="20"/>
  <c r="BG14" i="20"/>
  <c r="BH14" i="20"/>
  <c r="BI14" i="20"/>
  <c r="BJ14" i="20"/>
  <c r="BK14" i="20"/>
  <c r="BL14" i="20"/>
  <c r="BM14" i="20"/>
  <c r="BN14" i="20"/>
  <c r="BB15" i="20"/>
  <c r="BC15" i="20"/>
  <c r="BD15" i="20"/>
  <c r="BE15" i="20"/>
  <c r="BF15" i="20"/>
  <c r="BG15" i="20"/>
  <c r="BH15" i="20"/>
  <c r="BI15" i="20"/>
  <c r="BJ15" i="20"/>
  <c r="BK15" i="20"/>
  <c r="BL15" i="20"/>
  <c r="BM15" i="20"/>
  <c r="BN15" i="20"/>
  <c r="BB21" i="20"/>
  <c r="BC21" i="20"/>
  <c r="BD21" i="20"/>
  <c r="BE21" i="20"/>
  <c r="BF21" i="20"/>
  <c r="BG21" i="20"/>
  <c r="BH21" i="20"/>
  <c r="BI21" i="20"/>
  <c r="BJ21" i="20"/>
  <c r="BK21" i="20"/>
  <c r="BL21" i="20"/>
  <c r="BM21" i="20"/>
  <c r="BN21" i="20"/>
  <c r="BB24" i="20"/>
  <c r="BG24" i="20"/>
  <c r="BL24" i="20"/>
  <c r="BB28" i="20"/>
  <c r="BG28" i="20"/>
  <c r="BL28" i="20"/>
  <c r="BB29" i="20"/>
  <c r="BG29" i="20"/>
  <c r="BL29" i="20"/>
  <c r="BB31" i="20"/>
  <c r="BC31" i="20"/>
  <c r="BD31" i="20"/>
  <c r="BE31" i="20"/>
  <c r="BF31" i="20"/>
  <c r="BG31" i="20"/>
  <c r="BH31" i="20"/>
  <c r="BI31" i="20"/>
  <c r="BJ31" i="20"/>
  <c r="BK31" i="20"/>
  <c r="BL31" i="20"/>
  <c r="BM31" i="20"/>
  <c r="BN31" i="20"/>
  <c r="BB36" i="20"/>
  <c r="BC36" i="20"/>
  <c r="BD36" i="20"/>
  <c r="BE36" i="20"/>
  <c r="BF36" i="20"/>
  <c r="BG36" i="20"/>
  <c r="BH36" i="20"/>
  <c r="BI36" i="20"/>
  <c r="BJ36" i="20"/>
  <c r="BK36" i="20"/>
  <c r="BL36" i="20"/>
  <c r="BM36" i="20"/>
  <c r="BN36" i="20"/>
  <c r="BB38" i="20"/>
  <c r="BC38" i="20"/>
  <c r="BD38" i="20"/>
  <c r="BE38" i="20"/>
  <c r="BF38" i="20"/>
  <c r="BG38" i="20"/>
  <c r="BH38" i="20"/>
  <c r="BI38" i="20"/>
  <c r="BJ38" i="20"/>
  <c r="BK38" i="20"/>
  <c r="BL38" i="20"/>
  <c r="BM38" i="20"/>
  <c r="BN38" i="20"/>
  <c r="BB39" i="20"/>
  <c r="BC39" i="20"/>
  <c r="BD39" i="20"/>
  <c r="BE39" i="20"/>
  <c r="BF39" i="20"/>
  <c r="BG39" i="20"/>
  <c r="BH39" i="20"/>
  <c r="BI39" i="20"/>
  <c r="BJ39" i="20"/>
  <c r="BK39" i="20"/>
  <c r="BL39" i="20"/>
  <c r="BM39" i="20"/>
  <c r="BN39" i="20"/>
  <c r="BB40" i="20"/>
  <c r="BC40" i="20"/>
  <c r="BD40" i="20"/>
  <c r="BE40" i="20"/>
  <c r="BF40" i="20"/>
  <c r="BG40" i="20"/>
  <c r="BH40" i="20"/>
  <c r="BI40" i="20"/>
  <c r="BJ40" i="20"/>
  <c r="BK40" i="20"/>
  <c r="BL40" i="20"/>
  <c r="BM40" i="20"/>
  <c r="BN40" i="20"/>
  <c r="BB43" i="20"/>
  <c r="BC43" i="20"/>
  <c r="BD43" i="20"/>
  <c r="BE43" i="20"/>
  <c r="BF43" i="20"/>
  <c r="BG43" i="20"/>
  <c r="BH43" i="20"/>
  <c r="BI43" i="20"/>
  <c r="BJ43" i="20"/>
  <c r="BK43" i="20"/>
  <c r="BL43" i="20"/>
  <c r="BM43" i="20"/>
  <c r="BN43" i="20"/>
  <c r="BB50" i="20"/>
  <c r="BC50" i="20"/>
  <c r="BD50" i="20"/>
  <c r="BG50" i="20"/>
  <c r="BH50" i="20"/>
  <c r="BI50" i="20"/>
  <c r="BL50" i="20"/>
  <c r="BM50" i="20"/>
  <c r="BN50" i="20"/>
  <c r="BB53" i="20"/>
  <c r="BC53" i="20"/>
  <c r="BD53" i="20"/>
  <c r="BG53" i="20"/>
  <c r="BH53" i="20"/>
  <c r="BI53" i="20"/>
  <c r="BL53" i="20"/>
  <c r="BM53" i="20"/>
  <c r="BN53" i="20"/>
  <c r="BB54" i="20"/>
  <c r="BC54" i="20"/>
  <c r="BD54" i="20"/>
  <c r="BG54" i="20"/>
  <c r="BH54" i="20"/>
  <c r="BI54" i="20"/>
  <c r="BL54" i="20"/>
  <c r="BM54" i="20"/>
  <c r="BN54" i="20"/>
  <c r="BB57" i="20"/>
  <c r="BC57" i="20"/>
  <c r="BD57" i="20"/>
  <c r="BE57" i="20"/>
  <c r="BF57" i="20"/>
  <c r="BG57" i="20"/>
  <c r="BH57" i="20"/>
  <c r="BI57" i="20"/>
  <c r="BJ57" i="20"/>
  <c r="BK57" i="20"/>
  <c r="BL57" i="20"/>
  <c r="BM57" i="20"/>
  <c r="BN57" i="20"/>
  <c r="BB69" i="20"/>
  <c r="BC69" i="20"/>
  <c r="BD69" i="20"/>
  <c r="BE69" i="20"/>
  <c r="BF69" i="20"/>
  <c r="BG69" i="20"/>
  <c r="BH69" i="20"/>
  <c r="BI69" i="20"/>
  <c r="BJ69" i="20"/>
  <c r="BK69" i="20"/>
  <c r="BL69" i="20"/>
  <c r="BM69" i="20"/>
  <c r="BN69" i="20"/>
  <c r="BB70" i="20"/>
  <c r="BC70" i="20"/>
  <c r="BD70" i="20"/>
  <c r="BE70" i="20"/>
  <c r="BF70" i="20"/>
  <c r="BG70" i="20"/>
  <c r="BH70" i="20"/>
  <c r="BI70" i="20"/>
  <c r="BJ70" i="20"/>
  <c r="BK70" i="20"/>
  <c r="BL70" i="20"/>
  <c r="BM70" i="20"/>
  <c r="BN70" i="20"/>
  <c r="BB71" i="20"/>
  <c r="BC71" i="20"/>
  <c r="BD71" i="20"/>
  <c r="BE71" i="20"/>
  <c r="BF71" i="20"/>
  <c r="BG71" i="20"/>
  <c r="BH71" i="20"/>
  <c r="BI71" i="20"/>
  <c r="BJ71" i="20"/>
  <c r="BK71" i="20"/>
  <c r="BL71" i="20"/>
  <c r="BM71" i="20"/>
  <c r="BN71" i="20"/>
  <c r="BB72" i="20"/>
  <c r="BC72" i="20"/>
  <c r="BD72" i="20"/>
  <c r="BE72" i="20"/>
  <c r="BF72" i="20"/>
  <c r="BG72" i="20"/>
  <c r="BH72" i="20"/>
  <c r="BI72" i="20"/>
  <c r="BJ72" i="20"/>
  <c r="BK72" i="20"/>
  <c r="BL72" i="20"/>
  <c r="BM72" i="20"/>
  <c r="BN72" i="20"/>
  <c r="BB89" i="20"/>
  <c r="BC89" i="20"/>
  <c r="BD89" i="20"/>
  <c r="BE89" i="20"/>
  <c r="BF89" i="20"/>
  <c r="BG89" i="20"/>
  <c r="BH89" i="20"/>
  <c r="BI89" i="20"/>
  <c r="BJ89" i="20"/>
  <c r="BK89" i="20"/>
  <c r="BL89" i="20"/>
  <c r="BM89" i="20"/>
  <c r="BN89" i="20"/>
  <c r="BC90" i="20"/>
  <c r="BE90" i="20"/>
  <c r="BF90" i="20"/>
  <c r="BG90" i="20"/>
  <c r="BH90" i="20"/>
  <c r="BI90" i="20"/>
  <c r="BJ90" i="20"/>
  <c r="BK90" i="20"/>
  <c r="BL90" i="20"/>
  <c r="BM90" i="20"/>
  <c r="BN90" i="20"/>
  <c r="BB91" i="20"/>
  <c r="BC91" i="20"/>
  <c r="BD91" i="20"/>
  <c r="BE91" i="20"/>
  <c r="BF91" i="20"/>
  <c r="BG91" i="20"/>
  <c r="BH91" i="20"/>
  <c r="BI91" i="20"/>
  <c r="BJ91" i="20"/>
  <c r="BK91" i="20"/>
  <c r="BL91" i="20"/>
  <c r="BM91" i="20"/>
  <c r="BN91" i="20"/>
  <c r="BB92" i="20"/>
  <c r="BC92" i="20"/>
  <c r="BD92" i="20"/>
  <c r="BE92" i="20"/>
  <c r="BF92" i="20"/>
  <c r="BG92" i="20"/>
  <c r="BH92" i="20"/>
  <c r="BI92" i="20"/>
  <c r="BJ92" i="20"/>
  <c r="BK92" i="20"/>
  <c r="BL92" i="20"/>
  <c r="BM92" i="20"/>
  <c r="BN92" i="20"/>
  <c r="BB96" i="20"/>
  <c r="BC96" i="20"/>
  <c r="BD96" i="20"/>
  <c r="BE96" i="20"/>
  <c r="BF96" i="20"/>
  <c r="BG96" i="20"/>
  <c r="BH96" i="20"/>
  <c r="BI96" i="20"/>
  <c r="BJ96" i="20"/>
  <c r="BK96" i="20"/>
  <c r="BL96" i="20"/>
  <c r="BM96" i="20"/>
  <c r="BN96" i="20"/>
  <c r="BB97" i="20"/>
  <c r="BC97" i="20"/>
  <c r="BD97" i="20"/>
  <c r="BE97" i="20"/>
  <c r="BF97" i="20"/>
  <c r="BG97" i="20"/>
  <c r="BH97" i="20"/>
  <c r="BI97" i="20"/>
  <c r="BJ97" i="20"/>
  <c r="BK97" i="20"/>
  <c r="BL97" i="20"/>
  <c r="BM97" i="20"/>
  <c r="BN97" i="20"/>
  <c r="BB98" i="20"/>
  <c r="BC98" i="20"/>
  <c r="BD98" i="20"/>
  <c r="BE98" i="20"/>
  <c r="BF98" i="20"/>
  <c r="BG98" i="20"/>
  <c r="BH98" i="20"/>
  <c r="BI98" i="20"/>
  <c r="BJ98" i="20"/>
  <c r="BK98" i="20"/>
  <c r="BL98" i="20"/>
  <c r="BM98" i="20"/>
  <c r="BN98" i="20"/>
  <c r="BB100" i="20"/>
  <c r="BC100" i="20"/>
  <c r="BD100" i="20"/>
  <c r="BE100" i="20"/>
  <c r="BF100" i="20"/>
  <c r="BG100" i="20"/>
  <c r="BH100" i="20"/>
  <c r="BI100" i="20"/>
  <c r="BJ100" i="20"/>
  <c r="BK100" i="20"/>
  <c r="BL100" i="20"/>
  <c r="BM100" i="20"/>
  <c r="BN100" i="20"/>
  <c r="BD103" i="20"/>
  <c r="BI103" i="20"/>
  <c r="BN103" i="20"/>
  <c r="BD104" i="20"/>
  <c r="BI104" i="20"/>
  <c r="BN104" i="20"/>
  <c r="BD106" i="20"/>
  <c r="BI106" i="20"/>
  <c r="BN106" i="20"/>
  <c r="BD107" i="20"/>
  <c r="BI107" i="20"/>
  <c r="BN107" i="20"/>
  <c r="BD108" i="20"/>
  <c r="BI108" i="20"/>
  <c r="BN108" i="20"/>
  <c r="BC111" i="20"/>
  <c r="BE111" i="20"/>
  <c r="BF111" i="20"/>
  <c r="BG111" i="20"/>
  <c r="BH111" i="20"/>
  <c r="BJ111" i="20"/>
  <c r="BK111" i="20"/>
  <c r="BL111" i="20"/>
  <c r="BM111" i="20"/>
  <c r="BB114" i="20"/>
  <c r="BC114" i="20"/>
  <c r="BE114" i="20"/>
  <c r="BF114" i="20"/>
  <c r="BG114" i="20"/>
  <c r="BH114" i="20"/>
  <c r="BJ114" i="20"/>
  <c r="BK114" i="20"/>
  <c r="BL114" i="20"/>
  <c r="BM114" i="20"/>
  <c r="BB123" i="20"/>
  <c r="BG123" i="20"/>
  <c r="BL123" i="20"/>
  <c r="BB124" i="20"/>
  <c r="BG124" i="20"/>
  <c r="BL124" i="20"/>
  <c r="BB125" i="20"/>
  <c r="BG125" i="20"/>
  <c r="BL125" i="20"/>
  <c r="BB126" i="20"/>
  <c r="BG126" i="20"/>
  <c r="BL126" i="20"/>
  <c r="BB127" i="20"/>
  <c r="BG127" i="20"/>
  <c r="BL127" i="20"/>
  <c r="BB128" i="20"/>
  <c r="BG128" i="20"/>
  <c r="BL128" i="20"/>
  <c r="BB129" i="20"/>
  <c r="BC129" i="20"/>
  <c r="BD129" i="20"/>
  <c r="BG129" i="20"/>
  <c r="BH129" i="20"/>
  <c r="BI129" i="20"/>
  <c r="BL129" i="20"/>
  <c r="BM129" i="20"/>
  <c r="BN129" i="20"/>
  <c r="BC132" i="20"/>
  <c r="BE132" i="20"/>
  <c r="BF132" i="20"/>
  <c r="BG132" i="20"/>
  <c r="BH132" i="20"/>
  <c r="BJ132" i="20"/>
  <c r="BK132" i="20"/>
  <c r="BL132" i="20"/>
  <c r="BM132" i="20"/>
  <c r="BB134" i="20"/>
  <c r="BB135" i="20"/>
  <c r="BC135" i="20"/>
  <c r="BE135" i="20"/>
  <c r="BF135" i="20"/>
  <c r="BG135" i="20"/>
  <c r="BH135" i="20"/>
  <c r="BJ135" i="20"/>
  <c r="BK135" i="20"/>
  <c r="BL135" i="20"/>
  <c r="BM135" i="20"/>
  <c r="BB136" i="20"/>
  <c r="BC136" i="20"/>
  <c r="BE136" i="20"/>
  <c r="BF136" i="20"/>
  <c r="BG136" i="20"/>
  <c r="BH136" i="20"/>
  <c r="BJ136" i="20"/>
  <c r="BK136" i="20"/>
  <c r="BL136" i="20"/>
  <c r="BM136" i="20"/>
  <c r="BB137" i="20"/>
  <c r="BC137" i="20"/>
  <c r="BE137" i="20"/>
  <c r="BF137" i="20"/>
  <c r="BG137" i="20"/>
  <c r="BH137" i="20"/>
  <c r="BJ137" i="20"/>
  <c r="BK137" i="20"/>
  <c r="BL137" i="20"/>
  <c r="BM137" i="20"/>
  <c r="BB138" i="20"/>
  <c r="BC138" i="20"/>
  <c r="BD138" i="20"/>
  <c r="BE138" i="20"/>
  <c r="BF138" i="20"/>
  <c r="BG138" i="20"/>
  <c r="BH138" i="20"/>
  <c r="BI138" i="20"/>
  <c r="BJ138" i="20"/>
  <c r="BK138" i="20"/>
  <c r="BL138" i="20"/>
  <c r="BM138" i="20"/>
  <c r="BN138" i="20"/>
  <c r="BO14" i="7"/>
  <c r="BQ14" i="7"/>
  <c r="BO15" i="7"/>
  <c r="BQ15" i="7"/>
  <c r="BO30" i="7"/>
  <c r="BQ30" i="7"/>
  <c r="BO31" i="7"/>
  <c r="BQ31" i="7"/>
  <c r="BO54" i="7"/>
  <c r="BP54" i="7"/>
  <c r="BQ54" i="7"/>
  <c r="BR54" i="7"/>
  <c r="BS54" i="7"/>
  <c r="BT54" i="7"/>
  <c r="BU54" i="7"/>
  <c r="BV54" i="7"/>
  <c r="BW54" i="7"/>
  <c r="BX54" i="7"/>
  <c r="BY54" i="7"/>
  <c r="BZ54" i="7"/>
  <c r="CA54" i="7"/>
  <c r="BO56" i="7"/>
  <c r="BP56" i="7"/>
  <c r="BQ56" i="7"/>
  <c r="BR56" i="7"/>
  <c r="BS56" i="7"/>
  <c r="BT56" i="7"/>
  <c r="BU56" i="7"/>
  <c r="BV56" i="7"/>
  <c r="BW56" i="7"/>
  <c r="BX56" i="7"/>
  <c r="BY56" i="7"/>
  <c r="BZ56" i="7"/>
  <c r="CA56" i="7"/>
  <c r="BO58" i="7"/>
  <c r="BP58" i="7"/>
  <c r="BQ58" i="7"/>
  <c r="BR58" i="7"/>
  <c r="BS58" i="7"/>
  <c r="BT58" i="7"/>
  <c r="BU58" i="7"/>
  <c r="BV58" i="7"/>
  <c r="BW58" i="7"/>
  <c r="BX58" i="7"/>
  <c r="BY58" i="7"/>
  <c r="BZ58" i="7"/>
  <c r="CA58" i="7"/>
  <c r="BQ59" i="7"/>
  <c r="BV59" i="7"/>
  <c r="CA59" i="7"/>
  <c r="BO62" i="7"/>
  <c r="BP62" i="7"/>
  <c r="BQ62" i="7"/>
  <c r="BR62" i="7"/>
  <c r="BS62" i="7"/>
  <c r="BT62" i="7"/>
  <c r="BU62" i="7"/>
  <c r="BV62" i="7"/>
  <c r="BW62" i="7"/>
  <c r="BX62" i="7"/>
  <c r="BY62" i="7"/>
  <c r="BZ62" i="7"/>
  <c r="CA62" i="7"/>
  <c r="BO63" i="7"/>
  <c r="BP63" i="7"/>
  <c r="BQ63" i="7"/>
  <c r="BR63" i="7"/>
  <c r="BS63" i="7"/>
  <c r="BT63" i="7"/>
  <c r="BU63" i="7"/>
  <c r="BV63" i="7"/>
  <c r="BW63" i="7"/>
  <c r="BX63" i="7"/>
  <c r="BY63" i="7"/>
  <c r="BZ63" i="7"/>
  <c r="CA63" i="7"/>
  <c r="BO64" i="7"/>
  <c r="BP64" i="7"/>
  <c r="BQ64" i="7"/>
  <c r="BR64" i="7"/>
  <c r="BS64" i="7"/>
  <c r="BT64" i="7"/>
  <c r="BU64" i="7"/>
  <c r="BV64" i="7"/>
  <c r="BW64" i="7"/>
  <c r="BX64" i="7"/>
  <c r="BY64" i="7"/>
  <c r="BZ64" i="7"/>
  <c r="CA64" i="7"/>
  <c r="BO80" i="7"/>
  <c r="BP80" i="7"/>
  <c r="BQ80" i="7"/>
  <c r="BR80" i="7"/>
  <c r="BS80" i="7"/>
  <c r="BT80" i="7"/>
  <c r="BU80" i="7"/>
  <c r="BV80" i="7"/>
  <c r="BW80" i="7"/>
  <c r="BX80" i="7"/>
  <c r="BY80" i="7"/>
  <c r="BZ80" i="7"/>
  <c r="CA80" i="7"/>
  <c r="BO85" i="7"/>
  <c r="BP85" i="7"/>
  <c r="BQ85" i="7"/>
  <c r="BR85" i="7"/>
  <c r="BS85" i="7"/>
  <c r="BT85" i="7"/>
  <c r="BU85" i="7"/>
  <c r="BV85" i="7"/>
  <c r="BW85" i="7"/>
  <c r="BX85" i="7"/>
  <c r="BY85" i="7"/>
  <c r="BZ85" i="7"/>
  <c r="CA85" i="7"/>
  <c r="BO86" i="7"/>
  <c r="BP86" i="7"/>
  <c r="BQ86" i="7"/>
  <c r="BR86" i="7"/>
  <c r="BS86" i="7"/>
  <c r="BT86" i="7"/>
  <c r="BU86" i="7"/>
  <c r="BV86" i="7"/>
  <c r="BW86" i="7"/>
  <c r="BX86" i="7"/>
  <c r="BY86" i="7"/>
  <c r="BZ86" i="7"/>
  <c r="CA86" i="7"/>
  <c r="BO88" i="7"/>
  <c r="BP88" i="7"/>
  <c r="BQ88" i="7"/>
  <c r="BR88" i="7"/>
  <c r="BS88" i="7"/>
  <c r="BT88" i="7"/>
  <c r="BU88" i="7"/>
  <c r="BV88" i="7"/>
  <c r="BW88" i="7"/>
  <c r="BX88" i="7"/>
  <c r="BY88" i="7"/>
  <c r="BZ88" i="7"/>
  <c r="CA88" i="7"/>
  <c r="BO89" i="7"/>
  <c r="BP89" i="7"/>
  <c r="BQ89" i="7"/>
  <c r="BR89" i="7"/>
  <c r="BS89" i="7"/>
  <c r="BT89" i="7"/>
  <c r="BU89" i="7"/>
  <c r="BV89" i="7"/>
  <c r="BW89" i="7"/>
  <c r="BX89" i="7"/>
  <c r="BY89" i="7"/>
  <c r="BZ89" i="7"/>
  <c r="CA89" i="7"/>
  <c r="BO90" i="7"/>
  <c r="BP90" i="7"/>
  <c r="BQ90" i="7"/>
  <c r="BR90" i="7"/>
  <c r="BS90" i="7"/>
  <c r="BT90" i="7"/>
  <c r="BU90" i="7"/>
  <c r="BV90" i="7"/>
  <c r="BW90" i="7"/>
  <c r="BX90" i="7"/>
  <c r="BY90" i="7"/>
  <c r="BZ90" i="7"/>
  <c r="CA90" i="7"/>
  <c r="BO93" i="7"/>
  <c r="BP93" i="7"/>
  <c r="BQ93" i="7"/>
  <c r="BR93" i="7"/>
  <c r="BS93" i="7"/>
  <c r="BT93" i="7"/>
  <c r="BU93" i="7"/>
  <c r="BV93" i="7"/>
  <c r="BW93" i="7"/>
  <c r="BX93" i="7"/>
  <c r="BY93" i="7"/>
  <c r="BZ93" i="7"/>
  <c r="CA93" i="7"/>
  <c r="BO94" i="7"/>
  <c r="BP94" i="7"/>
  <c r="BQ94" i="7"/>
  <c r="BR94" i="7"/>
  <c r="BS94" i="7"/>
  <c r="BT94" i="7"/>
  <c r="BU94" i="7"/>
  <c r="BV94" i="7"/>
  <c r="BW94" i="7"/>
  <c r="BX94" i="7"/>
  <c r="BY94" i="7"/>
  <c r="BZ94" i="7"/>
  <c r="CA94" i="7"/>
  <c r="BO97" i="7"/>
  <c r="BP97" i="7"/>
  <c r="BQ97" i="7"/>
  <c r="BR97" i="7"/>
  <c r="BS97" i="7"/>
  <c r="BT97" i="7"/>
  <c r="BU97" i="7"/>
  <c r="BV97" i="7"/>
  <c r="BW97" i="7"/>
  <c r="BX97" i="7"/>
  <c r="BY97" i="7"/>
  <c r="BZ97" i="7"/>
  <c r="CA97" i="7"/>
  <c r="BO98" i="7"/>
  <c r="BP98" i="7"/>
  <c r="BQ98" i="7"/>
  <c r="BR98" i="7"/>
  <c r="BS98" i="7"/>
  <c r="BT98" i="7"/>
  <c r="BU98" i="7"/>
  <c r="BV98" i="7"/>
  <c r="BW98" i="7"/>
  <c r="BX98" i="7"/>
  <c r="BY98" i="7"/>
  <c r="BZ98" i="7"/>
  <c r="CA98" i="7"/>
  <c r="BO99" i="7"/>
  <c r="BP99" i="7"/>
  <c r="BQ99" i="7"/>
  <c r="BR99" i="7"/>
  <c r="BS99" i="7"/>
  <c r="BT99" i="7"/>
  <c r="BU99" i="7"/>
  <c r="BV99" i="7"/>
  <c r="BW99" i="7"/>
  <c r="BX99" i="7"/>
  <c r="BY99" i="7"/>
  <c r="BZ99" i="7"/>
  <c r="CA99" i="7"/>
  <c r="BO100" i="7"/>
  <c r="BP100" i="7"/>
  <c r="BQ100" i="7"/>
  <c r="BR100" i="7"/>
  <c r="BS100" i="7"/>
  <c r="BT100" i="7"/>
  <c r="BU100" i="7"/>
  <c r="BV100" i="7"/>
  <c r="BW100" i="7"/>
  <c r="BX100" i="7"/>
  <c r="BY100" i="7"/>
  <c r="BZ100" i="7"/>
  <c r="CA100" i="7"/>
  <c r="BJ136" i="7"/>
  <c r="BK136" i="7"/>
  <c r="BM136" i="7"/>
  <c r="BN136" i="7"/>
  <c r="BO136" i="7"/>
  <c r="BP136" i="7"/>
  <c r="BJ137" i="7"/>
  <c r="BK137" i="7"/>
  <c r="BM137" i="7"/>
  <c r="BN137" i="7"/>
  <c r="BO137" i="7"/>
  <c r="BP137" i="7"/>
  <c r="BO144" i="7"/>
  <c r="BP144" i="7"/>
  <c r="BR144" i="7"/>
  <c r="BS144" i="7"/>
  <c r="BT144" i="7"/>
  <c r="BU144" i="7"/>
  <c r="BW144" i="7"/>
  <c r="BX144" i="7"/>
  <c r="BY144" i="7"/>
  <c r="BZ144" i="7"/>
  <c r="BO145" i="7"/>
  <c r="BP145" i="7"/>
  <c r="BR145" i="7"/>
  <c r="BS145" i="7"/>
  <c r="BT145" i="7"/>
  <c r="BU145" i="7"/>
  <c r="BW145" i="7"/>
  <c r="BX145" i="7"/>
  <c r="BY145" i="7"/>
  <c r="BZ145" i="7"/>
  <c r="BO146" i="7"/>
  <c r="BP146" i="7"/>
  <c r="BQ146" i="7"/>
  <c r="BR146" i="7"/>
  <c r="BS146" i="7"/>
  <c r="BT146" i="7"/>
  <c r="BU146" i="7"/>
  <c r="BV146" i="7"/>
  <c r="BW146" i="7"/>
  <c r="BX146" i="7"/>
  <c r="BY146" i="7"/>
  <c r="BZ146" i="7"/>
  <c r="CA146" i="7"/>
  <c r="BT35" i="18"/>
  <c r="BV35" i="18"/>
  <c r="BT36" i="18"/>
  <c r="BV36" i="18"/>
  <c r="BT155" i="18"/>
  <c r="BV155" i="18"/>
  <c r="BT156" i="18"/>
  <c r="BV156" i="18"/>
  <c r="BT246" i="18"/>
  <c r="BT247"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<sst xmlns="http://schemas.openxmlformats.org/spreadsheetml/2006/main" count="1117" uniqueCount="528">
  <si>
    <t>14Y</t>
  </si>
  <si>
    <t>CQ1</t>
  </si>
  <si>
    <t>CQ2</t>
  </si>
  <si>
    <t>CQ3</t>
  </si>
  <si>
    <t>CQ4</t>
  </si>
  <si>
    <t>15Y</t>
  </si>
  <si>
    <t>16Y</t>
  </si>
  <si>
    <t>17Y</t>
  </si>
  <si>
    <t>Quarterly &amp; Annual Earnings Model</t>
  </si>
  <si>
    <t>($ in Millions, except per share data)</t>
  </si>
  <si>
    <t>2015A</t>
  </si>
  <si>
    <t>2016A</t>
  </si>
  <si>
    <t>2017A</t>
  </si>
  <si>
    <t>2013A</t>
  </si>
  <si>
    <t>2014A</t>
  </si>
  <si>
    <t>1Q16A</t>
  </si>
  <si>
    <t>2Q16A</t>
  </si>
  <si>
    <t>3Q16A</t>
  </si>
  <si>
    <t>4Q16A</t>
  </si>
  <si>
    <t>1Q17A</t>
  </si>
  <si>
    <t>2Q17A</t>
  </si>
  <si>
    <t>3Q17A</t>
  </si>
  <si>
    <t>4Q17A</t>
  </si>
  <si>
    <t>1Q18A</t>
  </si>
  <si>
    <t>Reported growth % y/y</t>
  </si>
  <si>
    <t>M&amp;A impact % y/y</t>
  </si>
  <si>
    <t>% total revenue</t>
  </si>
  <si>
    <t>FX impact % y/y</t>
  </si>
  <si>
    <t>Organic constant currency growth % y/y</t>
  </si>
  <si>
    <t>TOTAL revenue</t>
  </si>
  <si>
    <t>% revenue</t>
  </si>
  <si>
    <t>% margin</t>
  </si>
  <si>
    <t>Interest expense, net</t>
  </si>
  <si>
    <t>Weighted average shares outstanding (diluted)</t>
  </si>
  <si>
    <t>y/y margin change bps</t>
  </si>
  <si>
    <t>y/y growth %</t>
  </si>
  <si>
    <t>Free cash flow</t>
  </si>
  <si>
    <t>Other</t>
  </si>
  <si>
    <t>Cash from operations</t>
  </si>
  <si>
    <t>Capex</t>
  </si>
  <si>
    <t>Free cash flow (CFO - capex)</t>
  </si>
  <si>
    <t>FCF per share</t>
  </si>
  <si>
    <t>% EBITDA</t>
  </si>
  <si>
    <t>% growth (y/y)</t>
  </si>
  <si>
    <t>D&amp;A</t>
  </si>
  <si>
    <t>18Y</t>
  </si>
  <si>
    <t>19Y</t>
  </si>
  <si>
    <t>20Y</t>
  </si>
  <si>
    <t>2Q18A</t>
  </si>
  <si>
    <t>Notes</t>
  </si>
  <si>
    <t>Diluted EPS</t>
  </si>
  <si>
    <t>Management guidance (annual)</t>
  </si>
  <si>
    <t>3Q18A</t>
  </si>
  <si>
    <t>2018A</t>
  </si>
  <si>
    <t>Segments</t>
  </si>
  <si>
    <t>RATINGS REVENUE</t>
  </si>
  <si>
    <t>% y/y</t>
  </si>
  <si>
    <t>Transaction</t>
  </si>
  <si>
    <t>TOTAL REVENUE</t>
  </si>
  <si>
    <t>% segment revenue</t>
  </si>
  <si>
    <t>margin y/y (bps)</t>
  </si>
  <si>
    <t>margin sequential (bps)</t>
  </si>
  <si>
    <t>% growth y/y</t>
  </si>
  <si>
    <t>Non-controlling interests</t>
  </si>
  <si>
    <t>Organic growth % y/y</t>
  </si>
  <si>
    <t>Balance sheet &amp; cash flow statement</t>
  </si>
  <si>
    <t>BALANCE SHEET</t>
  </si>
  <si>
    <t>Assets</t>
  </si>
  <si>
    <t>Cash, cash equivalents, and restricted cash</t>
  </si>
  <si>
    <t>Other current assets</t>
  </si>
  <si>
    <t>Total current assets</t>
  </si>
  <si>
    <t>Property and equipment, net</t>
  </si>
  <si>
    <t>Other non-current assets</t>
  </si>
  <si>
    <t>Total assets</t>
  </si>
  <si>
    <t>Liabilities and Equity:</t>
  </si>
  <si>
    <t>Long-term debt</t>
  </si>
  <si>
    <t>Total liabilities</t>
  </si>
  <si>
    <t>Total equity</t>
  </si>
  <si>
    <t>Total liabilities and equity</t>
  </si>
  <si>
    <t>CASH FLOW STATEMENT</t>
  </si>
  <si>
    <t>Net income</t>
  </si>
  <si>
    <t>Stock-based compensation</t>
  </si>
  <si>
    <t>Cash provided by operating activities</t>
  </si>
  <si>
    <t>Capital expenditures</t>
  </si>
  <si>
    <t>Acquisitions, net of cash acquired</t>
  </si>
  <si>
    <t>Proceeds from dispositions</t>
  </si>
  <si>
    <t>Cash used for investing activities</t>
  </si>
  <si>
    <t>Operating</t>
  </si>
  <si>
    <t>Investing</t>
  </si>
  <si>
    <t>Cash used for financing activities</t>
  </si>
  <si>
    <t>Financing</t>
  </si>
  <si>
    <t>Effect of exchange rate changes on cash</t>
  </si>
  <si>
    <t>Cash at beginning of period</t>
  </si>
  <si>
    <t>Cash at end of period</t>
  </si>
  <si>
    <t>Net change in cash</t>
  </si>
  <si>
    <t>4Q18A</t>
  </si>
  <si>
    <t>Deferred income taxes</t>
  </si>
  <si>
    <t>MOODY'S ANALYTICS</t>
  </si>
  <si>
    <t>Research, Data &amp; Analytics (RD&amp;A)</t>
  </si>
  <si>
    <t>Enterprise Risk Solutions</t>
  </si>
  <si>
    <t>Professional Services</t>
  </si>
  <si>
    <t>MOODY'S ANALYTICS REVENUE</t>
  </si>
  <si>
    <t>Adj. operating profit - MOODY'S ANALYTICS</t>
  </si>
  <si>
    <t>MOODY'S INVESTOR SERVICE (MIS, RATINGS)</t>
  </si>
  <si>
    <t>2012A</t>
  </si>
  <si>
    <t>1Q12A</t>
  </si>
  <si>
    <t>2Q12A</t>
  </si>
  <si>
    <t>3Q12A</t>
  </si>
  <si>
    <t>4Q12A</t>
  </si>
  <si>
    <t>1Q13A</t>
  </si>
  <si>
    <t>2Q13A</t>
  </si>
  <si>
    <t>3Q13A</t>
  </si>
  <si>
    <t>4Q13A</t>
  </si>
  <si>
    <t>1Q14A</t>
  </si>
  <si>
    <t>2Q14A</t>
  </si>
  <si>
    <t>3Q14A</t>
  </si>
  <si>
    <t>4Q14A</t>
  </si>
  <si>
    <t>1Q15A</t>
  </si>
  <si>
    <t>2Q15A</t>
  </si>
  <si>
    <t>3Q15A</t>
  </si>
  <si>
    <t>4Q15A</t>
  </si>
  <si>
    <t xml:space="preserve">MIS transaction revenue: represents the initial rating of a new debt issuance as well as other one-time fees </t>
  </si>
  <si>
    <t>MIS subscription revenue: relationship revenue represents the recurring monitoring of a rated debt obligation and/or entities that issue such obligations, as well as revenue from programs such as commercial paper, medium-term notes and shelf registrations</t>
  </si>
  <si>
    <t>MA transaction revenue: represents software license fees and revenue from risk management advisory projects, training and certification services, and outsourced research and analytical engagements</t>
  </si>
  <si>
    <t>MA subscription revenue: represents subscription-based revenues and software maintenance revenue</t>
  </si>
  <si>
    <t>Geographic revenue mix</t>
  </si>
  <si>
    <t>Growth % y/y</t>
  </si>
  <si>
    <t>Total operating expenses</t>
  </si>
  <si>
    <t>M&amp;A/Restructuring/Other</t>
  </si>
  <si>
    <t>Income before taxes</t>
  </si>
  <si>
    <t>Provision for income tax</t>
  </si>
  <si>
    <t>GAAP tax rate</t>
  </si>
  <si>
    <t>Total operating income (GAAP)</t>
  </si>
  <si>
    <t>Adj. net income</t>
  </si>
  <si>
    <t>Acquisition related expenses, net</t>
  </si>
  <si>
    <t>Acquisition related intangible amortization, net</t>
  </si>
  <si>
    <t>Restructuring, net</t>
  </si>
  <si>
    <t>Adj. operating income - MOODY'S INVESTOR SERVICE</t>
  </si>
  <si>
    <t>Intercompany revenue</t>
  </si>
  <si>
    <t>Other income, net</t>
  </si>
  <si>
    <t>Other revenue statistics</t>
  </si>
  <si>
    <t>Total operating expenses - MOODY'S INVESTOR SERVICE</t>
  </si>
  <si>
    <t>Total operating expenses - MOODY'S ANALYTICS</t>
  </si>
  <si>
    <t>MOODY'S INVESTOR SERVICE (RATINGS)</t>
  </si>
  <si>
    <t>Subscription revenue mix</t>
  </si>
  <si>
    <t>Total transaction revenues</t>
  </si>
  <si>
    <t>Revenue</t>
  </si>
  <si>
    <t>Operating margin</t>
  </si>
  <si>
    <t>Effective tax rate</t>
  </si>
  <si>
    <t>Adjusted diluted EPS</t>
  </si>
  <si>
    <t>Moody's Investor Service (MIS)</t>
  </si>
  <si>
    <t>MIS global</t>
  </si>
  <si>
    <t>MIS US</t>
  </si>
  <si>
    <t>MIS non-US</t>
  </si>
  <si>
    <t>MIS adjusted operating margin</t>
  </si>
  <si>
    <t>Moody's Analytics (MA)</t>
  </si>
  <si>
    <t>MA global</t>
  </si>
  <si>
    <t>MA US</t>
  </si>
  <si>
    <t>MA non-US</t>
  </si>
  <si>
    <t>MA adjusted operating margin</t>
  </si>
  <si>
    <t>MIS</t>
  </si>
  <si>
    <t>MA</t>
  </si>
  <si>
    <t>Intercompany eliminations</t>
  </si>
  <si>
    <t>Operating and SG&amp;A expenses</t>
  </si>
  <si>
    <t>Adj. operating income margins (incl. intercompany) - MOODY'S INVESTOR SERVICE</t>
  </si>
  <si>
    <t>Adj. operating income margins (incl. intercompany) - MOODY'S ANALYTICS</t>
  </si>
  <si>
    <t>Revenue (incl. intercompany) - MOODY'S ANALYTICS</t>
  </si>
  <si>
    <t>Revenue (incl. intercompany) - MOODY'S INVESTOR SERVICE</t>
  </si>
  <si>
    <t>Net debt</t>
  </si>
  <si>
    <t>1Q19A</t>
  </si>
  <si>
    <t>MSD</t>
  </si>
  <si>
    <t>~48%</t>
  </si>
  <si>
    <t>$1,600-1,700m</t>
  </si>
  <si>
    <t>$200-225m</t>
  </si>
  <si>
    <t>21-22%</t>
  </si>
  <si>
    <t>$7.30-7.55</t>
  </si>
  <si>
    <t>$7.85-8.10</t>
  </si>
  <si>
    <t>LSD</t>
  </si>
  <si>
    <t>Flat</t>
  </si>
  <si>
    <t>~58%</t>
  </si>
  <si>
    <t>29-30%</t>
  </si>
  <si>
    <t>LDD</t>
  </si>
  <si>
    <t>Mid-teens</t>
  </si>
  <si>
    <t>HSD</t>
  </si>
  <si>
    <t>Adj. operating margin</t>
  </si>
  <si>
    <t>~43%</t>
  </si>
  <si>
    <t>MCO total expenses</t>
  </si>
  <si>
    <t>NTM adj. EBITDA</t>
  </si>
  <si>
    <t>LTM free cash flow</t>
  </si>
  <si>
    <t>NTM revenue</t>
  </si>
  <si>
    <t>LTM revenue</t>
  </si>
  <si>
    <t>LTM adj. EBITDA</t>
  </si>
  <si>
    <t>LTM adj. EBITDA margin</t>
  </si>
  <si>
    <t>LTM free cash flow conversion</t>
  </si>
  <si>
    <t>Stock based comp</t>
  </si>
  <si>
    <t>NTM adj. EPS (post stock comp)</t>
  </si>
  <si>
    <t>NTM adj. EPS (pre stock comp)</t>
  </si>
  <si>
    <t>NTM stock comp</t>
  </si>
  <si>
    <t>Adj. operating income (pre-stock comp)</t>
  </si>
  <si>
    <t>Adj. EPS (pre stock comp)</t>
  </si>
  <si>
    <t>Accounts receivables</t>
  </si>
  <si>
    <t xml:space="preserve">Goodwill </t>
  </si>
  <si>
    <t>Intangibles</t>
  </si>
  <si>
    <t>Deferred tax assets</t>
  </si>
  <si>
    <t>Accounts payable and accrued liabilities</t>
  </si>
  <si>
    <t>Commercial paper</t>
  </si>
  <si>
    <t>Current portion of long-term debt</t>
  </si>
  <si>
    <t>Deferred revenue</t>
  </si>
  <si>
    <t>Total current liabilities</t>
  </si>
  <si>
    <t>Non-current portion of deferred revenue</t>
  </si>
  <si>
    <t>Deferred tax liabilities, net</t>
  </si>
  <si>
    <t>Uncertain tax positions</t>
  </si>
  <si>
    <t>Other liabilities</t>
  </si>
  <si>
    <t>check</t>
  </si>
  <si>
    <t>Depreciation and amortization</t>
  </si>
  <si>
    <t>Changes in assets and liabilities:</t>
  </si>
  <si>
    <t>Accounts receivable</t>
  </si>
  <si>
    <t>Other assets</t>
  </si>
  <si>
    <t>Tax</t>
  </si>
  <si>
    <t>Investments</t>
  </si>
  <si>
    <t>Issuance of notes</t>
  </si>
  <si>
    <t>Repayment of notes</t>
  </si>
  <si>
    <t>Issuance of commercial paper</t>
  </si>
  <si>
    <t>Repayment of commercial paper</t>
  </si>
  <si>
    <t>Proceeds from stock-based compensation plans</t>
  </si>
  <si>
    <t>Repurchase of shares related to stock-based compensation</t>
  </si>
  <si>
    <t>Treasury shares</t>
  </si>
  <si>
    <t>Dividends</t>
  </si>
  <si>
    <t>Dividends to noncontrolling interests</t>
  </si>
  <si>
    <t>Debt issuance costs, extinguishment costs and related fees</t>
  </si>
  <si>
    <t>Short-term investments</t>
  </si>
  <si>
    <t>Operating leases</t>
  </si>
  <si>
    <t>Debt</t>
  </si>
  <si>
    <t>Cash</t>
  </si>
  <si>
    <t>Net leverage</t>
  </si>
  <si>
    <t>Working capital</t>
  </si>
  <si>
    <t>PPE</t>
  </si>
  <si>
    <t>Beginning</t>
  </si>
  <si>
    <t>+ Capex</t>
  </si>
  <si>
    <t>Ending</t>
  </si>
  <si>
    <t>+ proceeds</t>
  </si>
  <si>
    <t>- repayments</t>
  </si>
  <si>
    <t>Average debt</t>
  </si>
  <si>
    <t>Interest expense (quarterly)</t>
  </si>
  <si>
    <t>- D&amp;A (PPE)</t>
  </si>
  <si>
    <t>- D&amp;A (Intangibles)</t>
  </si>
  <si>
    <t>Ending PPE</t>
  </si>
  <si>
    <t>Days payables (A/P)</t>
  </si>
  <si>
    <t>Days sales (A/R)</t>
  </si>
  <si>
    <t>A/R balance</t>
  </si>
  <si>
    <t>A/P balance</t>
  </si>
  <si>
    <t>+ Investments</t>
  </si>
  <si>
    <t>Ending Intangibles</t>
  </si>
  <si>
    <t>Statistics</t>
  </si>
  <si>
    <t>Free cash flow (CFO-capex)</t>
  </si>
  <si>
    <t>% FCF conversion</t>
  </si>
  <si>
    <t>LTM free cash flow (CFO-capex)</t>
  </si>
  <si>
    <t>% LTM FCF conversion</t>
  </si>
  <si>
    <t>ROIC</t>
  </si>
  <si>
    <t xml:space="preserve"> </t>
  </si>
  <si>
    <t>Tangible ROIC (excl. goodwill)</t>
  </si>
  <si>
    <t>Adj. operating income (incl. intercompany) - MOODY'S INVESTOR SERVICE</t>
  </si>
  <si>
    <t>Adj. operating income (incl. intercompany) - MOODY'S ANALYTICS</t>
  </si>
  <si>
    <t>Memo: including intercompany</t>
  </si>
  <si>
    <t>NA</t>
  </si>
  <si>
    <t>Reported growth % sequential</t>
  </si>
  <si>
    <t>bps y/y</t>
  </si>
  <si>
    <t>MA organic constant currency growth % y/y</t>
  </si>
  <si>
    <t>MIS organic constant currency growth % y/y</t>
  </si>
  <si>
    <t>2Q19A</t>
  </si>
  <si>
    <t>$195m</t>
  </si>
  <si>
    <t>$7.15-7.35</t>
  </si>
  <si>
    <t>$7.95-8.15</t>
  </si>
  <si>
    <t>28-29%</t>
  </si>
  <si>
    <t>3Q19A</t>
  </si>
  <si>
    <t>~42%</t>
  </si>
  <si>
    <t>21.5-22.5%</t>
  </si>
  <si>
    <t>$7.20-7.35</t>
  </si>
  <si>
    <t>$8.05-8.20</t>
  </si>
  <si>
    <t>Other and payment for noncontrolling interest</t>
  </si>
  <si>
    <t>4Q19A</t>
  </si>
  <si>
    <t>2019A</t>
  </si>
  <si>
    <t>~44%</t>
  </si>
  <si>
    <t>48-49%</t>
  </si>
  <si>
    <t>$180-200m</t>
  </si>
  <si>
    <t>20-22%</t>
  </si>
  <si>
    <t>$8.60-8.80</t>
  </si>
  <si>
    <t>$9.10-9.30</t>
  </si>
  <si>
    <t>$1,700-1,800m</t>
  </si>
  <si>
    <t>58-59%</t>
  </si>
  <si>
    <t>~30%</t>
  </si>
  <si>
    <t>EBITDA (adj. operating income)</t>
  </si>
  <si>
    <t>2020 (post-iDay)</t>
  </si>
  <si>
    <t>1Q20A</t>
  </si>
  <si>
    <t>Down MSD</t>
  </si>
  <si>
    <t>46-48%</t>
  </si>
  <si>
    <t>~41-43%</t>
  </si>
  <si>
    <t>19.5-21.5%</t>
  </si>
  <si>
    <t>$7.25-7.85</t>
  </si>
  <si>
    <t>$7.80-8.40</t>
  </si>
  <si>
    <t>$1,200-1,400m</t>
  </si>
  <si>
    <t>Down HSD</t>
  </si>
  <si>
    <t>55-57%</t>
  </si>
  <si>
    <t>Incremental/(decremental) margins</t>
  </si>
  <si>
    <t>FCF margin</t>
  </si>
  <si>
    <t>2Q20A</t>
  </si>
  <si>
    <t>~43-44%</t>
  </si>
  <si>
    <t>~flat</t>
  </si>
  <si>
    <t>$8.15-8.55</t>
  </si>
  <si>
    <t>$8.80-9.20</t>
  </si>
  <si>
    <t>$1,500-1,700m</t>
  </si>
  <si>
    <t>Avg interest rate (annual)</t>
  </si>
  <si>
    <t>3Q20A</t>
  </si>
  <si>
    <t>~45%</t>
  </si>
  <si>
    <t>~50%</t>
  </si>
  <si>
    <t>up LSD</t>
  </si>
  <si>
    <t>$9.30-9.50</t>
  </si>
  <si>
    <t>$9.95-10.15</t>
  </si>
  <si>
    <t>4Q20A</t>
  </si>
  <si>
    <t>2020A</t>
  </si>
  <si>
    <t>49-50%</t>
  </si>
  <si>
    <t>$190-210m</t>
  </si>
  <si>
    <t>20.0-22.0%</t>
  </si>
  <si>
    <t>$9.70-10.10</t>
  </si>
  <si>
    <t>$10.30-10.70</t>
  </si>
  <si>
    <t>$1,900-2,100m</t>
  </si>
  <si>
    <t>~60%</t>
  </si>
  <si>
    <t>1Q21A</t>
  </si>
  <si>
    <t>up MSD</t>
  </si>
  <si>
    <t>~46%</t>
  </si>
  <si>
    <t>$160-180m</t>
  </si>
  <si>
    <t>$10.40-10.70</t>
  </si>
  <si>
    <t>$11.00-11.30</t>
  </si>
  <si>
    <t>$2,100-2,200m</t>
  </si>
  <si>
    <t>~61%</t>
  </si>
  <si>
    <t>2Q21A</t>
  </si>
  <si>
    <t>~47%</t>
  </si>
  <si>
    <t>~51%</t>
  </si>
  <si>
    <t>$10.95-11.25</t>
  </si>
  <si>
    <t>$11.55-11.85</t>
  </si>
  <si>
    <t>$2,200-2,300m</t>
  </si>
  <si>
    <t>up HSD</t>
  </si>
  <si>
    <t>30-31%</t>
  </si>
  <si>
    <t>3Q21A</t>
  </si>
  <si>
    <t>Low-Teens</t>
  </si>
  <si>
    <t>46-47%</t>
  </si>
  <si>
    <t>~10% y/y</t>
  </si>
  <si>
    <t>19.5-20.5%</t>
  </si>
  <si>
    <t>$11.65-11.85</t>
  </si>
  <si>
    <t>$12.15-12.35</t>
  </si>
  <si>
    <t>Repurchases</t>
  </si>
  <si>
    <t>~$750m</t>
  </si>
  <si>
    <t>~62%</t>
  </si>
  <si>
    <t>~29%</t>
  </si>
  <si>
    <t>FX Rates</t>
  </si>
  <si>
    <t>GBPUSD Curncy</t>
  </si>
  <si>
    <t>EURUSD Curncy</t>
  </si>
  <si>
    <t>Seasonality</t>
  </si>
  <si>
    <t>ZM Financial Systems (Dec. 2020)/ MA(ERS)</t>
  </si>
  <si>
    <t>RDC (Feb 2020) / MA (RD&amp;A)</t>
  </si>
  <si>
    <t>Acquire Media (Oct. 2020)/ MA (RD&amp;A)</t>
  </si>
  <si>
    <t>Cayalyst (Dec. 2020)/ MA (RD&amp;A)</t>
  </si>
  <si>
    <t>Cortera (March 2021)/ MA (RD&amp;A)</t>
  </si>
  <si>
    <t>RMS (Sept. 2021)/ MA(ERS)</t>
  </si>
  <si>
    <t>RMS Margin</t>
  </si>
  <si>
    <t>MA Standalone Revs</t>
  </si>
  <si>
    <t>Standalone Margbin (assumes 200bps of expansion)</t>
  </si>
  <si>
    <t>Blended margin</t>
  </si>
  <si>
    <t>Y/Y Delta</t>
  </si>
  <si>
    <t>Moody's  (MCO)</t>
  </si>
  <si>
    <t>4Q21A</t>
  </si>
  <si>
    <t>2021A</t>
  </si>
  <si>
    <t>Total</t>
  </si>
  <si>
    <t>Total y/y contribution</t>
  </si>
  <si>
    <t>RealXData (Aug/2021)/(RD&amp;A)</t>
  </si>
  <si>
    <t>By Acquisition</t>
  </si>
  <si>
    <t>By segment</t>
  </si>
  <si>
    <t>RD&amp;A</t>
  </si>
  <si>
    <t>ERS</t>
  </si>
  <si>
    <t>Bogard (Nov. 2021)/MA(RD&amp;A)</t>
  </si>
  <si>
    <t>PassFort (Dec. 2021)/MA(RD&amp;A)</t>
  </si>
  <si>
    <t>Revenue impact - straight</t>
  </si>
  <si>
    <t xml:space="preserve">MIS rev impact </t>
  </si>
  <si>
    <t>Delta</t>
  </si>
  <si>
    <t xml:space="preserve">MA rev impact </t>
  </si>
  <si>
    <t>44-45%</t>
  </si>
  <si>
    <t>up LDD</t>
  </si>
  <si>
    <t>$200-220m</t>
  </si>
  <si>
    <t>20.5-22.5%</t>
  </si>
  <si>
    <t>$11.50-12.00</t>
  </si>
  <si>
    <t>$12.40-12.90</t>
  </si>
  <si>
    <t>$2300-2500m</t>
  </si>
  <si>
    <t>&gt;$1,500m</t>
  </si>
  <si>
    <t>up High-teens</t>
  </si>
  <si>
    <t>Algorithm</t>
  </si>
  <si>
    <t>MA Revenue</t>
  </si>
  <si>
    <t>MIS Revenue</t>
  </si>
  <si>
    <t>MCO adjusted operating margin</t>
  </si>
  <si>
    <t>M-T</t>
  </si>
  <si>
    <t>+ low-to-mid-teens yearly</t>
  </si>
  <si>
    <t>LSD-MSD yearly</t>
  </si>
  <si>
    <t xml:space="preserve">low-50s% </t>
  </si>
  <si>
    <t xml:space="preserve">mid-30s% </t>
  </si>
  <si>
    <t>low-60s%</t>
  </si>
  <si>
    <t xml:space="preserve">LDD % growth yearly </t>
  </si>
  <si>
    <t>10+% avg/year</t>
  </si>
  <si>
    <t>Revenue Split</t>
  </si>
  <si>
    <t>LTM adj. net income (post stock comp)</t>
  </si>
  <si>
    <t>NOPAT</t>
  </si>
  <si>
    <t>Avg Invested Capital</t>
  </si>
  <si>
    <t>Avg Goodwill</t>
  </si>
  <si>
    <t>Avg Invested Capital Less Goodwill</t>
  </si>
  <si>
    <t>ROIC Calcluation</t>
  </si>
  <si>
    <t>Research &amp; Insights</t>
  </si>
  <si>
    <t>Decision Solutions</t>
  </si>
  <si>
    <t>Subsegments (through 2021)</t>
  </si>
  <si>
    <t>Subsegments (since 2022)</t>
  </si>
  <si>
    <t>Research &amp; Insights (Credit &amp; economics models, scores, expert insights &amp; commentary)</t>
  </si>
  <si>
    <t>1Q22A</t>
  </si>
  <si>
    <t>~Flat</t>
  </si>
  <si>
    <t>41-42%</t>
  </si>
  <si>
    <t>$9.85-10.35</t>
  </si>
  <si>
    <t>$10.75-11.25</t>
  </si>
  <si>
    <t>Down LDD</t>
  </si>
  <si>
    <t>~59%</t>
  </si>
  <si>
    <t>Purchase Price Hedge Gain &amp; other</t>
  </si>
  <si>
    <t>Minority Interest Gain</t>
  </si>
  <si>
    <t>United States (U.S.)</t>
  </si>
  <si>
    <t>Non-U.S.</t>
  </si>
  <si>
    <t>Data &amp; information</t>
  </si>
  <si>
    <t>Incremental/decremental margins</t>
  </si>
  <si>
    <t>Expenses(incl. intercompany) - MOODY'S INVESTOR SERVICE</t>
  </si>
  <si>
    <t>Expenses(incl. intercompany) - MOODY'S ANALYTICS</t>
  </si>
  <si>
    <t>Leveraged Loans</t>
  </si>
  <si>
    <t>LTM % revenue</t>
  </si>
  <si>
    <t>MA ARR is based on total recurring contract value for each active renewable contract divided by number of days in the contract and multiplied by 365 days to create an annualized value. Includes subscriptions, term licenses, maintenance and renewable services. Excludes transactional sales including training, one-time services and perpetual licenses</t>
  </si>
  <si>
    <t>N/A</t>
  </si>
  <si>
    <t>% of Ratings Revenue</t>
  </si>
  <si>
    <t>2Q22A</t>
  </si>
  <si>
    <t>$9.20-9.70</t>
  </si>
  <si>
    <t>54-55%</t>
  </si>
  <si>
    <t>Data &amp; Information organic constant currency growth % y/y</t>
  </si>
  <si>
    <t>Decision Solutions organic constant currency growth % y/y</t>
  </si>
  <si>
    <t>down HSD</t>
  </si>
  <si>
    <t>37-38%</t>
  </si>
  <si>
    <t>$220-240mm</t>
  </si>
  <si>
    <t>$8.10-8.60</t>
  </si>
  <si>
    <t>$1.8-$2.0bln</t>
  </si>
  <si>
    <t>$1.4-1.6bln</t>
  </si>
  <si>
    <t>~$1,000mm</t>
  </si>
  <si>
    <t>Down low 20s</t>
  </si>
  <si>
    <t>up MId-teens</t>
  </si>
  <si>
    <t>3Q22A</t>
  </si>
  <si>
    <t>Operating income split</t>
  </si>
  <si>
    <t>Research and Insights</t>
  </si>
  <si>
    <t>Data and Information</t>
  </si>
  <si>
    <t>down LDD</t>
  </si>
  <si>
    <t>34-35%</t>
  </si>
  <si>
    <t>$6.90-7.20</t>
  </si>
  <si>
    <t>$8.20-8.50</t>
  </si>
  <si>
    <t>~$1.2bln</t>
  </si>
  <si>
    <t>Down ~30%</t>
  </si>
  <si>
    <t>Research &amp; Insights organic constant currency growth % y/y</t>
  </si>
  <si>
    <t>Data &amp; Information (Data sets on economies, companies incl. Orbis, real estate, securities, etc.)</t>
  </si>
  <si>
    <t>%  qtr/qtr</t>
  </si>
  <si>
    <t>Take Rate (total revenues / total issuance; in bps)</t>
  </si>
  <si>
    <t>Implied Realized Price % Y/Y</t>
  </si>
  <si>
    <t>Mix Impact (% y/y change in Transaction revs - % y/y change in issuance)</t>
  </si>
  <si>
    <t>4Q22A</t>
  </si>
  <si>
    <t>2022A</t>
  </si>
  <si>
    <t>Class MIS (Apr. 2022)/MIS</t>
  </si>
  <si>
    <t>SCRiesgo MIS (Dec. 2022)</t>
  </si>
  <si>
    <t>Decision Solutions (Software &amp; workflow tools for Banking, Insurance, KYC, RMS, etc.)</t>
  </si>
  <si>
    <t>GAAP Net income per share - diluted</t>
  </si>
  <si>
    <t>GAAP Net income attributable to MCO</t>
  </si>
  <si>
    <t>Adj. EPS (Published)</t>
  </si>
  <si>
    <t>1Q23A</t>
  </si>
  <si>
    <t>2025E</t>
  </si>
  <si>
    <t>4Q25E</t>
  </si>
  <si>
    <t>2Q23A</t>
  </si>
  <si>
    <t>KYC</t>
  </si>
  <si>
    <t>Banking</t>
  </si>
  <si>
    <t>Insurance</t>
  </si>
  <si>
    <t xml:space="preserve">ARR, Growth % y/y </t>
  </si>
  <si>
    <t>Deferred Revenues</t>
  </si>
  <si>
    <t>% of revs</t>
  </si>
  <si>
    <t>3Q23A</t>
  </si>
  <si>
    <t>Change in total Working Capital</t>
  </si>
  <si>
    <t>4Q23A</t>
  </si>
  <si>
    <t>2023A</t>
  </si>
  <si>
    <t>`</t>
  </si>
  <si>
    <t>1Q24A</t>
  </si>
  <si>
    <t>Total non-transaction and subscription revenues (MCO deem this "recurring" revenues)</t>
  </si>
  <si>
    <t>2026E</t>
  </si>
  <si>
    <t>1Q26E</t>
  </si>
  <si>
    <t>2Q26E</t>
  </si>
  <si>
    <t>3Q26E</t>
  </si>
  <si>
    <t>4Q26E</t>
  </si>
  <si>
    <t>Non-transaction (MCO deems "recurring")</t>
  </si>
  <si>
    <t>2Q24A</t>
  </si>
  <si>
    <t>ARR - % y/y in organic, constant currency (o/cc)</t>
  </si>
  <si>
    <t>Total ARR</t>
  </si>
  <si>
    <t>Organic, constant currency ARR growth (%y/y)</t>
  </si>
  <si>
    <t>3Q24A</t>
  </si>
  <si>
    <t>kompany (Jan. 2022)/MA(RD&amp;A)</t>
  </si>
  <si>
    <t>Annualized Recurring Revenue (ARR; in $mm)</t>
  </si>
  <si>
    <t>Praedicat (Sept. 2024)</t>
  </si>
  <si>
    <t>GCR (July 2024 in full)/MIS</t>
  </si>
  <si>
    <t>2024A</t>
  </si>
  <si>
    <t>4Q24A</t>
  </si>
  <si>
    <t>Numerated (Dec. 2024)</t>
  </si>
  <si>
    <t>1Q25A</t>
  </si>
  <si>
    <t>MIS-rated Issuance (in $bln)</t>
  </si>
  <si>
    <t>2027E</t>
  </si>
  <si>
    <t>1Q27E</t>
  </si>
  <si>
    <t>2Q27E</t>
  </si>
  <si>
    <t>3Q27E</t>
  </si>
  <si>
    <t>4Q27E</t>
  </si>
  <si>
    <t>2Q25A</t>
  </si>
  <si>
    <t>ICR Chile (June 2025)</t>
  </si>
  <si>
    <t>CAPE Analytics (Jan 2025)</t>
  </si>
  <si>
    <t>MERIS (August 2025)</t>
  </si>
  <si>
    <t>Corporates (2024: 73% transaction)</t>
  </si>
  <si>
    <t>Financial services (2024: 57% transaction)</t>
  </si>
  <si>
    <t>Structured (2024: 56% transaction)</t>
  </si>
  <si>
    <t>Governments/public/other (2024: 68% transaction)</t>
  </si>
  <si>
    <t>MALS &amp; CSI (MA; 4Q25)</t>
  </si>
  <si>
    <t>3Q25E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</si>
</sst>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dd\-mmm\-yy"/>
    <numFmt numFmtId="165" formatCode="&quot;$&quot;#,##0.00_);\(&quot;$&quot;#,##0.000\)"/>
    <numFmt numFmtId="166" formatCode="0.0%"/>
    <numFmt numFmtId="167" formatCode="&quot;$&quot;#,##0.0_);\(&quot;$&quot;#,##0.0\);@_)"/>
    <numFmt numFmtId="168" formatCode="&quot;$&quot;#,##0.0"/>
    <numFmt numFmtId="169" formatCode="#,##0.0%_);\(#,##0.0%\)"/>
    <numFmt numFmtId="170" formatCode="&quot;$&quot;#,##0.0_);\(&quot;$&quot;#,##0.0\)"/>
    <numFmt numFmtId="171" formatCode="0%_);\(0%\);@_)"/>
    <numFmt numFmtId="172" formatCode="0.0%_);\(0.0%\);@_)"/>
    <numFmt numFmtId="173" formatCode="#,##0.0_);\(#,##0.0\)"/>
    <numFmt numFmtId="174" formatCode="_(* #,##0_);_(* \(#,##0\);_(* &quot;-&quot;??_);_(@_)"/>
    <numFmt numFmtId="175" formatCode="#,##0.000%_);\(#,##0.000%\)"/>
    <numFmt numFmtId="176" formatCode="#,##0%_);\(#,##0%\)"/>
    <numFmt numFmtId="177" formatCode="#,##0.0\x"/>
    <numFmt numFmtId="178" formatCode="&quot;$&quot;#,##0_);\(&quot;$&quot;#,##0\);@_)"/>
    <numFmt numFmtId="179" formatCode="#,##0.000_);\(#,##0.000\)"/>
    <numFmt numFmtId="180" formatCode="0.0"/>
    <numFmt numFmtId="181" formatCode="_(* #,##0.0_);_(* \(#,##0.0\);_(* &quot;-&quot;??_);_(@_)"/>
    <numFmt numFmtId="182" formatCode="&quot;$&quot;#,##0.00"/>
    <numFmt numFmtId="183" formatCode="&quot;$&quot;#,##0"/>
    <numFmt numFmtId="184" formatCode="_(&quot;$&quot;* #,##0_);_(&quot;$&quot;* \(#,##0\);_(&quot;$&quot;* &quot;-&quot;??_);_(@_)"/>
    <numFmt numFmtId="185" formatCode="0.00%_);\(0.00%\);@_)"/>
    <numFmt numFmtId="186" formatCode="&quot;$&quot;#,##0.0000"/>
  </numFmts>
  <fonts count="49" x14ac:knownFonts="1">
    <font>
      <sz val="10"/>
      <color theme="1"/>
      <name val="Arial"/>
      <family val="2"/>
    </font>
    <font>
      <sz val="11"/>
      <color theme="1"/>
      <name val="Calibri"/>
      <family val="2"/>
      <scheme val="minor"/>
    </font>
    <font>
      <sz val="10"/>
      <color theme="1"/>
      <name val="Arial"/>
      <family val="2"/>
    </font>
    <font>
      <b/>
      <sz val="10"/>
      <color theme="1"/>
      <name val="Arial"/>
      <family val="2"/>
    </font>
    <font>
      <b/>
      <sz val="12"/>
      <color theme="1"/>
      <name val="Arial"/>
      <family val="2"/>
    </font>
    <font>
      <b/>
      <sz val="10"/>
      <name val="Arial"/>
      <family val="2"/>
    </font>
    <font>
      <b/>
      <sz val="10"/>
      <color rgb="FFFFFFFF"/>
      <name val="Arial"/>
      <family val="2"/>
    </font>
    <font>
      <sz val="10"/>
      <color rgb="FFFFFFFF"/>
      <name val="Arial"/>
      <family val="2"/>
    </font>
    <font>
      <sz val="10"/>
      <name val="Arial"/>
      <family val="2"/>
    </font>
    <font>
      <sz val="8"/>
      <color theme="1"/>
      <name val="Arial"/>
      <family val="2"/>
    </font>
    <font>
      <b/>
      <sz val="8"/>
      <name val="Arial"/>
      <family val="2"/>
    </font>
    <font>
      <b/>
      <sz val="18"/>
      <name val="Arial"/>
      <family val="2"/>
    </font>
    <font>
      <b/>
      <sz val="12"/>
      <name val="Arial"/>
      <family val="2"/>
    </font>
    <font>
      <sz val="10"/>
      <name val="Arial Narrow"/>
      <family val="2"/>
    </font>
    <font>
      <b/>
      <sz val="10"/>
      <name val="Arial Narrow"/>
      <family val="2"/>
    </font>
    <font>
      <b/>
      <sz val="18"/>
      <name val="Arial Narrow"/>
      <family val="2"/>
    </font>
    <font>
      <b/>
      <sz val="10"/>
      <color indexed="10"/>
      <name val="Arial Narrow"/>
      <family val="2"/>
    </font>
    <font>
      <sz val="10"/>
      <color rgb="FF0000FF"/>
      <name val="Arial Narrow"/>
      <family val="2"/>
    </font>
    <font>
      <i/>
      <sz val="10"/>
      <name val="Arial Narrow"/>
      <family val="2"/>
    </font>
    <font>
      <i/>
      <sz val="10"/>
      <color rgb="FF000000"/>
      <name val="Arial Narrow"/>
      <family val="2"/>
    </font>
    <font>
      <sz val="10"/>
      <color rgb="FF000000"/>
      <name val="Arial Narrow"/>
      <family val="2"/>
    </font>
    <font>
      <i/>
      <sz val="10"/>
      <color rgb="FF0000FF"/>
      <name val="Arial Narrow"/>
      <family val="2"/>
    </font>
    <font>
      <b/>
      <i/>
      <sz val="10"/>
      <name val="Arial Narrow"/>
      <family val="2"/>
    </font>
    <font>
      <b/>
      <i/>
      <sz val="10"/>
      <color rgb="FF000000"/>
      <name val="Arial Narrow"/>
      <family val="2"/>
    </font>
    <font>
      <i/>
      <sz val="10"/>
      <color theme="1"/>
      <name val="Arial"/>
      <family val="2"/>
    </font>
    <font>
      <b/>
      <sz val="10"/>
      <color rgb="FF000000"/>
      <name val="Arial Narrow"/>
      <family val="2"/>
    </font>
    <font>
      <b/>
      <sz val="10"/>
      <color rgb="FF0000FF"/>
      <name val="Arial Narrow"/>
      <family val="2"/>
    </font>
    <font>
      <sz val="10"/>
      <color rgb="FF008000"/>
      <name val="Arial Narrow"/>
      <family val="2"/>
    </font>
    <font>
      <sz val="10"/>
      <color indexed="8"/>
      <name val="Arial Narrow"/>
      <family val="2"/>
    </font>
    <font>
      <i/>
      <sz val="10"/>
      <color rgb="FF008000"/>
      <name val="Arial Narrow"/>
      <family val="2"/>
    </font>
    <font>
      <b/>
      <sz val="10"/>
      <color rgb="FFFF0000"/>
      <name val="Arial Narrow"/>
      <family val="2"/>
    </font>
    <font>
      <b/>
      <i/>
      <sz val="10"/>
      <color theme="1"/>
      <name val="Arial"/>
      <family val="2"/>
    </font>
    <font>
      <b/>
      <sz val="10"/>
      <color theme="1"/>
      <name val="Arial Narrow"/>
      <family val="2"/>
    </font>
    <font>
      <sz val="10"/>
      <color theme="1"/>
      <name val="Arial Narrow"/>
      <family val="2"/>
    </font>
    <font>
      <i/>
      <sz val="10"/>
      <color theme="1"/>
      <name val="Arial Narrow"/>
      <family val="2"/>
    </font>
    <font>
      <b/>
      <i/>
      <sz val="10"/>
      <color rgb="FF008000"/>
      <name val="Arial Narrow"/>
      <family val="2"/>
    </font>
    <font>
      <b/>
      <sz val="10"/>
      <color rgb="FF008000"/>
      <name val="Arial Narrow"/>
      <family val="2"/>
    </font>
    <font>
      <i/>
      <sz val="10"/>
      <color rgb="FFFF0000"/>
      <name val="Arial Narrow"/>
      <family val="2"/>
    </font>
    <font>
      <b/>
      <u/>
      <sz val="10"/>
      <name val="Arial Narrow"/>
      <family val="2"/>
    </font>
    <font>
      <b/>
      <u/>
      <sz val="10"/>
      <color theme="1"/>
      <name val="Arial Narrow"/>
      <family val="2"/>
    </font>
    <font>
      <sz val="9"/>
      <name val="Arial"/>
      <family val="2"/>
    </font>
    <font>
      <sz val="10"/>
      <color rgb="FF0000FF"/>
      <name val="Arial"/>
      <family val="2"/>
    </font>
    <font>
      <sz val="10"/>
      <color rgb="FFC00000"/>
      <name val="Arial Narrow"/>
      <family val="2"/>
    </font>
    <font>
      <sz val="10"/>
      <color rgb="FF0033CC"/>
      <name val="Arial Narrow"/>
      <family val="2"/>
    </font>
    <font>
      <u/>
      <sz val="10"/>
      <color theme="1"/>
      <name val="Arial Narrow"/>
      <family val="2"/>
    </font>
    <font>
      <sz val="10"/>
      <color rgb="FF009900"/>
      <name val="Arial Narrow"/>
      <family val="2"/>
    </font>
    <font>
      <u/>
      <sz val="10"/>
      <name val="Arial Narrow"/>
      <family val="2"/>
    </font>
    <font>
      <i/>
      <sz val="10"/>
      <color rgb="FF009900"/>
      <name val="Arial Narrow"/>
      <family val="2"/>
    </font>
    <font>
      <b/>
      <i/>
      <sz val="10"/>
      <color rgb="FF0000FF"/>
      <name val="Arial Narrow"/>
      <family val="2"/>
    </font>
  </fonts>
  <fills count="10">
    <fill>
      <patternFill patternType="none"/>
    </fill>
    <fill>
      <patternFill patternType="gray125"/>
    </fill>
    <fill>
      <patternFill patternType="solid">
        <fgColor indexed="65"/>
        <bgColor indexed="64"/>
      </patternFill>
    </fill>
    <fill>
      <patternFill patternType="solid">
        <fgColor rgb="FF666699"/>
        <bgColor indexed="64"/>
      </patternFill>
    </fill>
    <fill>
      <patternFill patternType="solid">
        <fgColor rgb="FF969696"/>
        <bgColor indexed="64"/>
      </patternFill>
    </fill>
    <fill>
      <patternFill patternType="solid">
        <fgColor rgb="FFC0C0C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style="hair">
        <color auto="1"/>
      </top>
      <bottom/>
      <diagonal/>
    </border>
    <border>
      <left/>
      <right/>
      <top/>
      <bottom style="hair">
        <color auto="1"/>
      </bottom>
      <diagonal/>
    </border>
  </borders>
  <cellStyleXfs count="35">
    <xf numFmtId="0" fontId="0" fillId="0" borderId="0"/>
    <xf numFmtId="0" fontId="4" fillId="2" borderId="0">
      <alignment horizontal="left"/>
    </xf>
    <xf numFmtId="0" fontId="5" fillId="0" borderId="0"/>
    <xf numFmtId="0" fontId="6" fillId="0" borderId="0">
      <protection hidden="1"/>
    </xf>
    <xf numFmtId="0" fontId="3" fillId="2" borderId="0">
      <alignment horizontal="left" wrapText="1"/>
    </xf>
    <xf numFmtId="0" fontId="6" fillId="3" borderId="0">
      <alignment horizontal="left"/>
    </xf>
    <xf numFmtId="0" fontId="5" fillId="0" borderId="0" applyNumberFormat="0">
      <protection locked="0"/>
    </xf>
    <xf numFmtId="0" fontId="7" fillId="3" borderId="1">
      <alignment horizontal="center" wrapText="1"/>
    </xf>
    <xf numFmtId="0" fontId="6" fillId="3" borderId="1">
      <alignment horizontal="center" wrapText="1"/>
    </xf>
    <xf numFmtId="0" fontId="8" fillId="0" borderId="0"/>
    <xf numFmtId="0" fontId="8" fillId="4" borderId="0" applyNumberFormat="0">
      <alignment horizontal="right" wrapText="1"/>
    </xf>
    <xf numFmtId="0" fontId="8" fillId="5" borderId="0" applyNumberFormat="0">
      <alignment horizontal="right" wrapText="1"/>
      <protection locked="0"/>
    </xf>
    <xf numFmtId="0" fontId="10" fillId="6" borderId="0">
      <alignment horizontal="right"/>
    </xf>
    <xf numFmtId="164" fontId="10" fillId="6" borderId="0">
      <alignment horizontal="right"/>
    </xf>
    <xf numFmtId="0" fontId="10" fillId="6" borderId="0">
      <alignment horizontal="left"/>
    </xf>
    <xf numFmtId="0" fontId="2" fillId="0" borderId="0"/>
    <xf numFmtId="0" fontId="11" fillId="6" borderId="0">
      <alignment horizontal="left"/>
    </xf>
    <xf numFmtId="0" fontId="12" fillId="6" borderId="0">
      <alignment horizontal="left"/>
    </xf>
    <xf numFmtId="0" fontId="12" fillId="6" borderId="0">
      <alignment horizontal="left"/>
    </xf>
    <xf numFmtId="0" fontId="8" fillId="0" borderId="0"/>
    <xf numFmtId="9"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0" fontId="8" fillId="0" borderId="0"/>
    <xf numFmtId="0" fontId="1" fillId="0" borderId="0"/>
    <xf numFmtId="9" fontId="1" fillId="0" borderId="0" applyFont="0" applyFill="0" applyBorder="0" applyAlignment="0" applyProtection="0"/>
    <xf numFmtId="0" fontId="8" fillId="0" borderId="0"/>
    <xf numFmtId="0" fontId="40" fillId="0" borderId="0">
      <alignment vertical="top"/>
    </xf>
    <xf numFmtId="43" fontId="8" fillId="0" borderId="0" applyFont="0" applyFill="0" applyBorder="0" applyAlignment="0" applyProtection="0"/>
    <xf numFmtId="9" fontId="8" fillId="0" borderId="0" applyFont="0" applyFill="0" applyBorder="0" applyAlignment="0" applyProtection="0"/>
    <xf numFmtId="44" fontId="8" fillId="0" borderId="0" applyFont="0" applyFill="0" applyBorder="0" applyAlignment="0" applyProtection="0"/>
    <xf numFmtId="0" fontId="8" fillId="0" borderId="0"/>
    <xf numFmtId="44" fontId="2" fillId="0" borderId="0" applyFont="0" applyFill="0" applyBorder="0" applyAlignment="0" applyProtection="0"/>
    <xf numFmtId="0" fontId="9" fillId="0" borderId="0">
      <alignment vertical="top" wrapText="1"/>
    </xf>
  </cellStyleXfs>
  <cellXfs count="676">
    <xf numFmtId="0" fontId="0" fillId="0" borderId="0" xfId="0"/>
    <xf numFmtId="0" fontId="3" fillId="0" borderId="0" xfId="0" applyFont="1"/>
    <xf numFmtId="0" fontId="13" fillId="0" borderId="0" xfId="19" applyFont="1"/>
    <xf numFmtId="0" fontId="13" fillId="0" borderId="0" xfId="19" applyFont="1" applyAlignment="1">
      <alignment horizontal="right"/>
    </xf>
    <xf numFmtId="0" fontId="14" fillId="0" borderId="0" xfId="19" applyFont="1" applyAlignment="1">
      <alignment horizontal="left" vertical="center"/>
    </xf>
    <xf numFmtId="0" fontId="14" fillId="0" borderId="0" xfId="19" applyFont="1" applyAlignment="1">
      <alignment horizontal="right" vertical="center"/>
    </xf>
    <xf numFmtId="165" fontId="13" fillId="0" borderId="0" xfId="19" applyNumberFormat="1" applyFont="1" applyAlignment="1">
      <alignment horizontal="right"/>
    </xf>
    <xf numFmtId="165" fontId="15" fillId="0" borderId="0" xfId="19" applyNumberFormat="1" applyFont="1" applyAlignment="1">
      <alignment horizontal="left" vertical="center"/>
    </xf>
    <xf numFmtId="14" fontId="14" fillId="0" borderId="0" xfId="19" applyNumberFormat="1" applyFont="1"/>
    <xf numFmtId="14" fontId="14" fillId="0" borderId="0" xfId="19" quotePrefix="1" applyNumberFormat="1" applyFont="1" applyAlignment="1">
      <alignment horizontal="right"/>
    </xf>
    <xf numFmtId="166" fontId="13" fillId="0" borderId="0" xfId="20" applyNumberFormat="1" applyFont="1" applyFill="1" applyAlignment="1">
      <alignment horizontal="center"/>
    </xf>
    <xf numFmtId="0" fontId="16" fillId="0" borderId="0" xfId="19" applyFont="1" applyAlignment="1">
      <alignment horizontal="left" vertical="center"/>
    </xf>
    <xf numFmtId="167" fontId="0" fillId="0" borderId="0" xfId="0" applyNumberFormat="1"/>
    <xf numFmtId="6" fontId="13" fillId="0" borderId="0" xfId="19" applyNumberFormat="1" applyFont="1"/>
    <xf numFmtId="2" fontId="13" fillId="0" borderId="0" xfId="19" applyNumberFormat="1" applyFont="1"/>
    <xf numFmtId="6" fontId="13" fillId="0" borderId="0" xfId="19" quotePrefix="1" applyNumberFormat="1" applyFont="1" applyAlignment="1">
      <alignment horizontal="right"/>
    </xf>
    <xf numFmtId="167" fontId="14" fillId="0" borderId="0" xfId="19" applyNumberFormat="1" applyFont="1"/>
    <xf numFmtId="168" fontId="13" fillId="0" borderId="0" xfId="19" applyNumberFormat="1" applyFont="1"/>
    <xf numFmtId="0" fontId="14" fillId="0" borderId="0" xfId="19" quotePrefix="1" applyFont="1" applyAlignment="1">
      <alignment horizontal="left" vertical="center"/>
    </xf>
    <xf numFmtId="8" fontId="13" fillId="0" borderId="0" xfId="19" applyNumberFormat="1" applyFont="1"/>
    <xf numFmtId="8" fontId="13" fillId="0" borderId="0" xfId="19" quotePrefix="1" applyNumberFormat="1" applyFont="1" applyAlignment="1">
      <alignment horizontal="right"/>
    </xf>
    <xf numFmtId="7" fontId="14" fillId="0" borderId="0" xfId="19" quotePrefix="1" applyNumberFormat="1" applyFont="1" applyAlignment="1">
      <alignment horizontal="right" vertical="center"/>
    </xf>
    <xf numFmtId="0" fontId="14" fillId="0" borderId="0" xfId="19" quotePrefix="1" applyFont="1" applyAlignment="1">
      <alignment horizontal="right" vertical="center"/>
    </xf>
    <xf numFmtId="166" fontId="13" fillId="0" borderId="0" xfId="20" applyNumberFormat="1" applyFont="1"/>
    <xf numFmtId="0" fontId="14" fillId="0" borderId="0" xfId="19" applyFont="1"/>
    <xf numFmtId="0" fontId="14" fillId="7" borderId="0" xfId="19" applyFont="1" applyFill="1" applyAlignment="1">
      <alignment horizontal="center"/>
    </xf>
    <xf numFmtId="0" fontId="14" fillId="0" borderId="2" xfId="19" applyFont="1" applyBorder="1" applyAlignment="1">
      <alignment horizontal="centerContinuous"/>
    </xf>
    <xf numFmtId="0" fontId="13" fillId="0" borderId="2" xfId="19" applyFont="1" applyBorder="1" applyAlignment="1">
      <alignment horizontal="centerContinuous"/>
    </xf>
    <xf numFmtId="0" fontId="13" fillId="0" borderId="2" xfId="19" applyFont="1" applyBorder="1"/>
    <xf numFmtId="0" fontId="14" fillId="7" borderId="2" xfId="19" applyFont="1" applyFill="1" applyBorder="1" applyAlignment="1">
      <alignment horizontal="center"/>
    </xf>
    <xf numFmtId="0" fontId="14" fillId="0" borderId="3" xfId="19" applyFont="1" applyBorder="1" applyAlignment="1">
      <alignment horizontal="center"/>
    </xf>
    <xf numFmtId="0" fontId="14" fillId="0" borderId="4" xfId="19" applyFont="1" applyBorder="1" applyAlignment="1">
      <alignment horizontal="center"/>
    </xf>
    <xf numFmtId="167" fontId="14" fillId="7" borderId="4" xfId="19" applyNumberFormat="1" applyFont="1" applyFill="1" applyBorder="1"/>
    <xf numFmtId="167" fontId="14" fillId="0" borderId="4" xfId="19" applyNumberFormat="1" applyFont="1" applyBorder="1"/>
    <xf numFmtId="169" fontId="14" fillId="7" borderId="4" xfId="19" applyNumberFormat="1" applyFont="1" applyFill="1" applyBorder="1"/>
    <xf numFmtId="0" fontId="13" fillId="0" borderId="0" xfId="19" applyFont="1" applyAlignment="1">
      <alignment horizontal="left" indent="1"/>
    </xf>
    <xf numFmtId="170" fontId="13" fillId="7" borderId="0" xfId="19" applyNumberFormat="1" applyFont="1" applyFill="1"/>
    <xf numFmtId="171" fontId="18" fillId="0" borderId="0" xfId="19" applyNumberFormat="1" applyFont="1"/>
    <xf numFmtId="170" fontId="13" fillId="0" borderId="0" xfId="19" applyNumberFormat="1" applyFont="1"/>
    <xf numFmtId="167" fontId="14" fillId="7" borderId="0" xfId="19" applyNumberFormat="1" applyFont="1" applyFill="1"/>
    <xf numFmtId="169" fontId="19" fillId="7" borderId="0" xfId="19" applyNumberFormat="1" applyFont="1" applyFill="1"/>
    <xf numFmtId="0" fontId="18" fillId="0" borderId="0" xfId="19" applyFont="1"/>
    <xf numFmtId="0" fontId="18" fillId="0" borderId="0" xfId="19" applyFont="1" applyAlignment="1">
      <alignment horizontal="left" indent="1"/>
    </xf>
    <xf numFmtId="9" fontId="18" fillId="0" borderId="0" xfId="19" applyNumberFormat="1" applyFont="1"/>
    <xf numFmtId="171" fontId="18" fillId="7" borderId="0" xfId="19" applyNumberFormat="1" applyFont="1" applyFill="1"/>
    <xf numFmtId="171" fontId="19" fillId="7" borderId="0" xfId="19" applyNumberFormat="1" applyFont="1" applyFill="1"/>
    <xf numFmtId="172" fontId="19" fillId="0" borderId="0" xfId="19" applyNumberFormat="1" applyFont="1"/>
    <xf numFmtId="172" fontId="19" fillId="7" borderId="0" xfId="19" applyNumberFormat="1" applyFont="1" applyFill="1"/>
    <xf numFmtId="172" fontId="19" fillId="2" borderId="0" xfId="19" applyNumberFormat="1" applyFont="1" applyFill="1"/>
    <xf numFmtId="171" fontId="18" fillId="7" borderId="0" xfId="19" applyNumberFormat="1" applyFont="1" applyFill="1" applyAlignment="1">
      <alignment horizontal="right"/>
    </xf>
    <xf numFmtId="172" fontId="21" fillId="0" borderId="0" xfId="19" applyNumberFormat="1" applyFont="1"/>
    <xf numFmtId="172" fontId="21" fillId="2" borderId="0" xfId="19" applyNumberFormat="1" applyFont="1" applyFill="1"/>
    <xf numFmtId="172" fontId="19" fillId="7" borderId="0" xfId="19" applyNumberFormat="1" applyFont="1" applyFill="1" applyAlignment="1">
      <alignment horizontal="right"/>
    </xf>
    <xf numFmtId="0" fontId="22" fillId="0" borderId="0" xfId="19" applyFont="1" applyAlignment="1">
      <alignment horizontal="left" indent="1"/>
    </xf>
    <xf numFmtId="9" fontId="22" fillId="0" borderId="0" xfId="19" applyNumberFormat="1" applyFont="1"/>
    <xf numFmtId="171" fontId="22" fillId="7" borderId="0" xfId="19" applyNumberFormat="1" applyFont="1" applyFill="1"/>
    <xf numFmtId="171" fontId="22" fillId="0" borderId="0" xfId="19" applyNumberFormat="1" applyFont="1"/>
    <xf numFmtId="172" fontId="23" fillId="7" borderId="0" xfId="19" applyNumberFormat="1" applyFont="1" applyFill="1" applyAlignment="1">
      <alignment horizontal="right"/>
    </xf>
    <xf numFmtId="0" fontId="22" fillId="0" borderId="0" xfId="19" applyFont="1"/>
    <xf numFmtId="171" fontId="19" fillId="0" borderId="0" xfId="19" applyNumberFormat="1" applyFont="1"/>
    <xf numFmtId="171" fontId="19" fillId="2" borderId="0" xfId="19" applyNumberFormat="1" applyFont="1" applyFill="1"/>
    <xf numFmtId="171" fontId="19" fillId="7" borderId="0" xfId="19" applyNumberFormat="1" applyFont="1" applyFill="1" applyAlignment="1">
      <alignment horizontal="right"/>
    </xf>
    <xf numFmtId="172" fontId="18" fillId="0" borderId="0" xfId="19" applyNumberFormat="1" applyFont="1"/>
    <xf numFmtId="7" fontId="18" fillId="2" borderId="0" xfId="19" applyNumberFormat="1" applyFont="1" applyFill="1"/>
    <xf numFmtId="170" fontId="14" fillId="7" borderId="0" xfId="19" applyNumberFormat="1" applyFont="1" applyFill="1"/>
    <xf numFmtId="170" fontId="14" fillId="0" borderId="0" xfId="19" applyNumberFormat="1" applyFont="1"/>
    <xf numFmtId="171" fontId="22" fillId="7" borderId="0" xfId="20" applyNumberFormat="1" applyFont="1" applyFill="1" applyBorder="1"/>
    <xf numFmtId="171" fontId="22" fillId="7" borderId="0" xfId="20" applyNumberFormat="1" applyFont="1" applyFill="1" applyBorder="1" applyAlignment="1"/>
    <xf numFmtId="0" fontId="14" fillId="0" borderId="5" xfId="19" applyFont="1" applyBorder="1"/>
    <xf numFmtId="169" fontId="19" fillId="0" borderId="0" xfId="19" applyNumberFormat="1" applyFont="1"/>
    <xf numFmtId="0" fontId="22" fillId="0" borderId="7" xfId="19" applyFont="1" applyBorder="1" applyAlignment="1">
      <alignment horizontal="left" indent="1"/>
    </xf>
    <xf numFmtId="0" fontId="22" fillId="0" borderId="7" xfId="19" applyFont="1" applyBorder="1"/>
    <xf numFmtId="173" fontId="17" fillId="0" borderId="0" xfId="19" applyNumberFormat="1" applyFont="1"/>
    <xf numFmtId="37" fontId="19" fillId="0" borderId="0" xfId="0" applyNumberFormat="1" applyFont="1"/>
    <xf numFmtId="37" fontId="19" fillId="7" borderId="0" xfId="0" applyNumberFormat="1" applyFont="1" applyFill="1"/>
    <xf numFmtId="167" fontId="13" fillId="0" borderId="0" xfId="19" applyNumberFormat="1" applyFont="1"/>
    <xf numFmtId="166" fontId="13" fillId="0" borderId="0" xfId="19" applyNumberFormat="1" applyFont="1"/>
    <xf numFmtId="166" fontId="18" fillId="0" borderId="0" xfId="19" applyNumberFormat="1" applyFont="1" applyAlignment="1">
      <alignment horizontal="left" indent="1"/>
    </xf>
    <xf numFmtId="172" fontId="28" fillId="7" borderId="0" xfId="19" applyNumberFormat="1" applyFont="1" applyFill="1"/>
    <xf numFmtId="166" fontId="13" fillId="0" borderId="0" xfId="19" applyNumberFormat="1" applyFont="1" applyAlignment="1">
      <alignment horizontal="left" indent="1"/>
    </xf>
    <xf numFmtId="172" fontId="13" fillId="7" borderId="0" xfId="19" applyNumberFormat="1" applyFont="1" applyFill="1"/>
    <xf numFmtId="7" fontId="20" fillId="7" borderId="0" xfId="19" applyNumberFormat="1" applyFont="1" applyFill="1" applyAlignment="1">
      <alignment horizontal="right"/>
    </xf>
    <xf numFmtId="7" fontId="17" fillId="7" borderId="0" xfId="19" applyNumberFormat="1" applyFont="1" applyFill="1" applyAlignment="1">
      <alignment horizontal="right"/>
    </xf>
    <xf numFmtId="7" fontId="13" fillId="0" borderId="0" xfId="19" applyNumberFormat="1" applyFont="1" applyAlignment="1">
      <alignment horizontal="right"/>
    </xf>
    <xf numFmtId="166" fontId="18" fillId="0" borderId="0" xfId="19" applyNumberFormat="1" applyFont="1"/>
    <xf numFmtId="174" fontId="18" fillId="7" borderId="0" xfId="21" applyNumberFormat="1" applyFont="1" applyFill="1" applyBorder="1" applyAlignment="1">
      <alignment vertical="top"/>
    </xf>
    <xf numFmtId="174" fontId="18" fillId="7" borderId="0" xfId="21" applyNumberFormat="1" applyFont="1" applyFill="1" applyBorder="1" applyAlignment="1"/>
    <xf numFmtId="174" fontId="18" fillId="0" borderId="0" xfId="21" applyNumberFormat="1" applyFont="1" applyFill="1" applyBorder="1" applyAlignment="1"/>
    <xf numFmtId="174" fontId="18" fillId="0" borderId="0" xfId="21" applyNumberFormat="1" applyFont="1" applyFill="1" applyBorder="1" applyAlignment="1">
      <alignment vertical="top"/>
    </xf>
    <xf numFmtId="0" fontId="14" fillId="0" borderId="0" xfId="19" applyFont="1" applyAlignment="1">
      <alignment horizontal="centerContinuous"/>
    </xf>
    <xf numFmtId="0" fontId="13" fillId="0" borderId="0" xfId="19" applyFont="1" applyAlignment="1">
      <alignment horizontal="centerContinuous"/>
    </xf>
    <xf numFmtId="166" fontId="14" fillId="0" borderId="2" xfId="19" applyNumberFormat="1" applyFont="1" applyBorder="1"/>
    <xf numFmtId="172" fontId="14" fillId="7" borderId="2" xfId="19" applyNumberFormat="1" applyFont="1" applyFill="1" applyBorder="1"/>
    <xf numFmtId="172" fontId="14" fillId="0" borderId="2" xfId="19" applyNumberFormat="1" applyFont="1" applyBorder="1"/>
    <xf numFmtId="166" fontId="20" fillId="0" borderId="0" xfId="19" applyNumberFormat="1" applyFont="1"/>
    <xf numFmtId="166" fontId="14" fillId="0" borderId="0" xfId="19" applyNumberFormat="1" applyFont="1"/>
    <xf numFmtId="0" fontId="14" fillId="0" borderId="0" xfId="19" applyFont="1" applyAlignment="1">
      <alignment vertical="center"/>
    </xf>
    <xf numFmtId="166" fontId="14" fillId="0" borderId="6" xfId="19" applyNumberFormat="1" applyFont="1" applyBorder="1" applyAlignment="1">
      <alignment vertical="center"/>
    </xf>
    <xf numFmtId="166" fontId="22" fillId="0" borderId="6" xfId="19" applyNumberFormat="1" applyFont="1" applyBorder="1" applyAlignment="1">
      <alignment vertical="center"/>
    </xf>
    <xf numFmtId="170" fontId="14" fillId="7" borderId="6" xfId="20" applyNumberFormat="1" applyFont="1" applyFill="1" applyBorder="1" applyAlignment="1">
      <alignment vertical="center"/>
    </xf>
    <xf numFmtId="174" fontId="22" fillId="0" borderId="0" xfId="21" applyNumberFormat="1" applyFont="1" applyFill="1" applyBorder="1" applyAlignment="1"/>
    <xf numFmtId="166" fontId="22" fillId="0" borderId="0" xfId="19" applyNumberFormat="1" applyFont="1"/>
    <xf numFmtId="172" fontId="14" fillId="7" borderId="0" xfId="19" applyNumberFormat="1" applyFont="1" applyFill="1"/>
    <xf numFmtId="169" fontId="19" fillId="7" borderId="0" xfId="21" applyNumberFormat="1" applyFont="1" applyFill="1" applyBorder="1" applyAlignment="1"/>
    <xf numFmtId="165" fontId="13" fillId="0" borderId="0" xfId="19" applyNumberFormat="1" applyFont="1"/>
    <xf numFmtId="166" fontId="14" fillId="0" borderId="6" xfId="19" applyNumberFormat="1" applyFont="1" applyBorder="1"/>
    <xf numFmtId="166" fontId="22" fillId="0" borderId="6" xfId="19" applyNumberFormat="1" applyFont="1" applyBorder="1"/>
    <xf numFmtId="0" fontId="14" fillId="0" borderId="6" xfId="19" applyFont="1" applyBorder="1"/>
    <xf numFmtId="169" fontId="18" fillId="7" borderId="0" xfId="21" applyNumberFormat="1" applyFont="1" applyFill="1" applyBorder="1" applyAlignment="1"/>
    <xf numFmtId="175" fontId="18" fillId="7" borderId="0" xfId="19" applyNumberFormat="1" applyFont="1" applyFill="1" applyAlignment="1">
      <alignment horizontal="right"/>
    </xf>
    <xf numFmtId="174" fontId="22" fillId="7" borderId="0" xfId="21" applyNumberFormat="1" applyFont="1" applyFill="1" applyBorder="1" applyAlignment="1">
      <alignment vertical="top"/>
    </xf>
    <xf numFmtId="174" fontId="22" fillId="7" borderId="0" xfId="21" applyNumberFormat="1" applyFont="1" applyFill="1" applyBorder="1" applyAlignment="1"/>
    <xf numFmtId="174" fontId="22" fillId="0" borderId="0" xfId="21" applyNumberFormat="1" applyFont="1" applyFill="1" applyBorder="1" applyAlignment="1">
      <alignment vertical="top"/>
    </xf>
    <xf numFmtId="174" fontId="22" fillId="7" borderId="6" xfId="21" applyNumberFormat="1" applyFont="1" applyFill="1" applyBorder="1" applyAlignment="1">
      <alignment vertical="top"/>
    </xf>
    <xf numFmtId="174" fontId="22" fillId="7" borderId="6" xfId="21" applyNumberFormat="1" applyFont="1" applyFill="1" applyBorder="1" applyAlignment="1"/>
    <xf numFmtId="174" fontId="22" fillId="0" borderId="6" xfId="21" applyNumberFormat="1" applyFont="1" applyFill="1" applyBorder="1" applyAlignment="1"/>
    <xf numFmtId="174" fontId="22" fillId="0" borderId="6" xfId="21" applyNumberFormat="1" applyFont="1" applyFill="1" applyBorder="1" applyAlignment="1">
      <alignment vertical="top"/>
    </xf>
    <xf numFmtId="7" fontId="18" fillId="7" borderId="0" xfId="21" applyNumberFormat="1" applyFont="1" applyFill="1" applyBorder="1" applyAlignment="1"/>
    <xf numFmtId="177" fontId="18" fillId="0" borderId="0" xfId="21" applyNumberFormat="1" applyFont="1" applyFill="1" applyBorder="1" applyAlignment="1"/>
    <xf numFmtId="0" fontId="18" fillId="7" borderId="0" xfId="21" applyNumberFormat="1" applyFont="1" applyFill="1" applyBorder="1" applyAlignment="1">
      <alignment horizontal="centerContinuous"/>
    </xf>
    <xf numFmtId="166" fontId="18" fillId="0" borderId="2" xfId="19" applyNumberFormat="1" applyFont="1" applyBorder="1"/>
    <xf numFmtId="174" fontId="18" fillId="0" borderId="2" xfId="21" applyNumberFormat="1" applyFont="1" applyFill="1" applyBorder="1" applyAlignment="1"/>
    <xf numFmtId="0" fontId="14" fillId="0" borderId="2" xfId="21" applyNumberFormat="1" applyFont="1" applyFill="1" applyBorder="1" applyAlignment="1"/>
    <xf numFmtId="174" fontId="18" fillId="0" borderId="2" xfId="21" applyNumberFormat="1" applyFont="1" applyFill="1" applyBorder="1" applyAlignment="1">
      <alignment vertical="top"/>
    </xf>
    <xf numFmtId="166" fontId="14" fillId="0" borderId="0" xfId="19" applyNumberFormat="1" applyFont="1" applyAlignment="1">
      <alignment vertical="center"/>
    </xf>
    <xf numFmtId="166" fontId="22" fillId="0" borderId="0" xfId="19" applyNumberFormat="1" applyFont="1" applyAlignment="1">
      <alignment vertical="center"/>
    </xf>
    <xf numFmtId="170" fontId="14" fillId="7" borderId="0" xfId="20" applyNumberFormat="1" applyFont="1" applyFill="1" applyBorder="1" applyAlignment="1">
      <alignment vertical="center"/>
    </xf>
    <xf numFmtId="14" fontId="30" fillId="0" borderId="0" xfId="19" applyNumberFormat="1" applyFont="1" applyAlignment="1">
      <alignment horizontal="left" vertical="center"/>
    </xf>
    <xf numFmtId="0" fontId="24" fillId="0" borderId="0" xfId="0" applyFont="1"/>
    <xf numFmtId="0" fontId="31" fillId="0" borderId="0" xfId="0" applyFont="1"/>
    <xf numFmtId="179" fontId="13" fillId="0" borderId="0" xfId="19" applyNumberFormat="1" applyFont="1"/>
    <xf numFmtId="173" fontId="13" fillId="0" borderId="2" xfId="19" applyNumberFormat="1" applyFont="1" applyBorder="1"/>
    <xf numFmtId="0" fontId="32" fillId="0" borderId="0" xfId="0" applyFont="1"/>
    <xf numFmtId="0" fontId="33" fillId="0" borderId="0" xfId="0" applyFont="1"/>
    <xf numFmtId="0" fontId="14" fillId="0" borderId="0" xfId="21" applyNumberFormat="1" applyFont="1" applyFill="1" applyBorder="1" applyAlignment="1"/>
    <xf numFmtId="0" fontId="13" fillId="0" borderId="0" xfId="21" applyNumberFormat="1" applyFont="1" applyFill="1" applyBorder="1" applyAlignment="1"/>
    <xf numFmtId="165" fontId="13" fillId="0" borderId="8" xfId="19" applyNumberFormat="1" applyFont="1" applyBorder="1"/>
    <xf numFmtId="166" fontId="14" fillId="0" borderId="8" xfId="19" applyNumberFormat="1" applyFont="1" applyBorder="1"/>
    <xf numFmtId="166" fontId="18" fillId="0" borderId="8" xfId="19" applyNumberFormat="1" applyFont="1" applyBorder="1"/>
    <xf numFmtId="174" fontId="18" fillId="0" borderId="8" xfId="21" applyNumberFormat="1" applyFont="1" applyFill="1" applyBorder="1" applyAlignment="1"/>
    <xf numFmtId="0" fontId="14" fillId="0" borderId="8" xfId="21" applyNumberFormat="1" applyFont="1" applyFill="1" applyBorder="1" applyAlignment="1"/>
    <xf numFmtId="0" fontId="13" fillId="0" borderId="8" xfId="21" applyNumberFormat="1" applyFont="1" applyFill="1" applyBorder="1" applyAlignment="1"/>
    <xf numFmtId="174" fontId="18" fillId="0" borderId="8" xfId="21" applyNumberFormat="1" applyFont="1" applyFill="1" applyBorder="1" applyAlignment="1">
      <alignment vertical="top"/>
    </xf>
    <xf numFmtId="165" fontId="22" fillId="0" borderId="0" xfId="19" applyNumberFormat="1" applyFont="1"/>
    <xf numFmtId="169" fontId="14" fillId="7" borderId="0" xfId="19" applyNumberFormat="1" applyFont="1" applyFill="1"/>
    <xf numFmtId="0" fontId="18" fillId="0" borderId="0" xfId="19" applyFont="1" applyAlignment="1">
      <alignment horizontal="left" indent="2"/>
    </xf>
    <xf numFmtId="0" fontId="14" fillId="0" borderId="8" xfId="19" applyFont="1" applyBorder="1"/>
    <xf numFmtId="169" fontId="18" fillId="0" borderId="0" xfId="19" applyNumberFormat="1" applyFont="1" applyAlignment="1">
      <alignment horizontal="right"/>
    </xf>
    <xf numFmtId="37" fontId="18" fillId="0" borderId="0" xfId="22" applyNumberFormat="1" applyFont="1" applyFill="1" applyBorder="1" applyAlignment="1">
      <alignment horizontal="right"/>
    </xf>
    <xf numFmtId="169" fontId="22" fillId="0" borderId="0" xfId="19" applyNumberFormat="1" applyFont="1" applyAlignment="1">
      <alignment horizontal="right"/>
    </xf>
    <xf numFmtId="172" fontId="29" fillId="2" borderId="0" xfId="19" applyNumberFormat="1" applyFont="1" applyFill="1"/>
    <xf numFmtId="172" fontId="29" fillId="0" borderId="0" xfId="19" applyNumberFormat="1" applyFont="1"/>
    <xf numFmtId="7" fontId="25" fillId="0" borderId="6" xfId="21" applyNumberFormat="1" applyFont="1" applyFill="1" applyBorder="1" applyAlignment="1"/>
    <xf numFmtId="169" fontId="19" fillId="0" borderId="0" xfId="19" applyNumberFormat="1" applyFont="1" applyAlignment="1">
      <alignment horizontal="right"/>
    </xf>
    <xf numFmtId="169" fontId="19" fillId="0" borderId="0" xfId="21" applyNumberFormat="1" applyFont="1" applyFill="1" applyBorder="1" applyAlignment="1">
      <alignment horizontal="right"/>
    </xf>
    <xf numFmtId="172" fontId="23" fillId="2" borderId="0" xfId="19" applyNumberFormat="1" applyFont="1" applyFill="1"/>
    <xf numFmtId="178" fontId="17" fillId="0" borderId="0" xfId="19" applyNumberFormat="1" applyFont="1"/>
    <xf numFmtId="178" fontId="25" fillId="0" borderId="0" xfId="19" applyNumberFormat="1" applyFont="1"/>
    <xf numFmtId="0" fontId="14" fillId="7" borderId="0" xfId="19" applyFont="1" applyFill="1"/>
    <xf numFmtId="169" fontId="18" fillId="7" borderId="0" xfId="19" applyNumberFormat="1" applyFont="1" applyFill="1" applyAlignment="1">
      <alignment horizontal="right"/>
    </xf>
    <xf numFmtId="37" fontId="17" fillId="0" borderId="0" xfId="19" applyNumberFormat="1" applyFont="1"/>
    <xf numFmtId="37" fontId="14" fillId="0" borderId="0" xfId="19" applyNumberFormat="1" applyFont="1"/>
    <xf numFmtId="37" fontId="20" fillId="0" borderId="0" xfId="19" applyNumberFormat="1" applyFont="1"/>
    <xf numFmtId="5" fontId="25" fillId="0" borderId="0" xfId="19" applyNumberFormat="1" applyFont="1"/>
    <xf numFmtId="177" fontId="14" fillId="0" borderId="0" xfId="19" applyNumberFormat="1" applyFont="1"/>
    <xf numFmtId="177" fontId="22" fillId="0" borderId="0" xfId="19" applyNumberFormat="1" applyFont="1" applyAlignment="1">
      <alignment horizontal="right"/>
    </xf>
    <xf numFmtId="176" fontId="18" fillId="0" borderId="0" xfId="21" applyNumberFormat="1" applyFont="1" applyFill="1" applyBorder="1" applyAlignment="1">
      <alignment horizontal="right"/>
    </xf>
    <xf numFmtId="5" fontId="36" fillId="2" borderId="0" xfId="19" applyNumberFormat="1" applyFont="1" applyFill="1"/>
    <xf numFmtId="5" fontId="25" fillId="2" borderId="6" xfId="19" applyNumberFormat="1" applyFont="1" applyFill="1" applyBorder="1"/>
    <xf numFmtId="5" fontId="25" fillId="7" borderId="6" xfId="19" applyNumberFormat="1" applyFont="1" applyFill="1" applyBorder="1"/>
    <xf numFmtId="5" fontId="25" fillId="2" borderId="0" xfId="19" applyNumberFormat="1" applyFont="1" applyFill="1"/>
    <xf numFmtId="178" fontId="25" fillId="0" borderId="5" xfId="19" applyNumberFormat="1" applyFont="1" applyBorder="1"/>
    <xf numFmtId="178" fontId="25" fillId="7" borderId="5" xfId="19" applyNumberFormat="1" applyFont="1" applyFill="1" applyBorder="1"/>
    <xf numFmtId="5" fontId="17" fillId="0" borderId="0" xfId="19" applyNumberFormat="1" applyFont="1"/>
    <xf numFmtId="5" fontId="20" fillId="7" borderId="0" xfId="20" applyNumberFormat="1" applyFont="1" applyFill="1" applyBorder="1" applyAlignment="1"/>
    <xf numFmtId="5" fontId="20" fillId="0" borderId="0" xfId="19" applyNumberFormat="1" applyFont="1"/>
    <xf numFmtId="5" fontId="25" fillId="0" borderId="6" xfId="21" applyNumberFormat="1" applyFont="1" applyFill="1" applyBorder="1" applyAlignment="1"/>
    <xf numFmtId="5" fontId="25" fillId="7" borderId="6" xfId="20" applyNumberFormat="1" applyFont="1" applyFill="1" applyBorder="1" applyAlignment="1"/>
    <xf numFmtId="5" fontId="25" fillId="7" borderId="0" xfId="20" applyNumberFormat="1" applyFont="1" applyFill="1" applyBorder="1" applyAlignment="1"/>
    <xf numFmtId="5" fontId="20" fillId="0" borderId="0" xfId="21" applyNumberFormat="1" applyFont="1" applyFill="1" applyBorder="1" applyAlignment="1"/>
    <xf numFmtId="5" fontId="17" fillId="0" borderId="0" xfId="21" applyNumberFormat="1" applyFont="1" applyFill="1" applyBorder="1" applyAlignment="1"/>
    <xf numFmtId="172" fontId="35" fillId="0" borderId="0" xfId="19" applyNumberFormat="1" applyFont="1"/>
    <xf numFmtId="172" fontId="35" fillId="2" borderId="0" xfId="19" applyNumberFormat="1" applyFont="1" applyFill="1"/>
    <xf numFmtId="178" fontId="25" fillId="7" borderId="0" xfId="19" applyNumberFormat="1" applyFont="1" applyFill="1" applyAlignment="1">
      <alignment horizontal="right"/>
    </xf>
    <xf numFmtId="169" fontId="19" fillId="7" borderId="0" xfId="19" applyNumberFormat="1" applyFont="1" applyFill="1" applyAlignment="1">
      <alignment horizontal="right"/>
    </xf>
    <xf numFmtId="173" fontId="22" fillId="7" borderId="0" xfId="20" applyNumberFormat="1" applyFont="1" applyFill="1" applyBorder="1"/>
    <xf numFmtId="37" fontId="20" fillId="7" borderId="0" xfId="20" applyNumberFormat="1" applyFont="1" applyFill="1" applyBorder="1" applyAlignment="1"/>
    <xf numFmtId="173" fontId="22" fillId="7" borderId="0" xfId="20" applyNumberFormat="1" applyFont="1" applyFill="1" applyBorder="1" applyAlignment="1"/>
    <xf numFmtId="5" fontId="14" fillId="0" borderId="0" xfId="19" applyNumberFormat="1" applyFont="1"/>
    <xf numFmtId="37" fontId="17" fillId="0" borderId="0" xfId="21" applyNumberFormat="1" applyFont="1" applyFill="1" applyBorder="1" applyAlignment="1"/>
    <xf numFmtId="9" fontId="18" fillId="0" borderId="8" xfId="19" applyNumberFormat="1" applyFont="1" applyBorder="1"/>
    <xf numFmtId="172" fontId="18" fillId="7" borderId="0" xfId="19" applyNumberFormat="1" applyFont="1" applyFill="1"/>
    <xf numFmtId="169" fontId="19" fillId="7" borderId="0" xfId="21" applyNumberFormat="1" applyFont="1" applyFill="1" applyBorder="1" applyAlignment="1">
      <alignment horizontal="right"/>
    </xf>
    <xf numFmtId="37" fontId="17" fillId="7" borderId="0" xfId="19" applyNumberFormat="1" applyFont="1" applyFill="1"/>
    <xf numFmtId="5" fontId="25" fillId="7" borderId="0" xfId="19" applyNumberFormat="1" applyFont="1" applyFill="1"/>
    <xf numFmtId="37" fontId="14" fillId="7" borderId="0" xfId="19" applyNumberFormat="1" applyFont="1" applyFill="1"/>
    <xf numFmtId="167" fontId="33" fillId="0" borderId="0" xfId="0" applyNumberFormat="1" applyFont="1"/>
    <xf numFmtId="37" fontId="17" fillId="0" borderId="0" xfId="0" applyNumberFormat="1" applyFont="1"/>
    <xf numFmtId="37" fontId="17" fillId="7" borderId="0" xfId="0" applyNumberFormat="1" applyFont="1" applyFill="1"/>
    <xf numFmtId="5" fontId="20" fillId="0" borderId="0" xfId="0" applyNumberFormat="1" applyFont="1"/>
    <xf numFmtId="5" fontId="20" fillId="7" borderId="0" xfId="0" applyNumberFormat="1" applyFont="1" applyFill="1"/>
    <xf numFmtId="165" fontId="14" fillId="0" borderId="0" xfId="19" applyNumberFormat="1" applyFont="1" applyAlignment="1">
      <alignment horizontal="left" vertical="center"/>
    </xf>
    <xf numFmtId="37" fontId="13" fillId="7" borderId="0" xfId="19" applyNumberFormat="1" applyFont="1" applyFill="1"/>
    <xf numFmtId="5" fontId="25" fillId="7" borderId="0" xfId="19" applyNumberFormat="1" applyFont="1" applyFill="1" applyAlignment="1">
      <alignment horizontal="right"/>
    </xf>
    <xf numFmtId="5" fontId="25" fillId="7" borderId="5" xfId="19" applyNumberFormat="1" applyFont="1" applyFill="1" applyBorder="1"/>
    <xf numFmtId="169" fontId="21" fillId="0" borderId="0" xfId="19" applyNumberFormat="1" applyFont="1" applyAlignment="1">
      <alignment horizontal="right"/>
    </xf>
    <xf numFmtId="37" fontId="13" fillId="0" borderId="0" xfId="19" applyNumberFormat="1" applyFont="1"/>
    <xf numFmtId="169" fontId="29" fillId="7" borderId="0" xfId="19" applyNumberFormat="1" applyFont="1" applyFill="1"/>
    <xf numFmtId="172" fontId="29" fillId="7" borderId="0" xfId="20" applyNumberFormat="1" applyFont="1" applyFill="1" applyBorder="1" applyAlignment="1"/>
    <xf numFmtId="172" fontId="35" fillId="7" borderId="0" xfId="20" applyNumberFormat="1" applyFont="1" applyFill="1" applyBorder="1" applyAlignment="1"/>
    <xf numFmtId="172" fontId="29" fillId="7" borderId="0" xfId="19" applyNumberFormat="1" applyFont="1" applyFill="1"/>
    <xf numFmtId="172" fontId="35" fillId="7" borderId="0" xfId="19" applyNumberFormat="1" applyFont="1" applyFill="1"/>
    <xf numFmtId="5" fontId="36" fillId="7" borderId="0" xfId="19" applyNumberFormat="1" applyFont="1" applyFill="1"/>
    <xf numFmtId="7" fontId="18" fillId="7" borderId="0" xfId="19" applyNumberFormat="1" applyFont="1" applyFill="1"/>
    <xf numFmtId="5" fontId="25" fillId="7" borderId="6" xfId="21" applyNumberFormat="1" applyFont="1" applyFill="1" applyBorder="1" applyAlignment="1"/>
    <xf numFmtId="1" fontId="17" fillId="0" borderId="0" xfId="19" applyNumberFormat="1" applyFont="1"/>
    <xf numFmtId="37" fontId="20" fillId="7" borderId="0" xfId="19" applyNumberFormat="1" applyFont="1" applyFill="1" applyAlignment="1">
      <alignment horizontal="right"/>
    </xf>
    <xf numFmtId="5" fontId="25" fillId="0" borderId="6" xfId="19" applyNumberFormat="1" applyFont="1" applyBorder="1"/>
    <xf numFmtId="0" fontId="38" fillId="0" borderId="0" xfId="19" applyFont="1"/>
    <xf numFmtId="5" fontId="20" fillId="7" borderId="0" xfId="19" applyNumberFormat="1" applyFont="1" applyFill="1"/>
    <xf numFmtId="5" fontId="17" fillId="7" borderId="0" xfId="19" applyNumberFormat="1" applyFont="1" applyFill="1"/>
    <xf numFmtId="37" fontId="20" fillId="0" borderId="0" xfId="21" applyNumberFormat="1" applyFont="1" applyFill="1" applyBorder="1" applyAlignment="1"/>
    <xf numFmtId="5" fontId="26" fillId="0" borderId="0" xfId="21" applyNumberFormat="1" applyFont="1" applyFill="1" applyBorder="1" applyAlignment="1"/>
    <xf numFmtId="0" fontId="18" fillId="0" borderId="2" xfId="19" applyFont="1" applyBorder="1" applyAlignment="1">
      <alignment horizontal="left" indent="1"/>
    </xf>
    <xf numFmtId="166" fontId="22" fillId="0" borderId="2" xfId="19" applyNumberFormat="1" applyFont="1" applyBorder="1"/>
    <xf numFmtId="37" fontId="17" fillId="2" borderId="0" xfId="19" applyNumberFormat="1" applyFont="1" applyFill="1" applyAlignment="1">
      <alignment horizontal="right"/>
    </xf>
    <xf numFmtId="5" fontId="27" fillId="0" borderId="0" xfId="19" applyNumberFormat="1" applyFont="1"/>
    <xf numFmtId="5" fontId="26" fillId="7" borderId="0" xfId="21" applyNumberFormat="1" applyFont="1" applyFill="1" applyBorder="1" applyAlignment="1"/>
    <xf numFmtId="5" fontId="17" fillId="7" borderId="0" xfId="21" applyNumberFormat="1" applyFont="1" applyFill="1" applyBorder="1" applyAlignment="1"/>
    <xf numFmtId="172" fontId="19" fillId="2" borderId="0" xfId="19" applyNumberFormat="1" applyFont="1" applyFill="1" applyAlignment="1">
      <alignment horizontal="right"/>
    </xf>
    <xf numFmtId="173" fontId="17" fillId="7" borderId="0" xfId="19" applyNumberFormat="1" applyFont="1" applyFill="1"/>
    <xf numFmtId="173" fontId="17" fillId="7" borderId="0" xfId="19" applyNumberFormat="1" applyFont="1" applyFill="1" applyAlignment="1">
      <alignment horizontal="right"/>
    </xf>
    <xf numFmtId="174" fontId="18" fillId="7" borderId="2" xfId="21" applyNumberFormat="1" applyFont="1" applyFill="1" applyBorder="1" applyAlignment="1">
      <alignment vertical="top"/>
    </xf>
    <xf numFmtId="174" fontId="18" fillId="7" borderId="2" xfId="21" applyNumberFormat="1" applyFont="1" applyFill="1" applyBorder="1" applyAlignment="1"/>
    <xf numFmtId="170" fontId="13" fillId="0" borderId="2" xfId="21" applyNumberFormat="1" applyFont="1" applyFill="1" applyBorder="1" applyAlignment="1"/>
    <xf numFmtId="169" fontId="18" fillId="7" borderId="2" xfId="21" applyNumberFormat="1" applyFont="1" applyFill="1" applyBorder="1" applyAlignment="1"/>
    <xf numFmtId="175" fontId="18" fillId="7" borderId="2" xfId="19" applyNumberFormat="1" applyFont="1" applyFill="1" applyBorder="1" applyAlignment="1">
      <alignment horizontal="right"/>
    </xf>
    <xf numFmtId="169" fontId="18" fillId="7" borderId="0" xfId="21" applyNumberFormat="1" applyFont="1" applyFill="1" applyBorder="1" applyAlignment="1">
      <alignment horizontal="right"/>
    </xf>
    <xf numFmtId="5" fontId="27" fillId="0" borderId="0" xfId="19" applyNumberFormat="1" applyFont="1" applyAlignment="1">
      <alignment horizontal="right"/>
    </xf>
    <xf numFmtId="37" fontId="13" fillId="7" borderId="0" xfId="19" applyNumberFormat="1" applyFont="1" applyFill="1" applyAlignment="1">
      <alignment horizontal="right"/>
    </xf>
    <xf numFmtId="7" fontId="25" fillId="7" borderId="6" xfId="21" applyNumberFormat="1" applyFont="1" applyFill="1" applyBorder="1" applyAlignment="1"/>
    <xf numFmtId="169" fontId="33" fillId="0" borderId="0" xfId="0" applyNumberFormat="1" applyFont="1"/>
    <xf numFmtId="0" fontId="34" fillId="0" borderId="0" xfId="0" applyFont="1"/>
    <xf numFmtId="0" fontId="13" fillId="0" borderId="0" xfId="0" applyFont="1"/>
    <xf numFmtId="172" fontId="23" fillId="7" borderId="7" xfId="19" applyNumberFormat="1" applyFont="1" applyFill="1" applyBorder="1"/>
    <xf numFmtId="37" fontId="17" fillId="7" borderId="0" xfId="19" applyNumberFormat="1" applyFont="1" applyFill="1" applyAlignment="1">
      <alignment horizontal="right"/>
    </xf>
    <xf numFmtId="172" fontId="23" fillId="2" borderId="7" xfId="19" applyNumberFormat="1" applyFont="1" applyFill="1" applyBorder="1"/>
    <xf numFmtId="173" fontId="19" fillId="2" borderId="0" xfId="19" applyNumberFormat="1" applyFont="1" applyFill="1"/>
    <xf numFmtId="169" fontId="34" fillId="0" borderId="0" xfId="0" applyNumberFormat="1" applyFont="1"/>
    <xf numFmtId="5" fontId="21" fillId="2" borderId="0" xfId="19" applyNumberFormat="1" applyFont="1" applyFill="1" applyAlignment="1">
      <alignment horizontal="right"/>
    </xf>
    <xf numFmtId="5" fontId="19" fillId="7" borderId="0" xfId="19" applyNumberFormat="1" applyFont="1" applyFill="1"/>
    <xf numFmtId="5" fontId="19" fillId="7" borderId="0" xfId="19" applyNumberFormat="1" applyFont="1" applyFill="1" applyAlignment="1">
      <alignment horizontal="right"/>
    </xf>
    <xf numFmtId="5" fontId="19" fillId="2" borderId="0" xfId="19" applyNumberFormat="1" applyFont="1" applyFill="1" applyAlignment="1">
      <alignment horizontal="right"/>
    </xf>
    <xf numFmtId="5" fontId="19" fillId="0" borderId="0" xfId="19" applyNumberFormat="1" applyFont="1" applyAlignment="1">
      <alignment horizontal="right"/>
    </xf>
    <xf numFmtId="7" fontId="25" fillId="0" borderId="6" xfId="19" applyNumberFormat="1" applyFont="1" applyBorder="1"/>
    <xf numFmtId="172" fontId="18" fillId="2" borderId="0" xfId="19" applyNumberFormat="1" applyFont="1" applyFill="1"/>
    <xf numFmtId="172" fontId="22" fillId="2" borderId="7" xfId="19" applyNumberFormat="1" applyFont="1" applyFill="1" applyBorder="1"/>
    <xf numFmtId="178" fontId="36" fillId="7" borderId="0" xfId="19" applyNumberFormat="1" applyFont="1" applyFill="1"/>
    <xf numFmtId="0" fontId="39" fillId="0" borderId="0" xfId="0" applyFont="1"/>
    <xf numFmtId="172" fontId="18" fillId="7" borderId="0" xfId="19" applyNumberFormat="1" applyFont="1" applyFill="1" applyAlignment="1">
      <alignment horizontal="right"/>
    </xf>
    <xf numFmtId="169" fontId="18" fillId="0" borderId="0" xfId="19" applyNumberFormat="1" applyFont="1"/>
    <xf numFmtId="169" fontId="18" fillId="7" borderId="0" xfId="19" applyNumberFormat="1" applyFont="1" applyFill="1"/>
    <xf numFmtId="169" fontId="21" fillId="0" borderId="0" xfId="19" applyNumberFormat="1" applyFont="1"/>
    <xf numFmtId="169" fontId="18" fillId="2" borderId="0" xfId="19" applyNumberFormat="1" applyFont="1" applyFill="1" applyAlignment="1">
      <alignment horizontal="right"/>
    </xf>
    <xf numFmtId="169" fontId="21" fillId="7" borderId="0" xfId="19" applyNumberFormat="1" applyFont="1" applyFill="1" applyAlignment="1">
      <alignment horizontal="right"/>
    </xf>
    <xf numFmtId="171" fontId="18" fillId="7" borderId="0" xfId="20" applyNumberFormat="1" applyFont="1" applyFill="1" applyBorder="1"/>
    <xf numFmtId="169" fontId="18" fillId="7" borderId="0" xfId="20" applyNumberFormat="1" applyFont="1" applyFill="1" applyBorder="1" applyAlignment="1"/>
    <xf numFmtId="169" fontId="21" fillId="7" borderId="0" xfId="20" applyNumberFormat="1" applyFont="1" applyFill="1" applyBorder="1" applyAlignment="1"/>
    <xf numFmtId="171" fontId="18" fillId="7" borderId="0" xfId="20" applyNumberFormat="1" applyFont="1" applyFill="1" applyBorder="1" applyAlignment="1"/>
    <xf numFmtId="172" fontId="23" fillId="7" borderId="0" xfId="19" applyNumberFormat="1" applyFont="1" applyFill="1"/>
    <xf numFmtId="172" fontId="22" fillId="2" borderId="0" xfId="19" applyNumberFormat="1" applyFont="1" applyFill="1"/>
    <xf numFmtId="171" fontId="22" fillId="0" borderId="0" xfId="20" applyNumberFormat="1" applyFont="1" applyFill="1" applyBorder="1" applyAlignment="1"/>
    <xf numFmtId="173" fontId="22" fillId="0" borderId="0" xfId="20" applyNumberFormat="1" applyFont="1" applyFill="1" applyBorder="1" applyAlignment="1"/>
    <xf numFmtId="172" fontId="14" fillId="0" borderId="0" xfId="19" applyNumberFormat="1" applyFont="1"/>
    <xf numFmtId="172" fontId="28" fillId="0" borderId="0" xfId="19" applyNumberFormat="1" applyFont="1"/>
    <xf numFmtId="171" fontId="22" fillId="0" borderId="0" xfId="20" applyNumberFormat="1" applyFont="1" applyFill="1" applyBorder="1"/>
    <xf numFmtId="173" fontId="22" fillId="0" borderId="0" xfId="20" applyNumberFormat="1" applyFont="1" applyFill="1" applyBorder="1"/>
    <xf numFmtId="170" fontId="14" fillId="0" borderId="0" xfId="20" applyNumberFormat="1" applyFont="1" applyFill="1" applyBorder="1" applyAlignment="1">
      <alignment vertical="center"/>
    </xf>
    <xf numFmtId="170" fontId="14" fillId="0" borderId="6" xfId="20" applyNumberFormat="1" applyFont="1" applyFill="1" applyBorder="1" applyAlignment="1">
      <alignment vertical="center"/>
    </xf>
    <xf numFmtId="169" fontId="23" fillId="7" borderId="0" xfId="19" applyNumberFormat="1" applyFont="1" applyFill="1" applyAlignment="1">
      <alignment horizontal="right"/>
    </xf>
    <xf numFmtId="5" fontId="21" fillId="7" borderId="0" xfId="19" applyNumberFormat="1" applyFont="1" applyFill="1"/>
    <xf numFmtId="178" fontId="25" fillId="7" borderId="0" xfId="19" applyNumberFormat="1" applyFont="1" applyFill="1"/>
    <xf numFmtId="169" fontId="19" fillId="7" borderId="0" xfId="19" applyNumberFormat="1" applyFont="1" applyFill="1" applyAlignment="1">
      <alignment horizontal="right" vertical="top"/>
    </xf>
    <xf numFmtId="37" fontId="19" fillId="7" borderId="0" xfId="22" applyNumberFormat="1" applyFont="1" applyFill="1" applyBorder="1" applyAlignment="1">
      <alignment horizontal="right" vertical="top"/>
    </xf>
    <xf numFmtId="37" fontId="19" fillId="7" borderId="0" xfId="0" applyNumberFormat="1" applyFont="1" applyFill="1" applyAlignment="1">
      <alignment horizontal="right" vertical="top"/>
    </xf>
    <xf numFmtId="169" fontId="18" fillId="7" borderId="0" xfId="19" applyNumberFormat="1" applyFont="1" applyFill="1" applyAlignment="1">
      <alignment horizontal="right" vertical="top"/>
    </xf>
    <xf numFmtId="5" fontId="20" fillId="7" borderId="0" xfId="21" applyNumberFormat="1" applyFont="1" applyFill="1" applyBorder="1" applyAlignment="1"/>
    <xf numFmtId="37" fontId="20" fillId="7" borderId="0" xfId="21" applyNumberFormat="1" applyFont="1" applyFill="1" applyBorder="1" applyAlignment="1"/>
    <xf numFmtId="37" fontId="17" fillId="7" borderId="0" xfId="21" applyNumberFormat="1" applyFont="1" applyFill="1" applyBorder="1" applyAlignment="1"/>
    <xf numFmtId="37" fontId="20" fillId="7" borderId="0" xfId="19" applyNumberFormat="1" applyFont="1" applyFill="1"/>
    <xf numFmtId="7" fontId="36" fillId="7" borderId="6" xfId="20" applyNumberFormat="1" applyFont="1" applyFill="1" applyBorder="1" applyAlignment="1"/>
    <xf numFmtId="0" fontId="13" fillId="0" borderId="8" xfId="21" applyNumberFormat="1" applyFont="1" applyFill="1" applyBorder="1" applyAlignment="1">
      <alignment horizontal="right"/>
    </xf>
    <xf numFmtId="0" fontId="13" fillId="0" borderId="0" xfId="21" applyNumberFormat="1" applyFont="1" applyFill="1" applyBorder="1" applyAlignment="1">
      <alignment horizontal="right"/>
    </xf>
    <xf numFmtId="178" fontId="18" fillId="7" borderId="0" xfId="19" applyNumberFormat="1" applyFont="1" applyFill="1"/>
    <xf numFmtId="5" fontId="21" fillId="0" borderId="0" xfId="19" applyNumberFormat="1" applyFont="1"/>
    <xf numFmtId="178" fontId="21" fillId="7" borderId="0" xfId="19" applyNumberFormat="1" applyFont="1" applyFill="1"/>
    <xf numFmtId="7" fontId="20" fillId="0" borderId="0" xfId="21" applyNumberFormat="1" applyFont="1" applyFill="1" applyBorder="1" applyAlignment="1"/>
    <xf numFmtId="7" fontId="20" fillId="7" borderId="0" xfId="21" applyNumberFormat="1" applyFont="1" applyFill="1" applyBorder="1" applyAlignment="1"/>
    <xf numFmtId="5" fontId="33" fillId="0" borderId="0" xfId="0" applyNumberFormat="1" applyFont="1"/>
    <xf numFmtId="7" fontId="33" fillId="0" borderId="0" xfId="0" applyNumberFormat="1" applyFont="1"/>
    <xf numFmtId="178" fontId="14" fillId="0" borderId="0" xfId="19" applyNumberFormat="1" applyFont="1"/>
    <xf numFmtId="0" fontId="14" fillId="8" borderId="0" xfId="19" applyFont="1" applyFill="1"/>
    <xf numFmtId="167" fontId="14" fillId="8" borderId="0" xfId="19" applyNumberFormat="1" applyFont="1" applyFill="1"/>
    <xf numFmtId="169" fontId="14" fillId="8" borderId="0" xfId="19" applyNumberFormat="1" applyFont="1" applyFill="1"/>
    <xf numFmtId="0" fontId="18" fillId="8" borderId="0" xfId="19" applyFont="1" applyFill="1" applyAlignment="1">
      <alignment horizontal="left" indent="1"/>
    </xf>
    <xf numFmtId="9" fontId="18" fillId="8" borderId="0" xfId="19" applyNumberFormat="1" applyFont="1" applyFill="1"/>
    <xf numFmtId="171" fontId="18" fillId="8" borderId="0" xfId="19" applyNumberFormat="1" applyFont="1" applyFill="1"/>
    <xf numFmtId="167" fontId="14" fillId="8" borderId="4" xfId="19" applyNumberFormat="1" applyFont="1" applyFill="1" applyBorder="1"/>
    <xf numFmtId="169" fontId="14" fillId="8" borderId="4" xfId="19" applyNumberFormat="1" applyFont="1" applyFill="1" applyBorder="1"/>
    <xf numFmtId="169" fontId="18" fillId="8" borderId="0" xfId="19" applyNumberFormat="1" applyFont="1" applyFill="1" applyAlignment="1">
      <alignment horizontal="right"/>
    </xf>
    <xf numFmtId="37" fontId="20" fillId="7" borderId="0" xfId="0" applyNumberFormat="1" applyFont="1" applyFill="1"/>
    <xf numFmtId="37" fontId="20" fillId="0" borderId="0" xfId="0" applyNumberFormat="1" applyFont="1"/>
    <xf numFmtId="37" fontId="33" fillId="0" borderId="0" xfId="0" applyNumberFormat="1" applyFont="1"/>
    <xf numFmtId="5" fontId="27" fillId="0" borderId="0" xfId="0" applyNumberFormat="1" applyFont="1"/>
    <xf numFmtId="177" fontId="20" fillId="0" borderId="0" xfId="0" applyNumberFormat="1" applyFont="1"/>
    <xf numFmtId="37" fontId="27" fillId="0" borderId="0" xfId="19" applyNumberFormat="1" applyFont="1"/>
    <xf numFmtId="0" fontId="33" fillId="0" borderId="0" xfId="0" quotePrefix="1" applyFont="1"/>
    <xf numFmtId="169" fontId="17" fillId="0" borderId="0" xfId="19" applyNumberFormat="1" applyFont="1"/>
    <xf numFmtId="37" fontId="32" fillId="0" borderId="4" xfId="0" applyNumberFormat="1" applyFont="1" applyBorder="1"/>
    <xf numFmtId="37" fontId="14" fillId="0" borderId="4" xfId="19" applyNumberFormat="1" applyFont="1" applyBorder="1"/>
    <xf numFmtId="5" fontId="36" fillId="0" borderId="4" xfId="19" applyNumberFormat="1" applyFont="1" applyBorder="1"/>
    <xf numFmtId="5" fontId="25" fillId="0" borderId="4" xfId="19" applyNumberFormat="1" applyFont="1" applyBorder="1"/>
    <xf numFmtId="37" fontId="32" fillId="0" borderId="0" xfId="0" applyNumberFormat="1" applyFont="1"/>
    <xf numFmtId="178" fontId="20" fillId="0" borderId="0" xfId="19" applyNumberFormat="1" applyFont="1"/>
    <xf numFmtId="37" fontId="27" fillId="0" borderId="0" xfId="0" applyNumberFormat="1" applyFont="1"/>
    <xf numFmtId="5" fontId="13" fillId="0" borderId="0" xfId="0" applyNumberFormat="1" applyFont="1"/>
    <xf numFmtId="37" fontId="13" fillId="0" borderId="0" xfId="0" applyNumberFormat="1" applyFont="1"/>
    <xf numFmtId="37" fontId="22" fillId="0" borderId="0" xfId="19" applyNumberFormat="1" applyFont="1"/>
    <xf numFmtId="167" fontId="22" fillId="0" borderId="0" xfId="19" applyNumberFormat="1" applyFont="1"/>
    <xf numFmtId="172" fontId="13" fillId="0" borderId="0" xfId="19" applyNumberFormat="1" applyFont="1"/>
    <xf numFmtId="5" fontId="23" fillId="7" borderId="0" xfId="19" applyNumberFormat="1" applyFont="1" applyFill="1" applyAlignment="1">
      <alignment horizontal="right"/>
    </xf>
    <xf numFmtId="5" fontId="23" fillId="0" borderId="0" xfId="19" applyNumberFormat="1" applyFont="1" applyAlignment="1">
      <alignment horizontal="right"/>
    </xf>
    <xf numFmtId="169" fontId="22" fillId="0" borderId="0" xfId="19" applyNumberFormat="1" applyFont="1"/>
    <xf numFmtId="169" fontId="22" fillId="7" borderId="0" xfId="19" applyNumberFormat="1" applyFont="1" applyFill="1"/>
    <xf numFmtId="5" fontId="23" fillId="2" borderId="0" xfId="19" applyNumberFormat="1" applyFont="1" applyFill="1" applyAlignment="1">
      <alignment horizontal="right"/>
    </xf>
    <xf numFmtId="5" fontId="36" fillId="0" borderId="0" xfId="21" applyNumberFormat="1" applyFont="1" applyFill="1" applyBorder="1" applyAlignment="1"/>
    <xf numFmtId="5" fontId="27" fillId="0" borderId="0" xfId="21" applyNumberFormat="1" applyFont="1" applyFill="1" applyBorder="1" applyAlignment="1"/>
    <xf numFmtId="5" fontId="36" fillId="7" borderId="0" xfId="21" applyNumberFormat="1" applyFont="1" applyFill="1" applyBorder="1" applyAlignment="1"/>
    <xf numFmtId="5" fontId="27" fillId="7" borderId="0" xfId="21" applyNumberFormat="1" applyFont="1" applyFill="1" applyBorder="1" applyAlignment="1"/>
    <xf numFmtId="5" fontId="17" fillId="7" borderId="0" xfId="19" applyNumberFormat="1" applyFont="1" applyFill="1" applyAlignment="1">
      <alignment horizontal="right"/>
    </xf>
    <xf numFmtId="5" fontId="17" fillId="2" borderId="0" xfId="19" applyNumberFormat="1" applyFont="1" applyFill="1" applyAlignment="1">
      <alignment horizontal="right"/>
    </xf>
    <xf numFmtId="5" fontId="20" fillId="7" borderId="0" xfId="19" applyNumberFormat="1" applyFont="1" applyFill="1" applyAlignment="1">
      <alignment horizontal="right"/>
    </xf>
    <xf numFmtId="0" fontId="22" fillId="0" borderId="3" xfId="19" applyFont="1" applyBorder="1" applyAlignment="1">
      <alignment horizontal="left" indent="1"/>
    </xf>
    <xf numFmtId="9" fontId="22" fillId="0" borderId="3" xfId="19" applyNumberFormat="1" applyFont="1" applyBorder="1"/>
    <xf numFmtId="171" fontId="22" fillId="7" borderId="3" xfId="19" applyNumberFormat="1" applyFont="1" applyFill="1" applyBorder="1"/>
    <xf numFmtId="171" fontId="22" fillId="0" borderId="3" xfId="19" applyNumberFormat="1" applyFont="1" applyBorder="1"/>
    <xf numFmtId="172" fontId="23" fillId="2" borderId="3" xfId="19" applyNumberFormat="1" applyFont="1" applyFill="1" applyBorder="1" applyAlignment="1">
      <alignment horizontal="right"/>
    </xf>
    <xf numFmtId="172" fontId="23" fillId="7" borderId="3" xfId="19" applyNumberFormat="1" applyFont="1" applyFill="1" applyBorder="1" applyAlignment="1">
      <alignment horizontal="right"/>
    </xf>
    <xf numFmtId="0" fontId="14" fillId="0" borderId="3" xfId="19" applyFont="1" applyBorder="1"/>
    <xf numFmtId="170" fontId="14" fillId="7" borderId="3" xfId="19" applyNumberFormat="1" applyFont="1" applyFill="1" applyBorder="1"/>
    <xf numFmtId="170" fontId="14" fillId="0" borderId="3" xfId="19" applyNumberFormat="1" applyFont="1" applyBorder="1"/>
    <xf numFmtId="172" fontId="23" fillId="2" borderId="3" xfId="19" applyNumberFormat="1" applyFont="1" applyFill="1" applyBorder="1"/>
    <xf numFmtId="0" fontId="22" fillId="0" borderId="6" xfId="19" applyFont="1" applyBorder="1" applyAlignment="1">
      <alignment horizontal="left" indent="1"/>
    </xf>
    <xf numFmtId="0" fontId="22" fillId="0" borderId="6" xfId="19" applyFont="1" applyBorder="1"/>
    <xf numFmtId="172" fontId="35" fillId="0" borderId="6" xfId="19" applyNumberFormat="1" applyFont="1" applyBorder="1"/>
    <xf numFmtId="169" fontId="35" fillId="7" borderId="6" xfId="19" applyNumberFormat="1" applyFont="1" applyFill="1" applyBorder="1"/>
    <xf numFmtId="172" fontId="35" fillId="2" borderId="3" xfId="19" applyNumberFormat="1" applyFont="1" applyFill="1" applyBorder="1"/>
    <xf numFmtId="172" fontId="35" fillId="7" borderId="3" xfId="19" applyNumberFormat="1" applyFont="1" applyFill="1" applyBorder="1"/>
    <xf numFmtId="5" fontId="14" fillId="2" borderId="0" xfId="19" applyNumberFormat="1" applyFont="1" applyFill="1"/>
    <xf numFmtId="172" fontId="22" fillId="7" borderId="0" xfId="19" applyNumberFormat="1" applyFont="1" applyFill="1"/>
    <xf numFmtId="172" fontId="22" fillId="2" borderId="3" xfId="19" applyNumberFormat="1" applyFont="1" applyFill="1" applyBorder="1"/>
    <xf numFmtId="172" fontId="22" fillId="7" borderId="3" xfId="19" applyNumberFormat="1" applyFont="1" applyFill="1" applyBorder="1"/>
    <xf numFmtId="171" fontId="18" fillId="2" borderId="0" xfId="19" applyNumberFormat="1" applyFont="1" applyFill="1"/>
    <xf numFmtId="172" fontId="22" fillId="0" borderId="0" xfId="19" applyNumberFormat="1" applyFont="1"/>
    <xf numFmtId="172" fontId="22" fillId="0" borderId="6" xfId="19" applyNumberFormat="1" applyFont="1" applyBorder="1"/>
    <xf numFmtId="5" fontId="18" fillId="0" borderId="0" xfId="19" applyNumberFormat="1" applyFont="1"/>
    <xf numFmtId="5" fontId="14" fillId="7" borderId="0" xfId="20" applyNumberFormat="1" applyFont="1" applyFill="1" applyBorder="1" applyAlignment="1"/>
    <xf numFmtId="37" fontId="18" fillId="0" borderId="0" xfId="0" applyNumberFormat="1" applyFont="1" applyAlignment="1">
      <alignment horizontal="right"/>
    </xf>
    <xf numFmtId="37" fontId="18" fillId="7" borderId="0" xfId="0" applyNumberFormat="1" applyFont="1" applyFill="1" applyAlignment="1">
      <alignment horizontal="right"/>
    </xf>
    <xf numFmtId="5" fontId="13" fillId="7" borderId="0" xfId="20" applyNumberFormat="1" applyFont="1" applyFill="1" applyBorder="1" applyAlignment="1"/>
    <xf numFmtId="37" fontId="13" fillId="7" borderId="0" xfId="20" applyNumberFormat="1" applyFont="1" applyFill="1" applyBorder="1" applyAlignment="1"/>
    <xf numFmtId="170" fontId="14" fillId="7" borderId="0" xfId="20" applyNumberFormat="1" applyFont="1" applyFill="1" applyBorder="1" applyAlignment="1"/>
    <xf numFmtId="170" fontId="14" fillId="0" borderId="0" xfId="20" applyNumberFormat="1" applyFont="1" applyFill="1" applyBorder="1" applyAlignment="1"/>
    <xf numFmtId="170" fontId="14" fillId="7" borderId="6" xfId="20" applyNumberFormat="1" applyFont="1" applyFill="1" applyBorder="1" applyAlignment="1"/>
    <xf numFmtId="170" fontId="14" fillId="0" borderId="6" xfId="20" applyNumberFormat="1" applyFont="1" applyFill="1" applyBorder="1" applyAlignment="1"/>
    <xf numFmtId="169" fontId="18" fillId="0" borderId="0" xfId="21" applyNumberFormat="1" applyFont="1" applyFill="1" applyBorder="1" applyAlignment="1">
      <alignment horizontal="right"/>
    </xf>
    <xf numFmtId="7" fontId="13" fillId="7" borderId="0" xfId="19" applyNumberFormat="1" applyFont="1" applyFill="1" applyAlignment="1">
      <alignment horizontal="right"/>
    </xf>
    <xf numFmtId="173" fontId="13" fillId="0" borderId="0" xfId="19" applyNumberFormat="1" applyFont="1"/>
    <xf numFmtId="0" fontId="29" fillId="0" borderId="0" xfId="19" applyFont="1" applyAlignment="1">
      <alignment horizontal="left" indent="1"/>
    </xf>
    <xf numFmtId="0" fontId="35" fillId="0" borderId="0" xfId="19" applyFont="1" applyAlignment="1">
      <alignment horizontal="left" indent="1"/>
    </xf>
    <xf numFmtId="0" fontId="35" fillId="0" borderId="3" xfId="19" applyFont="1" applyBorder="1" applyAlignment="1">
      <alignment horizontal="left" indent="1"/>
    </xf>
    <xf numFmtId="178" fontId="27" fillId="7" borderId="0" xfId="19" applyNumberFormat="1" applyFont="1" applyFill="1"/>
    <xf numFmtId="178" fontId="20" fillId="7" borderId="0" xfId="19" applyNumberFormat="1" applyFont="1" applyFill="1"/>
    <xf numFmtId="178" fontId="19" fillId="7" borderId="0" xfId="19" applyNumberFormat="1" applyFont="1" applyFill="1"/>
    <xf numFmtId="5" fontId="27" fillId="7" borderId="0" xfId="19" applyNumberFormat="1" applyFont="1" applyFill="1"/>
    <xf numFmtId="37" fontId="19" fillId="0" borderId="0" xfId="22" applyNumberFormat="1" applyFont="1" applyFill="1" applyBorder="1" applyAlignment="1">
      <alignment horizontal="right"/>
    </xf>
    <xf numFmtId="37" fontId="19" fillId="7" borderId="0" xfId="22" applyNumberFormat="1" applyFont="1" applyFill="1" applyBorder="1" applyAlignment="1">
      <alignment horizontal="right"/>
    </xf>
    <xf numFmtId="37" fontId="19" fillId="0" borderId="0" xfId="0" applyNumberFormat="1" applyFont="1" applyAlignment="1">
      <alignment horizontal="right"/>
    </xf>
    <xf numFmtId="172" fontId="19" fillId="7" borderId="0" xfId="20" applyNumberFormat="1" applyFont="1" applyFill="1" applyBorder="1" applyAlignment="1"/>
    <xf numFmtId="173" fontId="20" fillId="0" borderId="0" xfId="19" applyNumberFormat="1" applyFont="1"/>
    <xf numFmtId="173" fontId="20" fillId="7" borderId="0" xfId="19" applyNumberFormat="1" applyFont="1" applyFill="1"/>
    <xf numFmtId="5" fontId="13" fillId="0" borderId="0" xfId="21" applyNumberFormat="1" applyFont="1" applyFill="1" applyBorder="1" applyAlignment="1"/>
    <xf numFmtId="5" fontId="13" fillId="7" borderId="0" xfId="21" applyNumberFormat="1" applyFont="1" applyFill="1" applyBorder="1" applyAlignment="1"/>
    <xf numFmtId="5" fontId="14" fillId="7" borderId="6" xfId="20" applyNumberFormat="1" applyFont="1" applyFill="1" applyBorder="1" applyAlignment="1"/>
    <xf numFmtId="169" fontId="18" fillId="0" borderId="0" xfId="21" applyNumberFormat="1" applyFont="1" applyFill="1" applyBorder="1" applyAlignment="1"/>
    <xf numFmtId="37" fontId="18" fillId="0" borderId="0" xfId="0" applyNumberFormat="1" applyFont="1"/>
    <xf numFmtId="169" fontId="18" fillId="0" borderId="2" xfId="21" applyNumberFormat="1" applyFont="1" applyFill="1" applyBorder="1" applyAlignment="1"/>
    <xf numFmtId="170" fontId="14" fillId="0" borderId="6" xfId="21" applyNumberFormat="1" applyFont="1" applyFill="1" applyBorder="1" applyAlignment="1"/>
    <xf numFmtId="7" fontId="14" fillId="0" borderId="6" xfId="20" applyNumberFormat="1" applyFont="1" applyFill="1" applyBorder="1" applyAlignment="1"/>
    <xf numFmtId="7" fontId="13" fillId="7" borderId="0" xfId="20" applyNumberFormat="1" applyFont="1" applyFill="1" applyBorder="1" applyAlignment="1"/>
    <xf numFmtId="7" fontId="13" fillId="0" borderId="0" xfId="20" applyNumberFormat="1" applyFont="1" applyFill="1" applyBorder="1" applyAlignment="1"/>
    <xf numFmtId="170" fontId="13" fillId="0" borderId="0" xfId="21" applyNumberFormat="1" applyFont="1" applyFill="1" applyBorder="1" applyAlignment="1"/>
    <xf numFmtId="170" fontId="14" fillId="0" borderId="2" xfId="21" applyNumberFormat="1" applyFont="1" applyFill="1" applyBorder="1" applyAlignment="1">
      <alignment horizontal="right"/>
    </xf>
    <xf numFmtId="170" fontId="13" fillId="7" borderId="0" xfId="21" applyNumberFormat="1" applyFont="1" applyFill="1" applyBorder="1" applyAlignment="1"/>
    <xf numFmtId="169" fontId="13" fillId="7" borderId="0" xfId="21" applyNumberFormat="1" applyFont="1" applyFill="1" applyBorder="1" applyAlignment="1"/>
    <xf numFmtId="170" fontId="14" fillId="7" borderId="6" xfId="21" applyNumberFormat="1" applyFont="1" applyFill="1" applyBorder="1" applyAlignment="1"/>
    <xf numFmtId="170" fontId="14" fillId="7" borderId="0" xfId="21" applyNumberFormat="1" applyFont="1" applyFill="1" applyBorder="1" applyAlignment="1"/>
    <xf numFmtId="172" fontId="13" fillId="7" borderId="2" xfId="19" applyNumberFormat="1" applyFont="1" applyFill="1" applyBorder="1"/>
    <xf numFmtId="172" fontId="13" fillId="0" borderId="2" xfId="19" applyNumberFormat="1" applyFont="1" applyBorder="1"/>
    <xf numFmtId="172" fontId="13" fillId="7" borderId="8" xfId="19" applyNumberFormat="1" applyFont="1" applyFill="1" applyBorder="1"/>
    <xf numFmtId="172" fontId="13" fillId="0" borderId="8" xfId="19" applyNumberFormat="1" applyFont="1" applyBorder="1"/>
    <xf numFmtId="5" fontId="19" fillId="0" borderId="0" xfId="21" applyNumberFormat="1" applyFont="1" applyFill="1" applyBorder="1" applyAlignment="1">
      <alignment horizontal="right"/>
    </xf>
    <xf numFmtId="176" fontId="19" fillId="0" borderId="0" xfId="21" applyNumberFormat="1" applyFont="1" applyFill="1" applyBorder="1" applyAlignment="1">
      <alignment horizontal="right"/>
    </xf>
    <xf numFmtId="176" fontId="19" fillId="7" borderId="0" xfId="21" applyNumberFormat="1" applyFont="1" applyFill="1" applyBorder="1" applyAlignment="1">
      <alignment horizontal="right"/>
    </xf>
    <xf numFmtId="0" fontId="26" fillId="0" borderId="2" xfId="21" applyNumberFormat="1" applyFont="1" applyFill="1" applyBorder="1" applyAlignment="1"/>
    <xf numFmtId="178" fontId="13" fillId="0" borderId="0" xfId="19" applyNumberFormat="1" applyFont="1"/>
    <xf numFmtId="172" fontId="22" fillId="7" borderId="0" xfId="19" applyNumberFormat="1" applyFont="1" applyFill="1" applyAlignment="1">
      <alignment horizontal="right"/>
    </xf>
    <xf numFmtId="172" fontId="22" fillId="2" borderId="0" xfId="19" applyNumberFormat="1" applyFont="1" applyFill="1" applyAlignment="1">
      <alignment horizontal="right"/>
    </xf>
    <xf numFmtId="172" fontId="18" fillId="2" borderId="0" xfId="19" applyNumberFormat="1" applyFont="1" applyFill="1" applyAlignment="1">
      <alignment horizontal="right"/>
    </xf>
    <xf numFmtId="178" fontId="14" fillId="7" borderId="0" xfId="19" applyNumberFormat="1" applyFont="1" applyFill="1" applyAlignment="1">
      <alignment horizontal="right"/>
    </xf>
    <xf numFmtId="37" fontId="18" fillId="7" borderId="0" xfId="0" applyNumberFormat="1" applyFont="1" applyFill="1"/>
    <xf numFmtId="5" fontId="18" fillId="7" borderId="0" xfId="19" applyNumberFormat="1" applyFont="1" applyFill="1" applyAlignment="1">
      <alignment horizontal="right"/>
    </xf>
    <xf numFmtId="5" fontId="18" fillId="2" borderId="0" xfId="19" applyNumberFormat="1" applyFont="1" applyFill="1" applyAlignment="1">
      <alignment horizontal="right"/>
    </xf>
    <xf numFmtId="5" fontId="22" fillId="7" borderId="0" xfId="19" applyNumberFormat="1" applyFont="1" applyFill="1" applyAlignment="1">
      <alignment horizontal="right"/>
    </xf>
    <xf numFmtId="5" fontId="22" fillId="2" borderId="0" xfId="19" applyNumberFormat="1" applyFont="1" applyFill="1" applyAlignment="1">
      <alignment horizontal="right"/>
    </xf>
    <xf numFmtId="169" fontId="22" fillId="0" borderId="0" xfId="0" applyNumberFormat="1" applyFont="1"/>
    <xf numFmtId="167" fontId="19" fillId="7" borderId="0" xfId="19" applyNumberFormat="1" applyFont="1" applyFill="1" applyAlignment="1">
      <alignment horizontal="right"/>
    </xf>
    <xf numFmtId="169" fontId="23" fillId="0" borderId="0" xfId="0" applyNumberFormat="1" applyFont="1"/>
    <xf numFmtId="173" fontId="18" fillId="8" borderId="0" xfId="19" applyNumberFormat="1" applyFont="1" applyFill="1"/>
    <xf numFmtId="171" fontId="18" fillId="8" borderId="0" xfId="19" applyNumberFormat="1" applyFont="1" applyFill="1" applyAlignment="1">
      <alignment horizontal="right"/>
    </xf>
    <xf numFmtId="5" fontId="22" fillId="0" borderId="0" xfId="19" applyNumberFormat="1" applyFont="1" applyAlignment="1">
      <alignment horizontal="right"/>
    </xf>
    <xf numFmtId="169" fontId="23" fillId="0" borderId="0" xfId="19" applyNumberFormat="1" applyFont="1"/>
    <xf numFmtId="169" fontId="23" fillId="7" borderId="0" xfId="19" applyNumberFormat="1" applyFont="1" applyFill="1"/>
    <xf numFmtId="167" fontId="13" fillId="7" borderId="0" xfId="19" applyNumberFormat="1" applyFont="1" applyFill="1"/>
    <xf numFmtId="41" fontId="19" fillId="0" borderId="0" xfId="19" applyNumberFormat="1" applyFont="1"/>
    <xf numFmtId="41" fontId="19" fillId="7" borderId="0" xfId="19" applyNumberFormat="1" applyFont="1" applyFill="1"/>
    <xf numFmtId="176" fontId="29" fillId="7" borderId="0" xfId="19" applyNumberFormat="1" applyFont="1" applyFill="1"/>
    <xf numFmtId="176" fontId="29" fillId="0" borderId="0" xfId="19" applyNumberFormat="1" applyFont="1"/>
    <xf numFmtId="37" fontId="25" fillId="0" borderId="0" xfId="19" applyNumberFormat="1" applyFont="1"/>
    <xf numFmtId="37" fontId="25" fillId="7" borderId="0" xfId="19" applyNumberFormat="1" applyFont="1" applyFill="1"/>
    <xf numFmtId="7" fontId="26" fillId="0" borderId="0" xfId="21" applyNumberFormat="1" applyFont="1" applyFill="1" applyBorder="1" applyAlignment="1"/>
    <xf numFmtId="7" fontId="26" fillId="7" borderId="0" xfId="21" applyNumberFormat="1" applyFont="1" applyFill="1" applyBorder="1" applyAlignment="1"/>
    <xf numFmtId="7" fontId="18" fillId="0" borderId="2" xfId="21" applyNumberFormat="1" applyFont="1" applyFill="1" applyBorder="1" applyAlignment="1"/>
    <xf numFmtId="39" fontId="18" fillId="0" borderId="0" xfId="21" applyNumberFormat="1" applyFont="1" applyFill="1" applyBorder="1" applyAlignment="1"/>
    <xf numFmtId="43" fontId="18" fillId="0" borderId="0" xfId="21" applyFont="1" applyFill="1" applyBorder="1" applyAlignment="1"/>
    <xf numFmtId="5" fontId="14" fillId="0" borderId="0" xfId="19" quotePrefix="1" applyNumberFormat="1" applyFont="1" applyAlignment="1">
      <alignment horizontal="right" vertical="center"/>
    </xf>
    <xf numFmtId="2" fontId="13" fillId="0" borderId="0" xfId="21" applyNumberFormat="1" applyFont="1" applyFill="1" applyBorder="1" applyAlignment="1">
      <alignment horizontal="right"/>
    </xf>
    <xf numFmtId="7" fontId="30" fillId="0" borderId="0" xfId="21" applyNumberFormat="1" applyFont="1" applyFill="1" applyBorder="1" applyAlignment="1"/>
    <xf numFmtId="5" fontId="36" fillId="0" borderId="4" xfId="21" applyNumberFormat="1" applyFont="1" applyFill="1" applyBorder="1" applyAlignment="1"/>
    <xf numFmtId="5" fontId="13" fillId="0" borderId="0" xfId="19" applyNumberFormat="1" applyFont="1"/>
    <xf numFmtId="5" fontId="20" fillId="0" borderId="4" xfId="21" applyNumberFormat="1" applyFont="1" applyFill="1" applyBorder="1" applyAlignment="1"/>
    <xf numFmtId="0" fontId="13" fillId="0" borderId="0" xfId="21" quotePrefix="1" applyNumberFormat="1" applyFont="1" applyFill="1" applyBorder="1" applyAlignment="1">
      <alignment horizontal="right"/>
    </xf>
    <xf numFmtId="169" fontId="18" fillId="7" borderId="2" xfId="21" applyNumberFormat="1" applyFont="1" applyFill="1" applyBorder="1" applyAlignment="1">
      <alignment vertical="top"/>
    </xf>
    <xf numFmtId="169" fontId="13" fillId="0" borderId="0" xfId="19" applyNumberFormat="1" applyFont="1"/>
    <xf numFmtId="169" fontId="18" fillId="0" borderId="0" xfId="0" applyNumberFormat="1" applyFont="1"/>
    <xf numFmtId="172" fontId="18" fillId="7" borderId="0" xfId="20" applyNumberFormat="1" applyFont="1" applyFill="1" applyBorder="1" applyAlignment="1"/>
    <xf numFmtId="7" fontId="13" fillId="0" borderId="0" xfId="19" applyNumberFormat="1" applyFont="1"/>
    <xf numFmtId="169" fontId="26" fillId="0" borderId="0" xfId="19" applyNumberFormat="1" applyFont="1"/>
    <xf numFmtId="169" fontId="26" fillId="7" borderId="0" xfId="19" applyNumberFormat="1" applyFont="1" applyFill="1"/>
    <xf numFmtId="166" fontId="13" fillId="0" borderId="0" xfId="23" applyNumberFormat="1" applyFont="1"/>
    <xf numFmtId="169" fontId="29" fillId="0" borderId="0" xfId="19" applyNumberFormat="1" applyFont="1"/>
    <xf numFmtId="9" fontId="33" fillId="0" borderId="0" xfId="23" applyFont="1"/>
    <xf numFmtId="174" fontId="13" fillId="0" borderId="8" xfId="21" applyNumberFormat="1" applyFont="1" applyFill="1" applyBorder="1" applyAlignment="1"/>
    <xf numFmtId="174" fontId="13" fillId="0" borderId="0" xfId="21" applyNumberFormat="1" applyFont="1" applyFill="1" applyBorder="1" applyAlignment="1"/>
    <xf numFmtId="174" fontId="13" fillId="0" borderId="8" xfId="21" applyNumberFormat="1" applyFont="1" applyFill="1" applyBorder="1" applyAlignment="1">
      <alignment horizontal="right"/>
    </xf>
    <xf numFmtId="174" fontId="13" fillId="0" borderId="0" xfId="21" applyNumberFormat="1" applyFont="1" applyFill="1" applyBorder="1" applyAlignment="1">
      <alignment horizontal="right"/>
    </xf>
    <xf numFmtId="185" fontId="22" fillId="0" borderId="0" xfId="19" applyNumberFormat="1" applyFont="1"/>
    <xf numFmtId="0" fontId="17" fillId="0" borderId="0" xfId="0" applyFont="1"/>
    <xf numFmtId="184" fontId="0" fillId="0" borderId="0" xfId="33" applyNumberFormat="1" applyFont="1"/>
    <xf numFmtId="166" fontId="22" fillId="0" borderId="0" xfId="19" applyNumberFormat="1" applyFont="1" applyAlignment="1">
      <alignment horizontal="left" indent="1"/>
    </xf>
    <xf numFmtId="169" fontId="23" fillId="0" borderId="0" xfId="21" applyNumberFormat="1" applyFont="1" applyFill="1" applyBorder="1" applyAlignment="1"/>
    <xf numFmtId="169" fontId="23" fillId="7" borderId="0" xfId="21" applyNumberFormat="1" applyFont="1" applyFill="1" applyBorder="1" applyAlignment="1"/>
    <xf numFmtId="37" fontId="43" fillId="0" borderId="0" xfId="19" applyNumberFormat="1" applyFont="1"/>
    <xf numFmtId="7" fontId="0" fillId="0" borderId="0" xfId="0" applyNumberFormat="1"/>
    <xf numFmtId="9" fontId="0" fillId="0" borderId="0" xfId="23" applyFont="1"/>
    <xf numFmtId="0" fontId="44" fillId="0" borderId="0" xfId="0" applyFont="1"/>
    <xf numFmtId="14" fontId="33" fillId="0" borderId="0" xfId="0" applyNumberFormat="1" applyFont="1"/>
    <xf numFmtId="0" fontId="33" fillId="0" borderId="0" xfId="0" applyFont="1" applyAlignment="1">
      <alignment horizontal="left" indent="1"/>
    </xf>
    <xf numFmtId="1" fontId="33" fillId="0" borderId="0" xfId="0" applyNumberFormat="1" applyFont="1"/>
    <xf numFmtId="10" fontId="33" fillId="0" borderId="0" xfId="0" applyNumberFormat="1" applyFont="1"/>
    <xf numFmtId="9" fontId="33" fillId="0" borderId="0" xfId="23" applyFont="1" applyBorder="1"/>
    <xf numFmtId="9" fontId="43" fillId="0" borderId="0" xfId="0" applyNumberFormat="1" applyFont="1"/>
    <xf numFmtId="1" fontId="33" fillId="0" borderId="0" xfId="23" applyNumberFormat="1" applyFont="1" applyBorder="1"/>
    <xf numFmtId="178" fontId="43" fillId="0" borderId="0" xfId="19" applyNumberFormat="1" applyFont="1"/>
    <xf numFmtId="167" fontId="26" fillId="7" borderId="0" xfId="19" applyNumberFormat="1" applyFont="1" applyFill="1"/>
    <xf numFmtId="0" fontId="17" fillId="0" borderId="0" xfId="19" applyFont="1"/>
    <xf numFmtId="172" fontId="23" fillId="0" borderId="0" xfId="19" applyNumberFormat="1" applyFont="1"/>
    <xf numFmtId="172" fontId="23" fillId="0" borderId="3" xfId="19" applyNumberFormat="1" applyFont="1" applyBorder="1" applyAlignment="1">
      <alignment horizontal="right"/>
    </xf>
    <xf numFmtId="172" fontId="22" fillId="0" borderId="0" xfId="19" applyNumberFormat="1" applyFont="1" applyAlignment="1">
      <alignment horizontal="right"/>
    </xf>
    <xf numFmtId="5" fontId="17" fillId="0" borderId="0" xfId="19" applyNumberFormat="1" applyFont="1" applyAlignment="1">
      <alignment horizontal="right"/>
    </xf>
    <xf numFmtId="5" fontId="20" fillId="0" borderId="0" xfId="19" applyNumberFormat="1" applyFont="1" applyAlignment="1">
      <alignment horizontal="right"/>
    </xf>
    <xf numFmtId="172" fontId="19" fillId="0" borderId="0" xfId="19" applyNumberFormat="1" applyFont="1" applyAlignment="1">
      <alignment horizontal="right"/>
    </xf>
    <xf numFmtId="0" fontId="43" fillId="0" borderId="0" xfId="0" applyFont="1"/>
    <xf numFmtId="0" fontId="33" fillId="0" borderId="4" xfId="0" applyFont="1" applyBorder="1"/>
    <xf numFmtId="0" fontId="13" fillId="0" borderId="4" xfId="0" applyFont="1" applyBorder="1"/>
    <xf numFmtId="166" fontId="13" fillId="0" borderId="0" xfId="23" applyNumberFormat="1" applyFont="1" applyBorder="1"/>
    <xf numFmtId="0" fontId="33" fillId="0" borderId="4" xfId="0" applyFont="1" applyBorder="1" applyAlignment="1">
      <alignment horizontal="left"/>
    </xf>
    <xf numFmtId="0" fontId="33" fillId="0" borderId="0" xfId="0" applyFont="1" applyAlignment="1">
      <alignment horizontal="left"/>
    </xf>
    <xf numFmtId="181" fontId="18" fillId="0" borderId="0" xfId="21" applyNumberFormat="1" applyFont="1" applyFill="1" applyBorder="1" applyAlignment="1"/>
    <xf numFmtId="182" fontId="18" fillId="0" borderId="0" xfId="19" applyNumberFormat="1" applyFont="1"/>
    <xf numFmtId="5" fontId="0" fillId="0" borderId="0" xfId="0" applyNumberFormat="1"/>
    <xf numFmtId="2" fontId="33" fillId="0" borderId="0" xfId="0" applyNumberFormat="1" applyFont="1"/>
    <xf numFmtId="166" fontId="33" fillId="0" borderId="0" xfId="23" applyNumberFormat="1" applyFont="1" applyBorder="1"/>
    <xf numFmtId="182" fontId="26" fillId="0" borderId="0" xfId="19" applyNumberFormat="1" applyFont="1"/>
    <xf numFmtId="0" fontId="26" fillId="0" borderId="2" xfId="21" applyNumberFormat="1" applyFont="1" applyFill="1" applyBorder="1" applyAlignment="1">
      <alignment horizontal="center"/>
    </xf>
    <xf numFmtId="0" fontId="13" fillId="0" borderId="0" xfId="21" applyNumberFormat="1" applyFont="1" applyFill="1" applyBorder="1" applyAlignment="1">
      <alignment horizontal="center"/>
    </xf>
    <xf numFmtId="9" fontId="13" fillId="7" borderId="0" xfId="23" applyFont="1" applyFill="1" applyBorder="1" applyAlignment="1"/>
    <xf numFmtId="9" fontId="13" fillId="0" borderId="0" xfId="23" applyFont="1" applyFill="1" applyBorder="1" applyAlignment="1"/>
    <xf numFmtId="9" fontId="18" fillId="7" borderId="0" xfId="23" applyFont="1" applyFill="1" applyBorder="1"/>
    <xf numFmtId="9" fontId="18" fillId="0" borderId="0" xfId="23" applyFont="1" applyFill="1" applyBorder="1" applyAlignment="1"/>
    <xf numFmtId="9" fontId="18" fillId="7" borderId="0" xfId="23" applyFont="1" applyFill="1" applyBorder="1" applyAlignment="1"/>
    <xf numFmtId="0" fontId="13" fillId="0" borderId="0" xfId="21" quotePrefix="1" applyNumberFormat="1" applyFont="1" applyFill="1" applyBorder="1" applyAlignment="1">
      <alignment horizontal="center"/>
    </xf>
    <xf numFmtId="0" fontId="13" fillId="0" borderId="8" xfId="21" applyNumberFormat="1" applyFont="1" applyFill="1" applyBorder="1" applyAlignment="1">
      <alignment horizontal="center"/>
    </xf>
    <xf numFmtId="37" fontId="20" fillId="0" borderId="0" xfId="19" applyNumberFormat="1" applyFont="1" applyAlignment="1">
      <alignment horizontal="right"/>
    </xf>
    <xf numFmtId="5" fontId="45" fillId="0" borderId="0" xfId="0" applyNumberFormat="1" applyFont="1"/>
    <xf numFmtId="166" fontId="45" fillId="0" borderId="0" xfId="23" applyNumberFormat="1" applyFont="1"/>
    <xf numFmtId="0" fontId="18" fillId="0" borderId="8" xfId="19" applyFont="1" applyBorder="1" applyAlignment="1">
      <alignment horizontal="left" indent="1"/>
    </xf>
    <xf numFmtId="171" fontId="18" fillId="7" borderId="8" xfId="19" applyNumberFormat="1" applyFont="1" applyFill="1" applyBorder="1"/>
    <xf numFmtId="37" fontId="18" fillId="0" borderId="8" xfId="0" applyNumberFormat="1" applyFont="1" applyBorder="1"/>
    <xf numFmtId="37" fontId="18" fillId="7" borderId="8" xfId="0" applyNumberFormat="1" applyFont="1" applyFill="1" applyBorder="1"/>
    <xf numFmtId="0" fontId="46" fillId="0" borderId="8" xfId="19" applyFont="1" applyBorder="1"/>
    <xf numFmtId="0" fontId="18" fillId="0" borderId="9" xfId="19" applyFont="1" applyBorder="1" applyAlignment="1">
      <alignment horizontal="left" indent="1"/>
    </xf>
    <xf numFmtId="5" fontId="13" fillId="7" borderId="0" xfId="19" applyNumberFormat="1" applyFont="1" applyFill="1" applyAlignment="1">
      <alignment horizontal="right"/>
    </xf>
    <xf numFmtId="176" fontId="18" fillId="0" borderId="0" xfId="19" applyNumberFormat="1" applyFont="1" applyAlignment="1">
      <alignment horizontal="right"/>
    </xf>
    <xf numFmtId="5" fontId="14" fillId="7" borderId="0" xfId="19" applyNumberFormat="1" applyFont="1" applyFill="1"/>
    <xf numFmtId="182" fontId="17" fillId="0" borderId="0" xfId="0" applyNumberFormat="1" applyFont="1"/>
    <xf numFmtId="1" fontId="17" fillId="0" borderId="0" xfId="0" applyNumberFormat="1" applyFont="1"/>
    <xf numFmtId="1" fontId="13" fillId="0" borderId="4" xfId="0" applyNumberFormat="1" applyFont="1" applyBorder="1"/>
    <xf numFmtId="1" fontId="33" fillId="0" borderId="4" xfId="0" applyNumberFormat="1" applyFont="1" applyBorder="1"/>
    <xf numFmtId="9" fontId="19" fillId="0" borderId="0" xfId="23" applyFont="1" applyFill="1" applyBorder="1" applyAlignment="1">
      <alignment horizontal="right"/>
    </xf>
    <xf numFmtId="9" fontId="19" fillId="7" borderId="0" xfId="23" applyFont="1" applyFill="1" applyBorder="1" applyAlignment="1">
      <alignment horizontal="right"/>
    </xf>
    <xf numFmtId="5" fontId="18" fillId="0" borderId="0" xfId="23" applyNumberFormat="1" applyFont="1" applyFill="1"/>
    <xf numFmtId="182" fontId="18" fillId="0" borderId="0" xfId="21" applyNumberFormat="1" applyFont="1" applyFill="1" applyBorder="1" applyAlignment="1">
      <alignment vertical="top"/>
    </xf>
    <xf numFmtId="182" fontId="18" fillId="0" borderId="0" xfId="19" applyNumberFormat="1" applyFont="1" applyAlignment="1">
      <alignment horizontal="right"/>
    </xf>
    <xf numFmtId="184" fontId="0" fillId="0" borderId="0" xfId="0" applyNumberFormat="1"/>
    <xf numFmtId="44" fontId="0" fillId="0" borderId="0" xfId="0" applyNumberFormat="1"/>
    <xf numFmtId="5" fontId="47" fillId="0" borderId="0" xfId="19" applyNumberFormat="1" applyFont="1"/>
    <xf numFmtId="5" fontId="21" fillId="0" borderId="0" xfId="19" applyNumberFormat="1" applyFont="1" applyAlignment="1">
      <alignment horizontal="right"/>
    </xf>
    <xf numFmtId="176" fontId="18" fillId="7" borderId="0" xfId="19" applyNumberFormat="1" applyFont="1" applyFill="1"/>
    <xf numFmtId="0" fontId="13" fillId="0" borderId="8" xfId="19" applyFont="1" applyBorder="1" applyAlignment="1">
      <alignment horizontal="left" indent="1"/>
    </xf>
    <xf numFmtId="37" fontId="17" fillId="0" borderId="8" xfId="19" applyNumberFormat="1" applyFont="1" applyBorder="1"/>
    <xf numFmtId="37" fontId="20" fillId="7" borderId="8" xfId="19" applyNumberFormat="1" applyFont="1" applyFill="1" applyBorder="1"/>
    <xf numFmtId="167" fontId="14" fillId="0" borderId="8" xfId="19" applyNumberFormat="1" applyFont="1" applyBorder="1"/>
    <xf numFmtId="167" fontId="14" fillId="7" borderId="8" xfId="19" applyNumberFormat="1" applyFont="1" applyFill="1" applyBorder="1"/>
    <xf numFmtId="0" fontId="18" fillId="0" borderId="9" xfId="19" applyFont="1" applyBorder="1" applyAlignment="1">
      <alignment horizontal="left" indent="2"/>
    </xf>
    <xf numFmtId="0" fontId="14" fillId="0" borderId="9" xfId="19" applyFont="1" applyBorder="1"/>
    <xf numFmtId="167" fontId="14" fillId="7" borderId="9" xfId="19" applyNumberFormat="1" applyFont="1" applyFill="1" applyBorder="1"/>
    <xf numFmtId="169" fontId="19" fillId="0" borderId="9" xfId="19" applyNumberFormat="1" applyFont="1" applyBorder="1" applyAlignment="1">
      <alignment horizontal="right"/>
    </xf>
    <xf numFmtId="167" fontId="14" fillId="0" borderId="9" xfId="19" applyNumberFormat="1" applyFont="1" applyBorder="1"/>
    <xf numFmtId="37" fontId="17" fillId="7" borderId="8" xfId="19" applyNumberFormat="1" applyFont="1" applyFill="1" applyBorder="1"/>
    <xf numFmtId="166" fontId="18" fillId="7" borderId="9" xfId="23" applyNumberFormat="1" applyFont="1" applyFill="1" applyBorder="1"/>
    <xf numFmtId="167" fontId="17" fillId="7" borderId="0" xfId="19" applyNumberFormat="1" applyFont="1" applyFill="1" applyAlignment="1">
      <alignment horizontal="right"/>
    </xf>
    <xf numFmtId="166" fontId="13" fillId="7" borderId="0" xfId="23" applyNumberFormat="1" applyFont="1" applyFill="1" applyBorder="1" applyAlignment="1">
      <alignment horizontal="right"/>
    </xf>
    <xf numFmtId="166" fontId="18" fillId="0" borderId="9" xfId="23" applyNumberFormat="1" applyFont="1" applyFill="1" applyBorder="1"/>
    <xf numFmtId="166" fontId="13" fillId="0" borderId="0" xfId="23" applyNumberFormat="1" applyFont="1" applyFill="1" applyBorder="1" applyAlignment="1">
      <alignment horizontal="right"/>
    </xf>
    <xf numFmtId="169" fontId="22" fillId="7" borderId="0" xfId="21" applyNumberFormat="1" applyFont="1" applyFill="1" applyBorder="1" applyAlignment="1"/>
    <xf numFmtId="176" fontId="23" fillId="0" borderId="0" xfId="21" applyNumberFormat="1" applyFont="1" applyFill="1" applyBorder="1" applyAlignment="1">
      <alignment horizontal="right"/>
    </xf>
    <xf numFmtId="176" fontId="23" fillId="7" borderId="0" xfId="21" applyNumberFormat="1" applyFont="1" applyFill="1" applyBorder="1" applyAlignment="1">
      <alignment horizontal="right"/>
    </xf>
    <xf numFmtId="182" fontId="41" fillId="0" borderId="0" xfId="0" applyNumberFormat="1" applyFont="1"/>
    <xf numFmtId="9" fontId="20" fillId="7" borderId="0" xfId="23" applyFont="1" applyFill="1" applyBorder="1" applyAlignment="1">
      <alignment horizontal="right"/>
    </xf>
    <xf numFmtId="5" fontId="0" fillId="0" borderId="8" xfId="0" applyNumberFormat="1" applyBorder="1"/>
    <xf numFmtId="169" fontId="23" fillId="0" borderId="0" xfId="19" applyNumberFormat="1" applyFont="1" applyAlignment="1">
      <alignment horizontal="right"/>
    </xf>
    <xf numFmtId="166" fontId="18" fillId="0" borderId="0" xfId="23" applyNumberFormat="1" applyFont="1" applyFill="1"/>
    <xf numFmtId="174" fontId="13" fillId="0" borderId="8" xfId="21" applyNumberFormat="1" applyFont="1" applyFill="1" applyBorder="1" applyAlignment="1">
      <alignment horizontal="center"/>
    </xf>
    <xf numFmtId="174" fontId="13" fillId="0" borderId="0" xfId="21" applyNumberFormat="1" applyFont="1" applyFill="1" applyBorder="1" applyAlignment="1">
      <alignment horizontal="center"/>
    </xf>
    <xf numFmtId="174" fontId="18" fillId="0" borderId="0" xfId="21" applyNumberFormat="1" applyFont="1" applyFill="1" applyBorder="1" applyAlignment="1">
      <alignment horizontal="center"/>
    </xf>
    <xf numFmtId="174" fontId="18" fillId="0" borderId="0" xfId="21" applyNumberFormat="1" applyFont="1" applyFill="1" applyBorder="1" applyAlignment="1">
      <alignment horizontal="center" vertical="top"/>
    </xf>
    <xf numFmtId="182" fontId="37" fillId="7" borderId="0" xfId="21" applyNumberFormat="1" applyFont="1" applyFill="1" applyBorder="1" applyAlignment="1">
      <alignment vertical="top"/>
    </xf>
    <xf numFmtId="37" fontId="13" fillId="0" borderId="0" xfId="21" applyNumberFormat="1" applyFont="1" applyFill="1" applyBorder="1" applyAlignment="1"/>
    <xf numFmtId="172" fontId="22" fillId="0" borderId="3" xfId="19" applyNumberFormat="1" applyFont="1" applyBorder="1"/>
    <xf numFmtId="169" fontId="22" fillId="0" borderId="3" xfId="19" applyNumberFormat="1" applyFont="1" applyBorder="1"/>
    <xf numFmtId="172" fontId="22" fillId="7" borderId="3" xfId="19" applyNumberFormat="1" applyFont="1" applyFill="1" applyBorder="1" applyAlignment="1">
      <alignment horizontal="right"/>
    </xf>
    <xf numFmtId="9" fontId="18" fillId="2" borderId="0" xfId="23" applyFont="1" applyFill="1" applyBorder="1" applyAlignment="1"/>
    <xf numFmtId="183" fontId="18" fillId="7" borderId="0" xfId="19" applyNumberFormat="1" applyFont="1" applyFill="1" applyAlignment="1">
      <alignment horizontal="right"/>
    </xf>
    <xf numFmtId="180" fontId="19" fillId="0" borderId="0" xfId="19" applyNumberFormat="1" applyFont="1" applyAlignment="1">
      <alignment horizontal="right"/>
    </xf>
    <xf numFmtId="180" fontId="19" fillId="7" borderId="0" xfId="19" applyNumberFormat="1" applyFont="1" applyFill="1"/>
    <xf numFmtId="9" fontId="13" fillId="0" borderId="0" xfId="23" applyFont="1" applyFill="1" applyBorder="1"/>
    <xf numFmtId="9" fontId="20" fillId="7" borderId="0" xfId="23" applyFont="1" applyFill="1" applyBorder="1"/>
    <xf numFmtId="176" fontId="19" fillId="0" borderId="0" xfId="19" applyNumberFormat="1" applyFont="1" applyAlignment="1">
      <alignment horizontal="right"/>
    </xf>
    <xf numFmtId="176" fontId="19" fillId="7" borderId="0" xfId="19" applyNumberFormat="1" applyFont="1" applyFill="1"/>
    <xf numFmtId="9" fontId="14" fillId="0" borderId="0" xfId="23" applyFont="1" applyFill="1" applyBorder="1"/>
    <xf numFmtId="0" fontId="33" fillId="9" borderId="0" xfId="0" applyFont="1" applyFill="1"/>
    <xf numFmtId="9" fontId="18" fillId="7" borderId="0" xfId="23" applyFont="1" applyFill="1"/>
    <xf numFmtId="5" fontId="13" fillId="0" borderId="0" xfId="19" applyNumberFormat="1" applyFont="1" applyAlignment="1">
      <alignment horizontal="right"/>
    </xf>
    <xf numFmtId="5" fontId="13" fillId="7" borderId="0" xfId="19" applyNumberFormat="1" applyFont="1" applyFill="1"/>
    <xf numFmtId="166" fontId="13" fillId="0" borderId="0" xfId="19" applyNumberFormat="1" applyFont="1" applyAlignment="1">
      <alignment vertical="center"/>
    </xf>
    <xf numFmtId="166" fontId="18" fillId="0" borderId="0" xfId="19" applyNumberFormat="1" applyFont="1" applyAlignment="1">
      <alignment vertical="center"/>
    </xf>
    <xf numFmtId="170" fontId="13" fillId="7" borderId="0" xfId="20" applyNumberFormat="1" applyFont="1" applyFill="1" applyBorder="1" applyAlignment="1">
      <alignment vertical="center"/>
    </xf>
    <xf numFmtId="170" fontId="13" fillId="0" borderId="0" xfId="20" applyNumberFormat="1" applyFont="1" applyFill="1" applyBorder="1" applyAlignment="1">
      <alignment vertical="center"/>
    </xf>
    <xf numFmtId="170" fontId="13" fillId="7" borderId="0" xfId="20" applyNumberFormat="1" applyFont="1" applyFill="1" applyBorder="1" applyAlignment="1"/>
    <xf numFmtId="170" fontId="13" fillId="0" borderId="0" xfId="20" applyNumberFormat="1" applyFont="1" applyFill="1" applyBorder="1" applyAlignment="1"/>
    <xf numFmtId="166" fontId="13" fillId="0" borderId="3" xfId="19" applyNumberFormat="1" applyFont="1" applyBorder="1" applyAlignment="1">
      <alignment vertical="center"/>
    </xf>
    <xf numFmtId="166" fontId="18" fillId="0" borderId="3" xfId="19" applyNumberFormat="1" applyFont="1" applyBorder="1" applyAlignment="1">
      <alignment vertical="center"/>
    </xf>
    <xf numFmtId="5" fontId="20" fillId="0" borderId="3" xfId="21" applyNumberFormat="1" applyFont="1" applyFill="1" applyBorder="1" applyAlignment="1">
      <alignment horizontal="right"/>
    </xf>
    <xf numFmtId="5" fontId="20" fillId="7" borderId="3" xfId="21" applyNumberFormat="1" applyFont="1" applyFill="1" applyBorder="1" applyAlignment="1">
      <alignment horizontal="right" vertical="top"/>
    </xf>
    <xf numFmtId="5" fontId="20" fillId="0" borderId="3" xfId="21" applyNumberFormat="1" applyFont="1" applyFill="1" applyBorder="1" applyAlignment="1"/>
    <xf numFmtId="5" fontId="20" fillId="7" borderId="3" xfId="21" applyNumberFormat="1" applyFont="1" applyFill="1" applyBorder="1" applyAlignment="1"/>
    <xf numFmtId="170" fontId="13" fillId="7" borderId="3" xfId="20" applyNumberFormat="1" applyFont="1" applyFill="1" applyBorder="1" applyAlignment="1">
      <alignment vertical="center"/>
    </xf>
    <xf numFmtId="170" fontId="13" fillId="0" borderId="3" xfId="20" applyNumberFormat="1" applyFont="1" applyFill="1" applyBorder="1" applyAlignment="1">
      <alignment vertical="center"/>
    </xf>
    <xf numFmtId="170" fontId="13" fillId="7" borderId="3" xfId="20" applyNumberFormat="1" applyFont="1" applyFill="1" applyBorder="1" applyAlignment="1"/>
    <xf numFmtId="170" fontId="13" fillId="0" borderId="3" xfId="20" applyNumberFormat="1" applyFont="1" applyFill="1" applyBorder="1" applyAlignment="1"/>
    <xf numFmtId="7" fontId="13" fillId="0" borderId="3" xfId="21" applyNumberFormat="1" applyFont="1" applyFill="1" applyBorder="1" applyAlignment="1"/>
    <xf numFmtId="7" fontId="13" fillId="7" borderId="3" xfId="20" applyNumberFormat="1" applyFont="1" applyFill="1" applyBorder="1" applyAlignment="1"/>
    <xf numFmtId="7" fontId="20" fillId="0" borderId="3" xfId="21" applyNumberFormat="1" applyFont="1" applyFill="1" applyBorder="1" applyAlignment="1"/>
    <xf numFmtId="7" fontId="20" fillId="7" borderId="3" xfId="20" applyNumberFormat="1" applyFont="1" applyFill="1" applyBorder="1" applyAlignment="1"/>
    <xf numFmtId="182" fontId="33" fillId="0" borderId="0" xfId="0" applyNumberFormat="1" applyFont="1"/>
    <xf numFmtId="5" fontId="27" fillId="7" borderId="0" xfId="20" applyNumberFormat="1" applyFont="1" applyFill="1" applyBorder="1" applyAlignment="1"/>
    <xf numFmtId="5" fontId="26" fillId="0" borderId="4" xfId="19" applyNumberFormat="1" applyFont="1" applyBorder="1"/>
    <xf numFmtId="9" fontId="18" fillId="0" borderId="0" xfId="23" applyFont="1" applyFill="1"/>
    <xf numFmtId="0" fontId="26" fillId="0" borderId="0" xfId="19" applyFont="1"/>
    <xf numFmtId="5" fontId="17" fillId="7" borderId="0" xfId="20" applyNumberFormat="1" applyFont="1" applyFill="1" applyBorder="1" applyAlignment="1"/>
    <xf numFmtId="2" fontId="17" fillId="0" borderId="0" xfId="0" applyNumberFormat="1" applyFont="1"/>
    <xf numFmtId="2" fontId="42" fillId="0" borderId="0" xfId="0" applyNumberFormat="1" applyFont="1"/>
    <xf numFmtId="0" fontId="13" fillId="0" borderId="0" xfId="19" applyFont="1" applyAlignment="1">
      <alignment horizontal="left" indent="2"/>
    </xf>
    <xf numFmtId="172" fontId="22" fillId="7" borderId="0" xfId="20" applyNumberFormat="1" applyFont="1" applyFill="1" applyBorder="1" applyAlignment="1"/>
    <xf numFmtId="176" fontId="48" fillId="0" borderId="0" xfId="19" applyNumberFormat="1" applyFont="1" applyAlignment="1">
      <alignment horizontal="right"/>
    </xf>
    <xf numFmtId="176" fontId="18" fillId="7" borderId="0" xfId="19" applyNumberFormat="1" applyFont="1" applyFill="1" applyAlignment="1">
      <alignment horizontal="right"/>
    </xf>
    <xf numFmtId="180" fontId="42" fillId="0" borderId="0" xfId="0" applyNumberFormat="1" applyFont="1"/>
    <xf numFmtId="9" fontId="27" fillId="0" borderId="0" xfId="23" applyFont="1"/>
    <xf numFmtId="9" fontId="17" fillId="0" borderId="0" xfId="23" applyFont="1"/>
    <xf numFmtId="37" fontId="18" fillId="0" borderId="8" xfId="0" applyNumberFormat="1" applyFont="1" applyBorder="1" applyAlignment="1">
      <alignment horizontal="centerContinuous"/>
    </xf>
    <xf numFmtId="10" fontId="18" fillId="0" borderId="0" xfId="23" applyNumberFormat="1" applyFont="1" applyFill="1"/>
    <xf numFmtId="166" fontId="14" fillId="7" borderId="4" xfId="23" applyNumberFormat="1" applyFont="1" applyFill="1" applyBorder="1"/>
    <xf numFmtId="37" fontId="21" fillId="0" borderId="0" xfId="22" applyNumberFormat="1" applyFont="1" applyFill="1" applyBorder="1" applyAlignment="1">
      <alignment horizontal="right"/>
    </xf>
    <xf numFmtId="172" fontId="21" fillId="0" borderId="0" xfId="19" applyNumberFormat="1" applyFont="1" applyAlignment="1">
      <alignment horizontal="right"/>
    </xf>
    <xf numFmtId="186" fontId="33" fillId="0" borderId="0" xfId="0" applyNumberFormat="1" applyFont="1"/>
    <xf numFmtId="182" fontId="42" fillId="0" borderId="0" xfId="0" applyNumberFormat="1" applyFont="1"/>
    <xf numFmtId="9" fontId="17" fillId="0" borderId="0" xfId="23" applyFont="1" applyFill="1" applyBorder="1" applyAlignment="1"/>
    <xf numFmtId="0" fontId="22" fillId="0" borderId="3" xfId="19" applyFont="1" applyBorder="1"/>
    <xf numFmtId="171" fontId="22" fillId="7" borderId="3" xfId="20" applyNumberFormat="1" applyFont="1" applyFill="1" applyBorder="1"/>
    <xf numFmtId="171" fontId="22" fillId="7" borderId="3" xfId="20" applyNumberFormat="1" applyFont="1" applyFill="1" applyBorder="1" applyAlignment="1"/>
    <xf numFmtId="5" fontId="26" fillId="0" borderId="3" xfId="19" applyNumberFormat="1" applyFont="1" applyBorder="1"/>
    <xf numFmtId="5" fontId="14" fillId="7" borderId="3" xfId="20" applyNumberFormat="1" applyFont="1" applyFill="1" applyBorder="1" applyAlignment="1"/>
    <xf numFmtId="5" fontId="14" fillId="0" borderId="3" xfId="19" applyNumberFormat="1" applyFont="1" applyBorder="1"/>
    <xf numFmtId="5" fontId="14" fillId="7" borderId="3" xfId="19" applyNumberFormat="1" applyFont="1" applyFill="1" applyBorder="1"/>
    <xf numFmtId="0" fontId="13" fillId="0" borderId="4" xfId="19" applyFont="1" applyBorder="1" applyAlignment="1">
      <alignment horizontal="left" indent="1"/>
    </xf>
    <xf numFmtId="0" fontId="22" fillId="0" borderId="4" xfId="19" applyFont="1" applyBorder="1"/>
    <xf numFmtId="171" fontId="22" fillId="7" borderId="4" xfId="20" applyNumberFormat="1" applyFont="1" applyFill="1" applyBorder="1"/>
    <xf numFmtId="171" fontId="22" fillId="0" borderId="4" xfId="19" applyNumberFormat="1" applyFont="1" applyBorder="1"/>
    <xf numFmtId="171" fontId="22" fillId="7" borderId="4" xfId="20" applyNumberFormat="1" applyFont="1" applyFill="1" applyBorder="1" applyAlignment="1"/>
    <xf numFmtId="185" fontId="22" fillId="0" borderId="4" xfId="19" applyNumberFormat="1" applyFont="1" applyBorder="1"/>
    <xf numFmtId="9" fontId="17" fillId="0" borderId="4" xfId="23" applyFont="1" applyFill="1" applyBorder="1" applyAlignment="1"/>
    <xf numFmtId="9" fontId="13" fillId="7" borderId="4" xfId="23" applyFont="1" applyFill="1" applyBorder="1" applyAlignment="1"/>
    <xf numFmtId="0" fontId="22" fillId="0" borderId="2" xfId="19" applyFont="1" applyBorder="1"/>
    <xf numFmtId="171" fontId="22" fillId="7" borderId="2" xfId="20" applyNumberFormat="1" applyFont="1" applyFill="1" applyBorder="1"/>
    <xf numFmtId="171" fontId="22" fillId="0" borderId="2" xfId="19" applyNumberFormat="1" applyFont="1" applyBorder="1"/>
    <xf numFmtId="171" fontId="22" fillId="7" borderId="2" xfId="20" applyNumberFormat="1" applyFont="1" applyFill="1" applyBorder="1" applyAlignment="1"/>
    <xf numFmtId="5" fontId="48" fillId="0" borderId="2" xfId="19" applyNumberFormat="1" applyFont="1" applyBorder="1"/>
    <xf numFmtId="5" fontId="22" fillId="7" borderId="2" xfId="20" applyNumberFormat="1" applyFont="1" applyFill="1" applyBorder="1" applyAlignment="1"/>
    <xf numFmtId="9" fontId="48" fillId="0" borderId="2" xfId="23" applyFont="1" applyFill="1" applyBorder="1" applyAlignment="1"/>
    <xf numFmtId="9" fontId="22" fillId="7" borderId="2" xfId="23" applyFont="1" applyFill="1" applyBorder="1" applyAlignment="1"/>
    <xf numFmtId="5" fontId="17" fillId="0" borderId="4" xfId="19" applyNumberFormat="1" applyFont="1" applyBorder="1"/>
    <xf numFmtId="5" fontId="13" fillId="7" borderId="4" xfId="19" applyNumberFormat="1" applyFont="1" applyFill="1" applyBorder="1"/>
    <xf numFmtId="5" fontId="13" fillId="0" borderId="4" xfId="19" applyNumberFormat="1" applyFont="1" applyBorder="1"/>
    <xf numFmtId="5" fontId="19" fillId="0" borderId="0" xfId="19" applyNumberFormat="1" applyFont="1"/>
    <xf numFmtId="169" fontId="48" fillId="0" borderId="0" xfId="19" applyNumberFormat="1" applyFont="1" applyAlignment="1">
      <alignment horizontal="right"/>
    </xf>
    <xf numFmtId="10" fontId="22" fillId="0" borderId="0" xfId="23" applyNumberFormat="1" applyFont="1" applyFill="1" applyBorder="1" applyAlignment="1"/>
    <xf numFmtId="171" fontId="22" fillId="0" borderId="0" xfId="19" applyNumberFormat="1" applyFont="1" applyAlignment="1">
      <alignment horizontal="right"/>
    </xf>
    <xf numFmtId="9" fontId="20" fillId="0" borderId="1" xfId="19" applyNumberFormat="1" applyFont="1" applyBorder="1"/>
    <xf numFmtId="166" fontId="48" fillId="0" borderId="2" xfId="23" applyNumberFormat="1" applyFont="1" applyFill="1" applyBorder="1" applyAlignment="1"/>
    <xf numFmtId="166" fontId="22" fillId="7" borderId="2" xfId="23" applyNumberFormat="1" applyFont="1" applyFill="1" applyBorder="1" applyAlignment="1"/>
    <xf numFmtId="9" fontId="26" fillId="0" borderId="0" xfId="23" applyFont="1" applyFill="1" applyBorder="1" applyAlignment="1"/>
    <xf numFmtId="166" fontId="26" fillId="0" borderId="0" xfId="23" applyNumberFormat="1" applyFont="1" applyFill="1" applyBorder="1" applyAlignment="1"/>
    <xf numFmtId="10" fontId="13" fillId="0" borderId="0" xfId="23" applyNumberFormat="1" applyFont="1" applyBorder="1"/>
    <xf numFmtId="182" fontId="18" fillId="7" borderId="0" xfId="21" applyNumberFormat="1" applyFont="1" applyFill="1" applyBorder="1" applyAlignment="1">
      <alignment vertical="top"/>
    </xf>
    <xf numFmtId="10" fontId="33" fillId="0" borderId="0" xfId="23" applyNumberFormat="1" applyFont="1" applyBorder="1"/>
    <xf numFmtId="37" fontId="33" fillId="9" borderId="0" xfId="0" applyNumberFormat="1" applyFont="1" applyFill="1"/>
    <xf numFmtId="37" fontId="32" fillId="9" borderId="4" xfId="0" applyNumberFormat="1" applyFont="1" applyFill="1" applyBorder="1"/>
    <xf numFmtId="37" fontId="32" fillId="9" borderId="0" xfId="0" applyNumberFormat="1" applyFont="1" applyFill="1"/>
    <xf numFmtId="0" fontId="14" fillId="9" borderId="0" xfId="19" applyFont="1" applyFill="1"/>
    <xf numFmtId="5" fontId="27" fillId="7" borderId="0" xfId="0" applyNumberFormat="1" applyFont="1" applyFill="1"/>
    <xf numFmtId="0" fontId="33" fillId="7" borderId="0" xfId="0" applyFont="1" applyFill="1"/>
    <xf numFmtId="177" fontId="20" fillId="7" borderId="0" xfId="0" applyNumberFormat="1" applyFont="1" applyFill="1"/>
    <xf numFmtId="5" fontId="33" fillId="7" borderId="0" xfId="0" applyNumberFormat="1" applyFont="1" applyFill="1"/>
    <xf numFmtId="177" fontId="33" fillId="7" borderId="0" xfId="0" applyNumberFormat="1" applyFont="1" applyFill="1"/>
    <xf numFmtId="9" fontId="14" fillId="0" borderId="9" xfId="23" applyFont="1" applyFill="1" applyBorder="1"/>
  </cellXfs>
  <cellStyles count="35">
    <cellStyle name="Comma 2" xfId="21" xr:uid="{00000000-0005-0000-0000-000000000000}"/>
    <cellStyle name="Comma 2 2" xfId="29" xr:uid="{00000000-0005-0000-0000-000001000000}"/>
    <cellStyle name="Currency" xfId="33" builtinId="4"/>
    <cellStyle name="Currency 2 2" xfId="31" xr:uid="{00000000-0005-0000-0000-000003000000}"/>
    <cellStyle name="GPSBlankCell" xfId="6" xr:uid="{00000000-0005-0000-0000-000004000000}"/>
    <cellStyle name="GPSCalculatedCell" xfId="10" xr:uid="{00000000-0005-0000-0000-000005000000}"/>
    <cellStyle name="GPSCoverPageAnalyst" xfId="14" xr:uid="{00000000-0005-0000-0000-000006000000}"/>
    <cellStyle name="GPSCoverPageCompanyName" xfId="16" xr:uid="{00000000-0005-0000-0000-000007000000}"/>
    <cellStyle name="GPSCoverPageCompanySubTitle" xfId="17" xr:uid="{00000000-0005-0000-0000-000008000000}"/>
    <cellStyle name="GPSCoverPageDate" xfId="13" xr:uid="{00000000-0005-0000-0000-000009000000}"/>
    <cellStyle name="GPSCoverPageDisclaimer" xfId="15" xr:uid="{00000000-0005-0000-0000-00000A000000}"/>
    <cellStyle name="GPSCoverPageDisclosure" xfId="34" xr:uid="{38BD5975-06AA-4495-8F63-FB3C33669306}"/>
    <cellStyle name="GPSCoverPageEntity" xfId="12" xr:uid="{00000000-0005-0000-0000-00000B000000}"/>
    <cellStyle name="GPSCoverPageUnderline" xfId="18" xr:uid="{00000000-0005-0000-0000-00000C000000}"/>
    <cellStyle name="GPSDataItemTitle" xfId="9" xr:uid="{00000000-0005-0000-0000-00000D000000}"/>
    <cellStyle name="GPSDivisionTitle" xfId="2" xr:uid="{00000000-0005-0000-0000-00000E000000}"/>
    <cellStyle name="GPSFYTitle" xfId="8" xr:uid="{00000000-0005-0000-0000-00000F000000}"/>
    <cellStyle name="GPSHeaderSubTitle" xfId="4" xr:uid="{00000000-0005-0000-0000-000010000000}"/>
    <cellStyle name="GPSHeaderTitle" xfId="1" xr:uid="{00000000-0005-0000-0000-000011000000}"/>
    <cellStyle name="GPSHidden" xfId="3" xr:uid="{00000000-0005-0000-0000-000012000000}"/>
    <cellStyle name="GPSInterimTitle" xfId="7" xr:uid="{00000000-0005-0000-0000-000013000000}"/>
    <cellStyle name="GPSPrice" xfId="11" xr:uid="{00000000-0005-0000-0000-000014000000}"/>
    <cellStyle name="GPSSectionHeader" xfId="5" xr:uid="{00000000-0005-0000-0000-000015000000}"/>
    <cellStyle name="Normal" xfId="0" builtinId="0"/>
    <cellStyle name="Normal 10" xfId="32" xr:uid="{00000000-0005-0000-0000-000017000000}"/>
    <cellStyle name="Normal 19" xfId="27" xr:uid="{00000000-0005-0000-0000-000018000000}"/>
    <cellStyle name="Normal 2" xfId="19" xr:uid="{00000000-0005-0000-0000-000019000000}"/>
    <cellStyle name="Normal 2 3" xfId="24" xr:uid="{00000000-0005-0000-0000-00001A000000}"/>
    <cellStyle name="Normal 3" xfId="25" xr:uid="{00000000-0005-0000-0000-00001B000000}"/>
    <cellStyle name="Percent" xfId="23" builtinId="5"/>
    <cellStyle name="Percent 10" xfId="22" xr:uid="{00000000-0005-0000-0000-000022000000}"/>
    <cellStyle name="Percent 2" xfId="20" xr:uid="{00000000-0005-0000-0000-000023000000}"/>
    <cellStyle name="Percent 2 2" xfId="30" xr:uid="{00000000-0005-0000-0000-000024000000}"/>
    <cellStyle name="Percent 3" xfId="26" xr:uid="{00000000-0005-0000-0000-000025000000}"/>
    <cellStyle name="Style 1 2" xfId="28" xr:uid="{00000000-0005-0000-0000-000026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4E8ABE"/>
      <rgbColor rgb="00616265"/>
      <rgbColor rgb="00333333"/>
      <rgbColor rgb="00969696"/>
      <rgbColor rgb="009AB0CB"/>
      <rgbColor rgb="004D4D4D"/>
      <rgbColor rgb="00808080"/>
      <rgbColor rgb="00B2B2B2"/>
      <rgbColor rgb="004E8ABE"/>
      <rgbColor rgb="00616265"/>
      <rgbColor rgb="00333333"/>
      <rgbColor rgb="00969696"/>
      <rgbColor rgb="009AB0CB"/>
      <rgbColor rgb="004D4D4D"/>
      <rgbColor rgb="00808080"/>
      <rgbColor rgb="00B2B2B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FF0000"/>
      <color rgb="FFF8F8F8"/>
      <color rgb="FF009900"/>
      <color rgb="FF0033CC"/>
      <color rgb="FF6162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JPMColours">
      <a:dk1>
        <a:sysClr val="windowText" lastClr="000000"/>
      </a:dk1>
      <a:lt1>
        <a:sysClr val="window" lastClr="FFFFFF"/>
      </a:lt1>
      <a:dk2>
        <a:srgbClr val="000000"/>
      </a:dk2>
      <a:lt2>
        <a:srgbClr val="F8F8F8"/>
      </a:lt2>
      <a:accent1>
        <a:srgbClr val="4E8ABE"/>
      </a:accent1>
      <a:accent2>
        <a:srgbClr val="616265"/>
      </a:accent2>
      <a:accent3>
        <a:srgbClr val="333333"/>
      </a:accent3>
      <a:accent4>
        <a:srgbClr val="969696"/>
      </a:accent4>
      <a:accent5>
        <a:srgbClr val="9AB0CB"/>
      </a:accent5>
      <a:accent6>
        <a:srgbClr val="4D4D4D"/>
      </a:accent6>
      <a:hlink>
        <a:srgbClr val="5F5F5F"/>
      </a:hlink>
      <a:folHlink>
        <a:srgbClr val="919191"/>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76310A7-AD91-4A02-9218-51830F393219}">
  <we:reference id="05c2e1c9-3e1d-406e-9a91-e9ac64854143"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S297"/>
  <sheetViews>
    <sheetView showGridLines="0" view="pageBreakPreview" zoomScaleNormal="70" zoomScaleSheetLayoutView="100" workbookViewId="0">
      <pane xSplit="8" ySplit="7" topLeftCell="AH182" activePane="bottomRight" state="frozen"/>
      <selection pane="topRight" activeCell="I1" sqref="I1"/>
      <selection pane="bottomLeft" activeCell="A8" sqref="A8"/>
      <selection pane="bottomRight" activeCell="BT189" sqref="BT189"/>
    </sheetView>
  </sheetViews>
  <sheetFormatPr defaultRowHeight="12.75" outlineLevelRow="1" outlineLevelCol="1" x14ac:dyDescent="0.35"/>
  <cols>
    <col min="1" max="1" width="1.73046875" style="2" customWidth="1"/>
    <col min="2" max="2" width="37.3984375" style="2" customWidth="1"/>
    <col min="3" max="3" width="15.73046875" style="2" customWidth="1"/>
    <col min="4" max="4" width="9.73046875" style="2" customWidth="1"/>
    <col min="5" max="8" width="9.73046875" style="2" hidden="1" customWidth="1" outlineLevel="1"/>
    <col min="9" max="9" width="9.73046875" style="2" hidden="1" customWidth="1" outlineLevel="1" collapsed="1"/>
    <col min="10" max="28" width="9.73046875" style="2" hidden="1" customWidth="1" outlineLevel="1"/>
    <col min="29" max="29" width="9.73046875" style="2" hidden="1" customWidth="1" outlineLevel="1" collapsed="1"/>
    <col min="30" max="33" width="9.73046875" style="2" hidden="1" customWidth="1" outlineLevel="1"/>
    <col min="34" max="34" width="9.73046875" style="2" customWidth="1" collapsed="1"/>
    <col min="35" max="38" width="9.73046875" style="2" hidden="1" customWidth="1" outlineLevel="1"/>
    <col min="39" max="39" width="9.73046875" style="2" customWidth="1" collapsed="1"/>
    <col min="40" max="43" width="9.73046875" style="2" hidden="1" customWidth="1" outlineLevel="1"/>
    <col min="44" max="44" width="9.73046875" style="2" customWidth="1" collapsed="1"/>
    <col min="45" max="48" width="9.73046875" style="2" hidden="1" customWidth="1" outlineLevel="1"/>
    <col min="49" max="49" width="9.73046875" style="2" customWidth="1" collapsed="1"/>
    <col min="50" max="53" width="9.73046875" hidden="1" customWidth="1" outlineLevel="1"/>
    <col min="54" max="54" width="9.73046875" customWidth="1" collapsed="1"/>
    <col min="55" max="58" width="9.73046875" hidden="1" customWidth="1" outlineLevel="1"/>
    <col min="59" max="59" width="9.73046875" customWidth="1" collapsed="1"/>
    <col min="60" max="63" width="9.73046875" hidden="1" customWidth="1" outlineLevel="1"/>
    <col min="64" max="64" width="9.73046875" customWidth="1" collapsed="1"/>
    <col min="65" max="68" width="9.73046875" hidden="1" customWidth="1" outlineLevel="1"/>
    <col min="69" max="69" width="9.73046875" customWidth="1" collapsed="1"/>
    <col min="70" max="73" width="9.73046875" customWidth="1" outlineLevel="1"/>
    <col min="74" max="74" width="9.73046875" customWidth="1"/>
    <col min="75" max="78" width="9.73046875" hidden="1" customWidth="1" outlineLevel="1"/>
    <col min="79" max="79" width="9.73046875" customWidth="1" collapsed="1"/>
    <col min="80" max="83" width="9.73046875" hidden="1" customWidth="1" outlineLevel="1"/>
    <col min="84" max="84" width="9.73046875" customWidth="1" collapsed="1"/>
    <col min="85" max="86" width="9.73046875" customWidth="1"/>
    <col min="87" max="87" width="18" style="133" bestFit="1" customWidth="1"/>
    <col min="88" max="88" width="11.59765625" style="133" bestFit="1" customWidth="1"/>
    <col min="89" max="89" width="8.3984375" style="133" bestFit="1" customWidth="1"/>
    <col min="90" max="97" width="9.73046875" style="133" customWidth="1"/>
    <col min="98" max="201" width="9.73046875" customWidth="1"/>
  </cols>
  <sheetData>
    <row r="1" spans="1:97" hidden="1" outlineLevel="1" x14ac:dyDescent="0.35">
      <c r="S1" s="3" t="s">
        <v>0</v>
      </c>
      <c r="T1" s="3"/>
      <c r="U1" s="3"/>
      <c r="V1" s="3"/>
      <c r="W1" s="3"/>
      <c r="X1" s="3" t="s">
        <v>5</v>
      </c>
      <c r="Y1" s="3" t="s">
        <v>1</v>
      </c>
      <c r="Z1" s="3" t="s">
        <v>2</v>
      </c>
      <c r="AA1" s="3" t="s">
        <v>3</v>
      </c>
      <c r="AB1" s="3" t="s">
        <v>4</v>
      </c>
      <c r="AC1" s="3" t="s">
        <v>6</v>
      </c>
      <c r="AD1" s="3" t="s">
        <v>1</v>
      </c>
      <c r="AE1" s="3" t="s">
        <v>2</v>
      </c>
      <c r="AF1" s="3" t="s">
        <v>3</v>
      </c>
      <c r="AG1" s="3" t="s">
        <v>4</v>
      </c>
      <c r="AH1" s="3" t="s">
        <v>7</v>
      </c>
      <c r="AI1" s="3" t="s">
        <v>1</v>
      </c>
      <c r="AJ1" s="3" t="s">
        <v>2</v>
      </c>
      <c r="AK1" s="3" t="s">
        <v>3</v>
      </c>
      <c r="AL1" s="3" t="s">
        <v>4</v>
      </c>
      <c r="AM1" s="3" t="s">
        <v>45</v>
      </c>
      <c r="AN1" s="3" t="s">
        <v>1</v>
      </c>
      <c r="AO1" s="3" t="s">
        <v>2</v>
      </c>
      <c r="AP1" s="3" t="s">
        <v>3</v>
      </c>
      <c r="AQ1" s="3" t="s">
        <v>4</v>
      </c>
      <c r="AR1" s="3" t="s">
        <v>46</v>
      </c>
      <c r="AS1" s="3" t="s">
        <v>1</v>
      </c>
      <c r="AT1" s="3" t="s">
        <v>2</v>
      </c>
      <c r="AU1" s="3" t="s">
        <v>3</v>
      </c>
      <c r="AV1" s="3" t="s">
        <v>4</v>
      </c>
      <c r="AW1" s="3" t="s">
        <v>47</v>
      </c>
      <c r="CI1"/>
      <c r="CJ1"/>
      <c r="CK1"/>
      <c r="CL1"/>
      <c r="CM1"/>
      <c r="CN1"/>
      <c r="CO1"/>
      <c r="CP1"/>
      <c r="CQ1"/>
      <c r="CR1"/>
      <c r="CS1"/>
    </row>
    <row r="2" spans="1:97" ht="12.75" customHeight="1" collapsed="1" x14ac:dyDescent="0.35">
      <c r="B2" s="127"/>
      <c r="C2" s="4"/>
      <c r="D2" s="4"/>
      <c r="E2" s="4"/>
      <c r="F2" s="4"/>
      <c r="G2" s="4"/>
      <c r="H2" s="4"/>
      <c r="I2" s="4"/>
      <c r="J2" s="4"/>
      <c r="K2" s="4"/>
      <c r="L2" s="4"/>
      <c r="M2" s="4"/>
      <c r="N2" s="4"/>
      <c r="O2" s="4"/>
      <c r="P2" s="4"/>
      <c r="Q2" s="4"/>
      <c r="R2" s="4"/>
      <c r="S2" s="5"/>
      <c r="T2" s="5"/>
      <c r="U2" s="5"/>
      <c r="V2" s="5"/>
      <c r="W2" s="5"/>
      <c r="X2" s="5"/>
      <c r="Y2" s="5"/>
      <c r="AC2" s="5"/>
      <c r="AD2" s="5"/>
      <c r="AH2" s="6"/>
      <c r="AI2" s="6"/>
      <c r="AJ2" s="6"/>
      <c r="AK2" s="6"/>
      <c r="AL2" s="6"/>
      <c r="AM2" s="6"/>
      <c r="CI2"/>
      <c r="CJ2"/>
      <c r="CK2"/>
      <c r="CL2"/>
      <c r="CM2"/>
      <c r="CN2"/>
      <c r="CO2"/>
      <c r="CP2"/>
      <c r="CQ2"/>
      <c r="CR2"/>
      <c r="CS2"/>
    </row>
    <row r="3" spans="1:97" ht="20.100000000000001" customHeight="1" x14ac:dyDescent="0.35">
      <c r="B3" s="7" t="s">
        <v>369</v>
      </c>
      <c r="C3" s="7"/>
      <c r="D3" s="7"/>
      <c r="E3" s="7"/>
      <c r="F3" s="7"/>
      <c r="G3" s="7"/>
      <c r="H3" s="7"/>
      <c r="I3" s="7"/>
      <c r="J3" s="7"/>
      <c r="K3" s="7"/>
      <c r="L3" s="7"/>
      <c r="M3" s="7"/>
      <c r="N3" s="7"/>
      <c r="O3" s="7"/>
      <c r="P3" s="7"/>
      <c r="Q3" s="7"/>
      <c r="R3" s="7"/>
      <c r="X3"/>
      <c r="Y3" s="8"/>
      <c r="Z3"/>
      <c r="AA3"/>
      <c r="AB3"/>
      <c r="AC3"/>
      <c r="AD3"/>
      <c r="AF3" s="9"/>
      <c r="AG3" s="9"/>
      <c r="AH3" s="3"/>
      <c r="AI3" s="3"/>
      <c r="AJ3" s="3"/>
      <c r="AK3" s="3"/>
      <c r="AL3" s="3"/>
      <c r="AM3" s="3"/>
      <c r="AP3" s="10"/>
      <c r="AQ3" s="10"/>
      <c r="AR3" s="10"/>
      <c r="BB3" s="468"/>
      <c r="BG3" s="468"/>
      <c r="BL3" s="468"/>
      <c r="BQ3" s="468"/>
      <c r="BV3" s="468"/>
      <c r="CA3" s="468"/>
      <c r="CF3" s="468"/>
      <c r="CI3"/>
      <c r="CJ3"/>
      <c r="CK3"/>
      <c r="CL3"/>
      <c r="CM3"/>
      <c r="CN3"/>
      <c r="CO3"/>
      <c r="CP3"/>
      <c r="CQ3"/>
      <c r="CR3"/>
      <c r="CS3"/>
    </row>
    <row r="4" spans="1:97" ht="12.75" customHeight="1" x14ac:dyDescent="0.35">
      <c r="B4" s="11" t="s">
        <v>54</v>
      </c>
      <c r="C4" s="11"/>
      <c r="D4" s="11"/>
      <c r="E4" s="11"/>
      <c r="F4" s="11"/>
      <c r="G4" s="11"/>
      <c r="H4" s="11"/>
      <c r="I4" s="11"/>
      <c r="J4" s="11"/>
      <c r="K4" s="11"/>
      <c r="L4" s="11"/>
      <c r="M4" s="11"/>
      <c r="N4" s="11"/>
      <c r="O4" s="11"/>
      <c r="P4" s="11"/>
      <c r="Q4" s="11"/>
      <c r="R4" s="11"/>
      <c r="X4" s="12"/>
      <c r="Y4" s="13"/>
      <c r="Z4"/>
      <c r="AA4"/>
      <c r="AB4"/>
      <c r="AC4"/>
      <c r="AD4"/>
      <c r="AF4" s="14"/>
      <c r="AG4" s="15"/>
      <c r="AH4" s="16"/>
      <c r="AI4" s="16"/>
      <c r="AJ4" s="16"/>
      <c r="AK4" s="16"/>
      <c r="AL4" s="16"/>
      <c r="AM4" s="16"/>
      <c r="AQ4" s="17"/>
      <c r="AR4" s="453"/>
      <c r="AS4" s="17"/>
      <c r="AT4" s="17"/>
      <c r="AW4" s="459"/>
      <c r="AZ4" s="500"/>
      <c r="BA4" s="535"/>
      <c r="BB4" s="473"/>
      <c r="BE4" s="500"/>
      <c r="BF4" s="535"/>
      <c r="BG4" s="534"/>
      <c r="CI4"/>
      <c r="CJ4"/>
      <c r="CK4"/>
      <c r="CL4"/>
      <c r="CM4"/>
      <c r="CN4"/>
      <c r="CO4"/>
      <c r="CP4"/>
      <c r="CQ4"/>
      <c r="CR4"/>
      <c r="CS4"/>
    </row>
    <row r="5" spans="1:97" x14ac:dyDescent="0.35">
      <c r="B5" s="18" t="s">
        <v>9</v>
      </c>
      <c r="C5" s="18"/>
      <c r="D5" s="18"/>
      <c r="E5" s="18"/>
      <c r="F5" s="18"/>
      <c r="G5" s="18"/>
      <c r="H5" s="18"/>
      <c r="I5" s="18"/>
      <c r="J5" s="18"/>
      <c r="K5" s="18"/>
      <c r="L5" s="18"/>
      <c r="M5" s="18"/>
      <c r="N5" s="18"/>
      <c r="O5" s="18"/>
      <c r="P5" s="18"/>
      <c r="Q5" s="18"/>
      <c r="R5" s="18"/>
      <c r="X5"/>
      <c r="Y5" s="19"/>
      <c r="Z5"/>
      <c r="AA5"/>
      <c r="AB5"/>
      <c r="AC5"/>
      <c r="AD5"/>
      <c r="AG5" s="20"/>
      <c r="AH5" s="21"/>
      <c r="AI5" s="445"/>
      <c r="AJ5" s="445"/>
      <c r="AK5" s="445"/>
      <c r="AL5" s="445"/>
      <c r="AM5" s="22"/>
      <c r="AQ5" s="23"/>
      <c r="AR5" s="23"/>
      <c r="AS5" s="474"/>
      <c r="AT5"/>
      <c r="AU5" s="474"/>
      <c r="AW5" s="456"/>
      <c r="AX5" s="474"/>
      <c r="AZ5" s="474"/>
      <c r="BC5" s="474"/>
      <c r="BE5" s="474"/>
      <c r="CI5"/>
      <c r="CJ5"/>
      <c r="CK5"/>
      <c r="CL5"/>
      <c r="CM5"/>
      <c r="CN5"/>
      <c r="CO5"/>
      <c r="CP5"/>
      <c r="CQ5"/>
      <c r="CR5"/>
      <c r="CS5"/>
    </row>
    <row r="6" spans="1:97" x14ac:dyDescent="0.35">
      <c r="B6" s="130"/>
      <c r="C6" s="38"/>
      <c r="E6" s="26" t="s">
        <v>104</v>
      </c>
      <c r="F6" s="26"/>
      <c r="G6" s="27"/>
      <c r="H6" s="27"/>
      <c r="I6" s="25"/>
      <c r="J6" s="26" t="s">
        <v>13</v>
      </c>
      <c r="K6" s="26"/>
      <c r="L6" s="27"/>
      <c r="M6" s="27"/>
      <c r="N6" s="25"/>
      <c r="O6" s="26" t="s">
        <v>14</v>
      </c>
      <c r="P6" s="26"/>
      <c r="Q6" s="27"/>
      <c r="R6" s="27"/>
      <c r="S6" s="25"/>
      <c r="T6" s="26" t="s">
        <v>10</v>
      </c>
      <c r="U6" s="26"/>
      <c r="V6" s="27"/>
      <c r="W6" s="27"/>
      <c r="X6" s="25"/>
      <c r="Y6" s="26" t="s">
        <v>11</v>
      </c>
      <c r="Z6" s="26"/>
      <c r="AA6" s="27"/>
      <c r="AB6" s="27"/>
      <c r="AC6" s="25"/>
      <c r="AD6" s="26" t="s">
        <v>12</v>
      </c>
      <c r="AE6" s="26"/>
      <c r="AF6" s="27"/>
      <c r="AG6" s="27"/>
      <c r="AH6" s="25"/>
      <c r="AI6" s="26" t="s">
        <v>53</v>
      </c>
      <c r="AJ6" s="26"/>
      <c r="AK6" s="27"/>
      <c r="AL6" s="27"/>
      <c r="AM6" s="25"/>
      <c r="AN6" s="26" t="s">
        <v>281</v>
      </c>
      <c r="AO6" s="26"/>
      <c r="AP6" s="27"/>
      <c r="AQ6" s="27"/>
      <c r="AR6" s="25"/>
      <c r="AS6" s="26" t="s">
        <v>319</v>
      </c>
      <c r="AT6" s="26"/>
      <c r="AU6" s="27"/>
      <c r="AV6" s="27"/>
      <c r="AW6" s="25"/>
      <c r="AX6" s="26" t="s">
        <v>371</v>
      </c>
      <c r="AY6" s="26"/>
      <c r="AZ6" s="27"/>
      <c r="BA6" s="27"/>
      <c r="BB6" s="25"/>
      <c r="BC6" s="26" t="s">
        <v>469</v>
      </c>
      <c r="BD6" s="26"/>
      <c r="BE6" s="27"/>
      <c r="BF6" s="27"/>
      <c r="BG6" s="25"/>
      <c r="BH6" s="26" t="s">
        <v>489</v>
      </c>
      <c r="BI6" s="26"/>
      <c r="BJ6" s="27"/>
      <c r="BK6" s="27"/>
      <c r="BL6" s="25"/>
      <c r="BM6" s="26" t="s">
        <v>508</v>
      </c>
      <c r="BN6" s="26"/>
      <c r="BO6" s="27"/>
      <c r="BP6" s="27"/>
      <c r="BQ6" s="25"/>
      <c r="BR6" s="26" t="s">
        <v>477</v>
      </c>
      <c r="BS6" s="26"/>
      <c r="BT6" s="27"/>
      <c r="BU6" s="27"/>
      <c r="BV6" s="25"/>
      <c r="BW6" s="26" t="s">
        <v>493</v>
      </c>
      <c r="BX6" s="26"/>
      <c r="BY6" s="27"/>
      <c r="BZ6" s="27"/>
      <c r="CA6" s="25"/>
      <c r="CB6" s="26" t="s">
        <v>513</v>
      </c>
      <c r="CC6" s="26"/>
      <c r="CD6" s="27"/>
      <c r="CE6" s="27"/>
      <c r="CF6" s="25"/>
      <c r="CI6"/>
      <c r="CJ6"/>
      <c r="CK6"/>
      <c r="CL6"/>
      <c r="CM6"/>
      <c r="CN6"/>
      <c r="CO6"/>
      <c r="CP6"/>
      <c r="CQ6"/>
      <c r="CR6"/>
      <c r="CS6"/>
    </row>
    <row r="7" spans="1:97" x14ac:dyDescent="0.35">
      <c r="B7" s="131"/>
      <c r="C7" s="28"/>
      <c r="D7" s="28"/>
      <c r="E7" s="30" t="s">
        <v>105</v>
      </c>
      <c r="F7" s="31" t="s">
        <v>106</v>
      </c>
      <c r="G7" s="31" t="s">
        <v>107</v>
      </c>
      <c r="H7" s="30" t="s">
        <v>108</v>
      </c>
      <c r="I7" s="29" t="s">
        <v>104</v>
      </c>
      <c r="J7" s="30" t="s">
        <v>109</v>
      </c>
      <c r="K7" s="30" t="s">
        <v>110</v>
      </c>
      <c r="L7" s="30" t="s">
        <v>111</v>
      </c>
      <c r="M7" s="30" t="s">
        <v>112</v>
      </c>
      <c r="N7" s="29" t="s">
        <v>13</v>
      </c>
      <c r="O7" s="30" t="s">
        <v>113</v>
      </c>
      <c r="P7" s="30" t="s">
        <v>114</v>
      </c>
      <c r="Q7" s="30" t="s">
        <v>115</v>
      </c>
      <c r="R7" s="30" t="s">
        <v>116</v>
      </c>
      <c r="S7" s="29" t="s">
        <v>14</v>
      </c>
      <c r="T7" s="30" t="s">
        <v>117</v>
      </c>
      <c r="U7" s="30" t="s">
        <v>118</v>
      </c>
      <c r="V7" s="30" t="s">
        <v>119</v>
      </c>
      <c r="W7" s="30" t="s">
        <v>120</v>
      </c>
      <c r="X7" s="29" t="s">
        <v>10</v>
      </c>
      <c r="Y7" s="30" t="s">
        <v>15</v>
      </c>
      <c r="Z7" s="30" t="s">
        <v>16</v>
      </c>
      <c r="AA7" s="30" t="s">
        <v>17</v>
      </c>
      <c r="AB7" s="30" t="s">
        <v>18</v>
      </c>
      <c r="AC7" s="29" t="s">
        <v>11</v>
      </c>
      <c r="AD7" s="30" t="s">
        <v>19</v>
      </c>
      <c r="AE7" s="30" t="s">
        <v>20</v>
      </c>
      <c r="AF7" s="30" t="s">
        <v>21</v>
      </c>
      <c r="AG7" s="30" t="s">
        <v>22</v>
      </c>
      <c r="AH7" s="29" t="s">
        <v>12</v>
      </c>
      <c r="AI7" s="30" t="s">
        <v>23</v>
      </c>
      <c r="AJ7" s="30" t="s">
        <v>48</v>
      </c>
      <c r="AK7" s="30" t="s">
        <v>52</v>
      </c>
      <c r="AL7" s="30" t="s">
        <v>95</v>
      </c>
      <c r="AM7" s="29" t="s">
        <v>53</v>
      </c>
      <c r="AN7" s="30" t="s">
        <v>169</v>
      </c>
      <c r="AO7" s="30" t="s">
        <v>269</v>
      </c>
      <c r="AP7" s="30" t="s">
        <v>274</v>
      </c>
      <c r="AQ7" s="30" t="s">
        <v>280</v>
      </c>
      <c r="AR7" s="29" t="s">
        <v>281</v>
      </c>
      <c r="AS7" s="30" t="s">
        <v>293</v>
      </c>
      <c r="AT7" s="30" t="s">
        <v>305</v>
      </c>
      <c r="AU7" s="30" t="s">
        <v>312</v>
      </c>
      <c r="AV7" s="30" t="s">
        <v>318</v>
      </c>
      <c r="AW7" s="29" t="s">
        <v>319</v>
      </c>
      <c r="AX7" s="30" t="s">
        <v>327</v>
      </c>
      <c r="AY7" s="30" t="s">
        <v>335</v>
      </c>
      <c r="AZ7" s="30" t="s">
        <v>343</v>
      </c>
      <c r="BA7" s="30" t="s">
        <v>370</v>
      </c>
      <c r="BB7" s="29" t="s">
        <v>371</v>
      </c>
      <c r="BC7" s="30" t="s">
        <v>418</v>
      </c>
      <c r="BD7" s="30" t="s">
        <v>438</v>
      </c>
      <c r="BE7" s="30" t="s">
        <v>452</v>
      </c>
      <c r="BF7" s="30" t="s">
        <v>468</v>
      </c>
      <c r="BG7" s="29" t="s">
        <v>469</v>
      </c>
      <c r="BH7" s="30" t="s">
        <v>476</v>
      </c>
      <c r="BI7" s="30" t="s">
        <v>479</v>
      </c>
      <c r="BJ7" s="30" t="s">
        <v>486</v>
      </c>
      <c r="BK7" s="30" t="s">
        <v>488</v>
      </c>
      <c r="BL7" s="29" t="s">
        <v>489</v>
      </c>
      <c r="BM7" s="30" t="s">
        <v>491</v>
      </c>
      <c r="BN7" s="30" t="s">
        <v>499</v>
      </c>
      <c r="BO7" s="30" t="s">
        <v>503</v>
      </c>
      <c r="BP7" s="30" t="s">
        <v>509</v>
      </c>
      <c r="BQ7" s="29" t="s">
        <v>508</v>
      </c>
      <c r="BR7" s="30" t="s">
        <v>511</v>
      </c>
      <c r="BS7" s="30" t="s">
        <v>518</v>
      </c>
      <c r="BT7" s="30" t="s">
        <v>527</v>
      </c>
      <c r="BU7" s="30" t="s">
        <v>478</v>
      </c>
      <c r="BV7" s="29" t="s">
        <v>477</v>
      </c>
      <c r="BW7" s="30" t="s">
        <v>494</v>
      </c>
      <c r="BX7" s="30" t="s">
        <v>495</v>
      </c>
      <c r="BY7" s="30" t="s">
        <v>496</v>
      </c>
      <c r="BZ7" s="30" t="s">
        <v>497</v>
      </c>
      <c r="CA7" s="29" t="s">
        <v>493</v>
      </c>
      <c r="CB7" s="30" t="s">
        <v>514</v>
      </c>
      <c r="CC7" s="30" t="s">
        <v>515</v>
      </c>
      <c r="CD7" s="30" t="s">
        <v>516</v>
      </c>
      <c r="CE7" s="30" t="s">
        <v>517</v>
      </c>
      <c r="CF7" s="29" t="s">
        <v>513</v>
      </c>
      <c r="CI7"/>
      <c r="CJ7"/>
      <c r="CK7"/>
      <c r="CL7"/>
      <c r="CM7"/>
      <c r="CN7"/>
      <c r="CO7"/>
      <c r="CP7"/>
      <c r="CQ7"/>
      <c r="CR7"/>
      <c r="CS7"/>
    </row>
    <row r="8" spans="1:97" x14ac:dyDescent="0.35">
      <c r="A8" s="24"/>
      <c r="B8" s="301" t="s">
        <v>103</v>
      </c>
      <c r="C8" s="301"/>
      <c r="D8" s="301"/>
      <c r="E8" s="301"/>
      <c r="F8" s="301"/>
      <c r="G8" s="301"/>
      <c r="H8" s="301"/>
      <c r="I8" s="302"/>
      <c r="J8" s="302"/>
      <c r="K8" s="302"/>
      <c r="L8" s="302"/>
      <c r="M8" s="302"/>
      <c r="N8" s="302"/>
      <c r="O8" s="302"/>
      <c r="P8" s="302"/>
      <c r="Q8" s="302"/>
      <c r="R8" s="302"/>
      <c r="S8" s="302"/>
      <c r="T8" s="302"/>
      <c r="U8" s="302"/>
      <c r="V8" s="302"/>
      <c r="W8" s="302"/>
      <c r="X8" s="303"/>
      <c r="Y8" s="302"/>
      <c r="Z8" s="302"/>
      <c r="AA8" s="302"/>
      <c r="AB8" s="302"/>
      <c r="AC8" s="303"/>
      <c r="AD8" s="302"/>
      <c r="AE8" s="302"/>
      <c r="AF8" s="302"/>
      <c r="AG8" s="302"/>
      <c r="AH8" s="302"/>
      <c r="AI8" s="302"/>
      <c r="AJ8" s="302"/>
      <c r="AK8" s="302"/>
      <c r="AL8" s="302"/>
      <c r="AM8" s="302"/>
      <c r="AN8" s="302"/>
      <c r="AO8" s="302"/>
      <c r="AP8" s="302"/>
      <c r="AQ8" s="302"/>
      <c r="AR8" s="302"/>
      <c r="AS8" s="302"/>
      <c r="AT8" s="302"/>
      <c r="AU8" s="302"/>
      <c r="AV8" s="302"/>
      <c r="AW8" s="302"/>
      <c r="AX8" s="302"/>
      <c r="AY8" s="302"/>
      <c r="AZ8" s="302"/>
      <c r="BA8" s="302"/>
      <c r="BB8" s="302"/>
      <c r="BC8" s="302"/>
      <c r="BD8" s="302"/>
      <c r="BE8" s="302"/>
      <c r="BF8" s="302"/>
      <c r="BG8" s="302"/>
      <c r="BH8" s="302"/>
      <c r="BI8" s="302"/>
      <c r="BJ8" s="302"/>
      <c r="BK8" s="302"/>
      <c r="BL8" s="302"/>
      <c r="BM8" s="302"/>
      <c r="BN8" s="302"/>
      <c r="BO8" s="302"/>
      <c r="BP8" s="302"/>
      <c r="BQ8" s="302"/>
      <c r="BR8" s="302"/>
      <c r="BS8" s="302"/>
      <c r="BT8" s="302"/>
      <c r="BU8" s="302"/>
      <c r="BV8" s="302"/>
      <c r="BW8" s="302"/>
      <c r="BX8" s="302"/>
      <c r="BY8" s="302"/>
      <c r="BZ8" s="302"/>
      <c r="CA8" s="302"/>
      <c r="CB8" s="302"/>
      <c r="CC8" s="302"/>
      <c r="CD8" s="302"/>
      <c r="CE8" s="302"/>
      <c r="CF8" s="302"/>
      <c r="CI8"/>
      <c r="CJ8"/>
      <c r="CK8"/>
      <c r="CL8"/>
      <c r="CM8"/>
      <c r="CN8"/>
      <c r="CO8"/>
      <c r="CP8"/>
      <c r="CQ8"/>
      <c r="CR8"/>
      <c r="CS8"/>
    </row>
    <row r="9" spans="1:97" hidden="1" outlineLevel="1" x14ac:dyDescent="0.35">
      <c r="A9" s="24"/>
      <c r="B9" s="35" t="s">
        <v>512</v>
      </c>
      <c r="C9" s="24"/>
      <c r="D9" s="24"/>
      <c r="E9" s="173"/>
      <c r="F9" s="173"/>
      <c r="G9" s="173"/>
      <c r="H9" s="173"/>
      <c r="I9" s="219"/>
      <c r="J9" s="173"/>
      <c r="K9" s="173"/>
      <c r="L9" s="173"/>
      <c r="M9" s="173"/>
      <c r="N9" s="219"/>
      <c r="O9" s="173"/>
      <c r="P9" s="173"/>
      <c r="Q9" s="173"/>
      <c r="R9" s="173"/>
      <c r="S9" s="219"/>
      <c r="T9" s="173"/>
      <c r="U9" s="173"/>
      <c r="V9" s="173"/>
      <c r="W9" s="173"/>
      <c r="X9" s="219"/>
      <c r="Y9" s="173"/>
      <c r="Z9" s="173"/>
      <c r="AA9" s="173"/>
      <c r="AB9" s="173"/>
      <c r="AC9" s="219"/>
      <c r="AD9" s="173"/>
      <c r="AE9" s="173"/>
      <c r="AF9" s="173"/>
      <c r="AG9" s="173"/>
      <c r="AH9" s="219"/>
      <c r="AI9" s="173">
        <v>1400</v>
      </c>
      <c r="AJ9" s="173">
        <v>1300</v>
      </c>
      <c r="AK9" s="173">
        <v>1100</v>
      </c>
      <c r="AL9" s="173">
        <v>856</v>
      </c>
      <c r="AM9" s="219">
        <f>SUM(AI9:AL9)</f>
        <v>4656</v>
      </c>
      <c r="AN9" s="449">
        <f>AS9/(1+AS10)</f>
        <v>1229.6610169491526</v>
      </c>
      <c r="AO9" s="173">
        <v>1168</v>
      </c>
      <c r="AP9" s="173">
        <v>1189</v>
      </c>
      <c r="AQ9" s="173">
        <v>1013</v>
      </c>
      <c r="AR9" s="219">
        <f>SUM(AN9:AQ9)</f>
        <v>4599.6610169491523</v>
      </c>
      <c r="AS9" s="173">
        <v>1451</v>
      </c>
      <c r="AT9" s="173">
        <v>1843</v>
      </c>
      <c r="AU9" s="173">
        <v>1270</v>
      </c>
      <c r="AV9" s="173">
        <v>983</v>
      </c>
      <c r="AW9" s="219">
        <f>SUM(AS9:AV9)</f>
        <v>5547</v>
      </c>
      <c r="AX9" s="173">
        <v>1803</v>
      </c>
      <c r="AY9" s="173">
        <v>1595</v>
      </c>
      <c r="AZ9" s="173">
        <v>1436</v>
      </c>
      <c r="BA9" s="173">
        <v>1211</v>
      </c>
      <c r="BB9" s="219">
        <f>SUM(AX9:BA9)</f>
        <v>6045</v>
      </c>
      <c r="BC9" s="173">
        <v>1409</v>
      </c>
      <c r="BD9" s="173">
        <v>1111</v>
      </c>
      <c r="BE9" s="173">
        <v>859</v>
      </c>
      <c r="BF9" s="173">
        <v>791</v>
      </c>
      <c r="BG9" s="219">
        <f>SUM(BC9:BF9)</f>
        <v>4170</v>
      </c>
      <c r="BH9" s="173">
        <v>1264</v>
      </c>
      <c r="BI9" s="173">
        <v>1173</v>
      </c>
      <c r="BJ9" s="173">
        <v>994</v>
      </c>
      <c r="BK9" s="173">
        <v>942</v>
      </c>
      <c r="BL9" s="433">
        <f>SUM(BH9:BK9)</f>
        <v>4373</v>
      </c>
      <c r="BM9" s="173">
        <v>1767</v>
      </c>
      <c r="BN9" s="173">
        <v>1708</v>
      </c>
      <c r="BO9" s="173">
        <v>1537</v>
      </c>
      <c r="BP9" s="173">
        <v>1253</v>
      </c>
      <c r="BQ9" s="433">
        <f>SUM(BM9:BP9)</f>
        <v>6265</v>
      </c>
      <c r="BR9" s="173">
        <v>1924</v>
      </c>
      <c r="BS9" s="173">
        <v>1511</v>
      </c>
      <c r="BT9" s="173">
        <v>1764</v>
      </c>
      <c r="BU9" s="580"/>
      <c r="BV9" s="39"/>
      <c r="BW9" s="16"/>
      <c r="BX9" s="16"/>
      <c r="BY9" s="16"/>
      <c r="BZ9" s="16"/>
      <c r="CA9" s="39"/>
      <c r="CB9" s="16"/>
      <c r="CC9" s="16"/>
      <c r="CD9" s="16"/>
      <c r="CE9" s="16"/>
      <c r="CF9" s="39"/>
      <c r="CI9"/>
      <c r="CJ9"/>
      <c r="CK9"/>
      <c r="CL9"/>
      <c r="CM9"/>
      <c r="CN9"/>
      <c r="CO9"/>
      <c r="CP9"/>
      <c r="CQ9"/>
      <c r="CR9"/>
      <c r="CS9"/>
    </row>
    <row r="10" spans="1:97" hidden="1" outlineLevel="1" x14ac:dyDescent="0.35">
      <c r="A10" s="24"/>
      <c r="B10" s="145" t="s">
        <v>56</v>
      </c>
      <c r="C10" s="24"/>
      <c r="D10" s="24"/>
      <c r="E10" s="24"/>
      <c r="F10" s="24"/>
      <c r="G10" s="24"/>
      <c r="H10" s="24"/>
      <c r="I10" s="39"/>
      <c r="J10" s="153"/>
      <c r="K10" s="153"/>
      <c r="L10" s="153"/>
      <c r="M10" s="153"/>
      <c r="N10" s="40"/>
      <c r="O10" s="153"/>
      <c r="P10" s="153"/>
      <c r="Q10" s="153"/>
      <c r="R10" s="153"/>
      <c r="S10" s="40"/>
      <c r="T10" s="153"/>
      <c r="U10" s="153"/>
      <c r="V10" s="153"/>
      <c r="W10" s="153"/>
      <c r="X10" s="40"/>
      <c r="Y10" s="153"/>
      <c r="Z10" s="153"/>
      <c r="AA10" s="153"/>
      <c r="AB10" s="153"/>
      <c r="AC10" s="40"/>
      <c r="AD10" s="153"/>
      <c r="AE10" s="153"/>
      <c r="AF10" s="153"/>
      <c r="AG10" s="153"/>
      <c r="AH10" s="40"/>
      <c r="AI10" s="153"/>
      <c r="AJ10" s="153"/>
      <c r="AK10" s="153"/>
      <c r="AL10" s="153"/>
      <c r="AM10" s="40"/>
      <c r="AN10" s="153">
        <f>AN9/AI9-1</f>
        <v>-0.12167070217917675</v>
      </c>
      <c r="AO10" s="153">
        <f>AO9/AJ9-1</f>
        <v>-0.10153846153846158</v>
      </c>
      <c r="AP10" s="153">
        <f>AP9/AK9-1</f>
        <v>8.0909090909090819E-2</v>
      </c>
      <c r="AQ10" s="153">
        <f>AQ9/AL9-1</f>
        <v>0.18341121495327095</v>
      </c>
      <c r="AR10" s="40">
        <f>AR9/AM9-1</f>
        <v>-1.2100297047003328E-2</v>
      </c>
      <c r="AS10" s="205">
        <v>0.18</v>
      </c>
      <c r="AT10" s="153">
        <f>AT9/AO9-1</f>
        <v>0.5779109589041096</v>
      </c>
      <c r="AU10" s="153">
        <f t="shared" ref="AU10:BT10" si="0">AU9/AP9-1</f>
        <v>6.8124474348191688E-2</v>
      </c>
      <c r="AV10" s="153">
        <f t="shared" si="0"/>
        <v>-2.9615004935834133E-2</v>
      </c>
      <c r="AW10" s="40">
        <f t="shared" si="0"/>
        <v>0.20595843466725627</v>
      </c>
      <c r="AX10" s="153">
        <f t="shared" si="0"/>
        <v>0.24259131633356312</v>
      </c>
      <c r="AY10" s="153">
        <f t="shared" si="0"/>
        <v>-0.13456321215409661</v>
      </c>
      <c r="AZ10" s="153">
        <f t="shared" si="0"/>
        <v>0.13070866141732274</v>
      </c>
      <c r="BA10" s="153">
        <f t="shared" si="0"/>
        <v>0.23194303153611395</v>
      </c>
      <c r="BB10" s="40">
        <f t="shared" si="0"/>
        <v>8.9778258518117937E-2</v>
      </c>
      <c r="BC10" s="153">
        <f t="shared" si="0"/>
        <v>-0.21852468108707712</v>
      </c>
      <c r="BD10" s="153">
        <f t="shared" si="0"/>
        <v>-0.30344827586206902</v>
      </c>
      <c r="BE10" s="153">
        <f t="shared" si="0"/>
        <v>-0.40181058495821731</v>
      </c>
      <c r="BF10" s="153">
        <f t="shared" si="0"/>
        <v>-0.34682080924855496</v>
      </c>
      <c r="BG10" s="40">
        <f t="shared" si="0"/>
        <v>-0.3101736972704715</v>
      </c>
      <c r="BH10" s="153">
        <f t="shared" si="0"/>
        <v>-0.10290986515259049</v>
      </c>
      <c r="BI10" s="153">
        <f t="shared" si="0"/>
        <v>5.5805580558055734E-2</v>
      </c>
      <c r="BJ10" s="153">
        <f t="shared" si="0"/>
        <v>0.15715948777648436</v>
      </c>
      <c r="BK10" s="153">
        <f t="shared" si="0"/>
        <v>0.19089759797724404</v>
      </c>
      <c r="BL10" s="40">
        <f t="shared" si="0"/>
        <v>4.8681055155875397E-2</v>
      </c>
      <c r="BM10" s="153">
        <f t="shared" si="0"/>
        <v>0.39794303797468356</v>
      </c>
      <c r="BN10" s="153">
        <f t="shared" si="0"/>
        <v>0.45609548167092928</v>
      </c>
      <c r="BO10" s="153">
        <f t="shared" si="0"/>
        <v>0.54627766599597583</v>
      </c>
      <c r="BP10" s="153">
        <f t="shared" si="0"/>
        <v>0.33014861995753719</v>
      </c>
      <c r="BQ10" s="40">
        <f t="shared" si="0"/>
        <v>0.43265492796707061</v>
      </c>
      <c r="BR10" s="153">
        <f t="shared" si="0"/>
        <v>8.8851160158460729E-2</v>
      </c>
      <c r="BS10" s="153">
        <f t="shared" si="0"/>
        <v>-0.11533957845433251</v>
      </c>
      <c r="BT10" s="153">
        <f t="shared" si="0"/>
        <v>0.14769030579050102</v>
      </c>
      <c r="BU10" s="16"/>
      <c r="BV10" s="39"/>
      <c r="BW10" s="16"/>
      <c r="BX10" s="16"/>
      <c r="BY10" s="16"/>
      <c r="BZ10" s="16"/>
      <c r="CA10" s="39"/>
      <c r="CB10" s="16"/>
      <c r="CC10" s="16"/>
      <c r="CD10" s="16"/>
      <c r="CE10" s="16"/>
      <c r="CF10" s="39"/>
      <c r="CI10"/>
      <c r="CJ10"/>
      <c r="CK10"/>
      <c r="CL10"/>
      <c r="CM10"/>
      <c r="CN10"/>
      <c r="CO10"/>
      <c r="CP10"/>
      <c r="CQ10"/>
      <c r="CR10"/>
      <c r="CS10"/>
    </row>
    <row r="11" spans="1:97" hidden="1" outlineLevel="1" x14ac:dyDescent="0.35">
      <c r="A11" s="24"/>
      <c r="B11" s="145" t="s">
        <v>464</v>
      </c>
      <c r="C11" s="24"/>
      <c r="D11" s="24"/>
      <c r="E11" s="160"/>
      <c r="F11" s="160"/>
      <c r="G11" s="160"/>
      <c r="H11" s="160"/>
      <c r="I11" s="289"/>
      <c r="J11" s="160"/>
      <c r="K11" s="160"/>
      <c r="L11" s="160"/>
      <c r="M11" s="160"/>
      <c r="N11" s="289"/>
      <c r="O11" s="160"/>
      <c r="P11" s="160"/>
      <c r="Q11" s="160"/>
      <c r="R11" s="160"/>
      <c r="S11" s="289"/>
      <c r="T11" s="160"/>
      <c r="U11" s="160"/>
      <c r="V11" s="160"/>
      <c r="W11" s="160"/>
      <c r="X11" s="289"/>
      <c r="Y11" s="160"/>
      <c r="Z11" s="160"/>
      <c r="AA11" s="160"/>
      <c r="AB11" s="160"/>
      <c r="AC11" s="289"/>
      <c r="AD11" s="160"/>
      <c r="AE11" s="160"/>
      <c r="AF11" s="160"/>
      <c r="AG11" s="160"/>
      <c r="AH11" s="289"/>
      <c r="AI11" s="160"/>
      <c r="AJ11" s="153">
        <f>AJ9/AI9-1</f>
        <v>-7.1428571428571397E-2</v>
      </c>
      <c r="AK11" s="153">
        <f>AK9/AJ9-1</f>
        <v>-0.15384615384615385</v>
      </c>
      <c r="AL11" s="153">
        <f>AL9/AK9-1</f>
        <v>-0.2218181818181818</v>
      </c>
      <c r="AM11" s="289"/>
      <c r="AN11" s="153">
        <f>AN9/AL9-1</f>
        <v>0.43651987961349592</v>
      </c>
      <c r="AO11" s="153">
        <f>AO9/AN9-1</f>
        <v>-5.0144727773948961E-2</v>
      </c>
      <c r="AP11" s="153">
        <f>AP9/AO9-1</f>
        <v>1.7979452054794454E-2</v>
      </c>
      <c r="AQ11" s="153">
        <f>AQ9/AP9-1</f>
        <v>-0.14802354920100924</v>
      </c>
      <c r="AR11" s="289"/>
      <c r="AS11" s="153">
        <f>AS9/AQ9-1</f>
        <v>0.4323790720631786</v>
      </c>
      <c r="AT11" s="153">
        <f>AT9/AS9-1</f>
        <v>0.27015851137146796</v>
      </c>
      <c r="AU11" s="153">
        <f>AU9/AT9-1</f>
        <v>-0.31090613130765055</v>
      </c>
      <c r="AV11" s="153">
        <f>AV9/AU9-1</f>
        <v>-0.22598425196850391</v>
      </c>
      <c r="AW11" s="289"/>
      <c r="AX11" s="153">
        <f>AX9/AV9-1</f>
        <v>0.8341810783316379</v>
      </c>
      <c r="AY11" s="153">
        <f>AY9/AX9-1</f>
        <v>-0.11536328341652802</v>
      </c>
      <c r="AZ11" s="153">
        <f>AZ9/AY9-1</f>
        <v>-9.9686520376175536E-2</v>
      </c>
      <c r="BA11" s="153">
        <f>BA9/AZ9-1</f>
        <v>-0.15668523676880219</v>
      </c>
      <c r="BB11" s="289"/>
      <c r="BC11" s="153">
        <f>BC9/BA9-1</f>
        <v>0.16350123864574728</v>
      </c>
      <c r="BD11" s="153">
        <f>BD9/BC9-1</f>
        <v>-0.2114975159687722</v>
      </c>
      <c r="BE11" s="153">
        <f>BE9/BD9-1</f>
        <v>-0.22682268226822677</v>
      </c>
      <c r="BF11" s="153">
        <f>BF9/BE9-1</f>
        <v>-7.9161816065192125E-2</v>
      </c>
      <c r="BG11" s="289"/>
      <c r="BH11" s="153">
        <f>BH9/BF9-1</f>
        <v>0.59797724399494312</v>
      </c>
      <c r="BI11" s="153">
        <f>BI9/BH9-1</f>
        <v>-7.1993670886076E-2</v>
      </c>
      <c r="BJ11" s="153">
        <f>BJ9/BI9-1</f>
        <v>-0.1526001705029838</v>
      </c>
      <c r="BK11" s="153">
        <f>BK9/BJ9-1</f>
        <v>-5.2313883299798802E-2</v>
      </c>
      <c r="BL11" s="289"/>
      <c r="BM11" s="153">
        <f>BM9/BK9-1</f>
        <v>0.87579617834394896</v>
      </c>
      <c r="BN11" s="153">
        <f>BN9/BM9-1</f>
        <v>-3.3389926428975647E-2</v>
      </c>
      <c r="BO11" s="153">
        <f>BO9/BN9-1</f>
        <v>-0.10011709601873531</v>
      </c>
      <c r="BP11" s="153">
        <f>BP9/BO9-1</f>
        <v>-0.18477553675992198</v>
      </c>
      <c r="BQ11" s="289"/>
      <c r="BR11" s="153">
        <f>BR9/BP9-1</f>
        <v>0.53551476456504399</v>
      </c>
      <c r="BS11" s="153">
        <f>BS9/BR9-1</f>
        <v>-0.21465696465696471</v>
      </c>
      <c r="BT11" s="153">
        <f>BT9/BS9-1</f>
        <v>0.16743878226340181</v>
      </c>
      <c r="BU11" s="16"/>
      <c r="BV11" s="39"/>
      <c r="BW11" s="16"/>
      <c r="BX11" s="16"/>
      <c r="BY11" s="16"/>
      <c r="BZ11" s="16"/>
      <c r="CA11" s="39"/>
      <c r="CB11" s="16"/>
      <c r="CC11" s="16"/>
      <c r="CD11" s="16"/>
      <c r="CE11" s="16"/>
      <c r="CF11" s="39"/>
      <c r="CI11"/>
      <c r="CJ11"/>
      <c r="CK11"/>
      <c r="CL11"/>
      <c r="CM11"/>
      <c r="CN11"/>
      <c r="CO11"/>
      <c r="CP11"/>
      <c r="CQ11"/>
      <c r="CR11"/>
      <c r="CS11"/>
    </row>
    <row r="12" spans="1:97" hidden="1" outlineLevel="1" x14ac:dyDescent="0.35">
      <c r="A12" s="24"/>
      <c r="B12" s="42" t="s">
        <v>465</v>
      </c>
      <c r="C12" s="24"/>
      <c r="D12" s="24"/>
      <c r="E12" s="24"/>
      <c r="F12" s="24"/>
      <c r="G12" s="24"/>
      <c r="H12" s="24"/>
      <c r="I12" s="39"/>
      <c r="J12" s="153"/>
      <c r="K12" s="153"/>
      <c r="L12" s="153"/>
      <c r="M12" s="153"/>
      <c r="N12" s="40"/>
      <c r="O12" s="153"/>
      <c r="P12" s="153"/>
      <c r="Q12" s="153"/>
      <c r="R12" s="153"/>
      <c r="S12" s="40"/>
      <c r="T12" s="153"/>
      <c r="U12" s="153"/>
      <c r="V12" s="153"/>
      <c r="W12" s="153"/>
      <c r="X12" s="40"/>
      <c r="Y12" s="153"/>
      <c r="Z12" s="153"/>
      <c r="AA12" s="153"/>
      <c r="AB12" s="153"/>
      <c r="AC12" s="40"/>
      <c r="AD12" s="153"/>
      <c r="AE12" s="153"/>
      <c r="AF12" s="153"/>
      <c r="AG12" s="153"/>
      <c r="AH12" s="40"/>
      <c r="AI12" s="574">
        <f t="shared" ref="AI12:BF12" si="1">AI60/AI9*10</f>
        <v>5.3549999999999995</v>
      </c>
      <c r="AJ12" s="574">
        <f t="shared" si="1"/>
        <v>6.0223076923076926</v>
      </c>
      <c r="AK12" s="574">
        <f t="shared" si="1"/>
        <v>6.1490909090909085</v>
      </c>
      <c r="AL12" s="574">
        <f t="shared" si="1"/>
        <v>7.3294392523364484</v>
      </c>
      <c r="AM12" s="575">
        <f t="shared" si="1"/>
        <v>6.0919243986254301</v>
      </c>
      <c r="AN12" s="574">
        <f t="shared" si="1"/>
        <v>5.7121433494141964</v>
      </c>
      <c r="AO12" s="574">
        <f t="shared" si="1"/>
        <v>6.604452054794522</v>
      </c>
      <c r="AP12" s="574">
        <f t="shared" si="1"/>
        <v>6.5677039529015966</v>
      </c>
      <c r="AQ12" s="574">
        <f t="shared" si="1"/>
        <v>7.4531095755182628</v>
      </c>
      <c r="AR12" s="575">
        <f t="shared" si="1"/>
        <v>6.5433082762178501</v>
      </c>
      <c r="AS12" s="574">
        <f t="shared" si="1"/>
        <v>5.7270847691247422</v>
      </c>
      <c r="AT12" s="574">
        <f t="shared" si="1"/>
        <v>5.2794357026587093</v>
      </c>
      <c r="AU12" s="574">
        <f t="shared" si="1"/>
        <v>6.7874015748031491</v>
      </c>
      <c r="AV12" s="574">
        <f t="shared" si="1"/>
        <v>7.8636826042726344</v>
      </c>
      <c r="AW12" s="575">
        <f t="shared" si="1"/>
        <v>6.1997476113214347</v>
      </c>
      <c r="AX12" s="574">
        <f t="shared" si="1"/>
        <v>5.9678313921242374</v>
      </c>
      <c r="AY12" s="574">
        <f t="shared" si="1"/>
        <v>6.407523510971787</v>
      </c>
      <c r="AZ12" s="574">
        <f t="shared" si="1"/>
        <v>6.733983286908078</v>
      </c>
      <c r="BA12" s="574">
        <f t="shared" si="1"/>
        <v>7.5309661436829067</v>
      </c>
      <c r="BB12" s="575">
        <f t="shared" si="1"/>
        <v>6.5789909015715464</v>
      </c>
      <c r="BC12" s="574">
        <f t="shared" si="1"/>
        <v>6.1745919091554295</v>
      </c>
      <c r="BD12" s="574">
        <f t="shared" si="1"/>
        <v>6.7416741674167415</v>
      </c>
      <c r="BE12" s="574">
        <f t="shared" si="1"/>
        <v>7.3690337601862632</v>
      </c>
      <c r="BF12" s="574">
        <f t="shared" si="1"/>
        <v>7.850821744627055</v>
      </c>
      <c r="BG12" s="575">
        <f t="shared" ref="BG12:BL12" si="2">BG60/BG9*10</f>
        <v>6.8896882494004794</v>
      </c>
      <c r="BH12" s="574">
        <f t="shared" si="2"/>
        <v>6.15506329113924</v>
      </c>
      <c r="BI12" s="574">
        <f t="shared" si="2"/>
        <v>6.7604433077578863</v>
      </c>
      <c r="BJ12" s="574">
        <f>BJ60/BJ9*10</f>
        <v>7.4748490945674035</v>
      </c>
      <c r="BK12" s="574">
        <f>BK60/BK9*10</f>
        <v>7.7707006369426761</v>
      </c>
      <c r="BL12" s="575">
        <f t="shared" si="2"/>
        <v>6.9654699291104505</v>
      </c>
      <c r="BM12" s="574">
        <f t="shared" ref="BM12:BR12" si="3">BM60/BM9*10</f>
        <v>5.8517260894170908</v>
      </c>
      <c r="BN12" s="574">
        <f t="shared" si="3"/>
        <v>6.2295081967213122</v>
      </c>
      <c r="BO12" s="574">
        <f t="shared" si="3"/>
        <v>6.7013662979830837</v>
      </c>
      <c r="BP12" s="574">
        <f t="shared" si="3"/>
        <v>6.8475658419792493</v>
      </c>
      <c r="BQ12" s="575">
        <f t="shared" si="3"/>
        <v>6.3623304070231441</v>
      </c>
      <c r="BR12" s="574">
        <f t="shared" si="3"/>
        <v>5.7900207900207903</v>
      </c>
      <c r="BS12" s="574">
        <f>BS60/BS9*10</f>
        <v>7.0152217074784904</v>
      </c>
      <c r="BT12" s="574">
        <f>BT60/BT9*10</f>
        <v>6.4876984126984123</v>
      </c>
      <c r="BU12" s="16"/>
      <c r="BV12" s="39"/>
      <c r="BW12" s="16"/>
      <c r="BX12" s="16"/>
      <c r="BY12" s="16"/>
      <c r="BZ12" s="16"/>
      <c r="CA12" s="39"/>
      <c r="CB12" s="16"/>
      <c r="CC12" s="16"/>
      <c r="CD12" s="16"/>
      <c r="CE12" s="16"/>
      <c r="CF12" s="39"/>
      <c r="CI12"/>
      <c r="CJ12"/>
      <c r="CK12"/>
      <c r="CL12"/>
      <c r="CM12"/>
      <c r="CN12"/>
      <c r="CO12"/>
      <c r="CP12"/>
      <c r="CQ12"/>
      <c r="CR12"/>
      <c r="CS12"/>
    </row>
    <row r="13" spans="1:97" hidden="1" outlineLevel="1" x14ac:dyDescent="0.35">
      <c r="A13" s="24"/>
      <c r="B13" s="145" t="s">
        <v>466</v>
      </c>
      <c r="C13" s="24"/>
      <c r="D13" s="24"/>
      <c r="E13" s="160"/>
      <c r="F13" s="160"/>
      <c r="G13" s="160"/>
      <c r="H13" s="160"/>
      <c r="I13" s="289"/>
      <c r="J13" s="160"/>
      <c r="K13" s="160"/>
      <c r="L13" s="160"/>
      <c r="M13" s="160"/>
      <c r="N13" s="289"/>
      <c r="O13" s="160"/>
      <c r="P13" s="160"/>
      <c r="Q13" s="160"/>
      <c r="R13" s="160"/>
      <c r="S13" s="289"/>
      <c r="T13" s="160"/>
      <c r="U13" s="160"/>
      <c r="V13" s="160"/>
      <c r="W13" s="160"/>
      <c r="X13" s="289"/>
      <c r="Y13" s="160"/>
      <c r="Z13" s="160"/>
      <c r="AA13" s="160"/>
      <c r="AB13" s="160"/>
      <c r="AC13" s="289"/>
      <c r="AD13" s="160"/>
      <c r="AE13" s="160"/>
      <c r="AF13" s="160"/>
      <c r="AG13" s="160"/>
      <c r="AH13" s="289"/>
      <c r="AI13" s="160"/>
      <c r="AJ13" s="576"/>
      <c r="AK13" s="160"/>
      <c r="AL13" s="160"/>
      <c r="AM13" s="289"/>
      <c r="AN13" s="576">
        <f t="shared" ref="AN13:BT13" si="4">AN12/AI12-1</f>
        <v>6.6693435931689526E-2</v>
      </c>
      <c r="AO13" s="576">
        <f t="shared" si="4"/>
        <v>9.6664666142914468E-2</v>
      </c>
      <c r="AP13" s="576">
        <f t="shared" si="4"/>
        <v>6.8077224747450815E-2</v>
      </c>
      <c r="AQ13" s="576">
        <f t="shared" si="4"/>
        <v>1.6873094779029874E-2</v>
      </c>
      <c r="AR13" s="577">
        <f t="shared" si="4"/>
        <v>7.4095449656970347E-2</v>
      </c>
      <c r="AS13" s="576">
        <f t="shared" si="4"/>
        <v>2.6157291224280232E-3</v>
      </c>
      <c r="AT13" s="576">
        <f t="shared" si="4"/>
        <v>-0.20062472119453312</v>
      </c>
      <c r="AU13" s="576">
        <f t="shared" si="4"/>
        <v>3.3451206613003714E-2</v>
      </c>
      <c r="AV13" s="576">
        <f t="shared" si="4"/>
        <v>5.50874805467787E-2</v>
      </c>
      <c r="AW13" s="577">
        <f t="shared" si="4"/>
        <v>-5.2505651635750161E-2</v>
      </c>
      <c r="AX13" s="576">
        <f t="shared" si="4"/>
        <v>4.2036504208455838E-2</v>
      </c>
      <c r="AY13" s="576">
        <f t="shared" si="4"/>
        <v>0.213675830495478</v>
      </c>
      <c r="AZ13" s="576">
        <f t="shared" si="4"/>
        <v>-7.8702117896450874E-3</v>
      </c>
      <c r="BA13" s="576">
        <f t="shared" si="4"/>
        <v>-4.2310514975381963E-2</v>
      </c>
      <c r="BB13" s="577">
        <f t="shared" si="4"/>
        <v>6.117076275130473E-2</v>
      </c>
      <c r="BC13" s="576">
        <f t="shared" si="4"/>
        <v>3.4645837565728588E-2</v>
      </c>
      <c r="BD13" s="576">
        <f t="shared" si="4"/>
        <v>5.2149735521497265E-2</v>
      </c>
      <c r="BE13" s="576">
        <f t="shared" si="4"/>
        <v>9.4305323642965178E-2</v>
      </c>
      <c r="BF13" s="576">
        <f t="shared" si="4"/>
        <v>4.2472054028877659E-2</v>
      </c>
      <c r="BG13" s="577">
        <f t="shared" si="4"/>
        <v>4.7225684375808319E-2</v>
      </c>
      <c r="BH13" s="576">
        <f t="shared" si="4"/>
        <v>-3.1627382511276725E-3</v>
      </c>
      <c r="BI13" s="576">
        <f t="shared" si="4"/>
        <v>2.7840473857159154E-3</v>
      </c>
      <c r="BJ13" s="576">
        <f t="shared" si="4"/>
        <v>1.4359458488688803E-2</v>
      </c>
      <c r="BK13" s="576">
        <f t="shared" si="4"/>
        <v>-1.0205442218734873E-2</v>
      </c>
      <c r="BL13" s="577">
        <f t="shared" si="4"/>
        <v>1.0999290093650416E-2</v>
      </c>
      <c r="BM13" s="576">
        <f t="shared" si="4"/>
        <v>-4.9282547940462273E-2</v>
      </c>
      <c r="BN13" s="576">
        <f t="shared" si="4"/>
        <v>-7.8535546689268765E-2</v>
      </c>
      <c r="BO13" s="576">
        <f t="shared" si="4"/>
        <v>-0.10347804842595076</v>
      </c>
      <c r="BP13" s="576">
        <f t="shared" si="4"/>
        <v>-0.11879685476168689</v>
      </c>
      <c r="BQ13" s="577">
        <f t="shared" si="4"/>
        <v>-8.6589925478916308E-2</v>
      </c>
      <c r="BR13" s="576">
        <f t="shared" si="4"/>
        <v>-1.0544803097994548E-2</v>
      </c>
      <c r="BS13" s="576">
        <f t="shared" si="4"/>
        <v>0.12612769514786271</v>
      </c>
      <c r="BT13" s="576">
        <f t="shared" si="4"/>
        <v>-3.1884227153644695E-2</v>
      </c>
      <c r="BU13" s="16"/>
      <c r="BV13" s="39"/>
      <c r="BW13" s="16"/>
      <c r="BX13" s="16"/>
      <c r="BY13" s="16"/>
      <c r="BZ13" s="16"/>
      <c r="CA13" s="39"/>
      <c r="CB13" s="16"/>
      <c r="CC13" s="16"/>
      <c r="CD13" s="16"/>
      <c r="CE13" s="16"/>
      <c r="CF13" s="39"/>
      <c r="CI13"/>
      <c r="CJ13"/>
      <c r="CK13"/>
      <c r="CL13"/>
      <c r="CM13"/>
      <c r="CN13"/>
      <c r="CO13"/>
      <c r="CP13"/>
      <c r="CQ13"/>
      <c r="CR13"/>
      <c r="CS13"/>
    </row>
    <row r="14" spans="1:97" hidden="1" outlineLevel="1" x14ac:dyDescent="0.35">
      <c r="A14" s="24"/>
      <c r="B14" s="41" t="s">
        <v>467</v>
      </c>
      <c r="C14" s="24"/>
      <c r="D14" s="24"/>
      <c r="E14" s="24"/>
      <c r="F14" s="24"/>
      <c r="G14" s="24"/>
      <c r="H14" s="24"/>
      <c r="I14" s="39"/>
      <c r="J14" s="153"/>
      <c r="K14" s="153"/>
      <c r="L14" s="153"/>
      <c r="M14" s="153"/>
      <c r="N14" s="40"/>
      <c r="O14" s="153"/>
      <c r="P14" s="153"/>
      <c r="Q14" s="153"/>
      <c r="R14" s="153"/>
      <c r="S14" s="40"/>
      <c r="T14" s="153"/>
      <c r="U14" s="153"/>
      <c r="V14" s="153"/>
      <c r="W14" s="153"/>
      <c r="X14" s="40"/>
      <c r="Y14" s="153"/>
      <c r="Z14" s="153"/>
      <c r="AA14" s="153"/>
      <c r="AB14" s="153"/>
      <c r="AC14" s="40"/>
      <c r="AD14" s="153"/>
      <c r="AE14" s="153"/>
      <c r="AF14" s="153"/>
      <c r="AG14" s="153"/>
      <c r="AH14" s="40"/>
      <c r="AI14" s="578"/>
      <c r="AJ14" s="578"/>
      <c r="AK14" s="578"/>
      <c r="AL14" s="578"/>
      <c r="AM14" s="579"/>
      <c r="AN14" s="578">
        <f t="shared" ref="AN14:BF14" si="5">AN28-AN10</f>
        <v>6.9838771251810039E-3</v>
      </c>
      <c r="AO14" s="578">
        <f t="shared" si="5"/>
        <v>6.463586020754819E-2</v>
      </c>
      <c r="AP14" s="578">
        <f t="shared" si="5"/>
        <v>0.14469910371318839</v>
      </c>
      <c r="AQ14" s="578">
        <f t="shared" si="5"/>
        <v>0.13230010075804488</v>
      </c>
      <c r="AR14" s="579">
        <f t="shared" si="5"/>
        <v>8.5049706927793234E-2</v>
      </c>
      <c r="AS14" s="578">
        <f t="shared" si="5"/>
        <v>8.6162478653330099E-2</v>
      </c>
      <c r="AT14" s="578">
        <f t="shared" si="5"/>
        <v>-0.18762620178518175</v>
      </c>
      <c r="AU14" s="578">
        <f t="shared" si="5"/>
        <v>7.6881793934298948E-2</v>
      </c>
      <c r="AV14" s="578">
        <f t="shared" si="5"/>
        <v>4.7673695680755079E-2</v>
      </c>
      <c r="AW14" s="579">
        <f t="shared" si="5"/>
        <v>1.6615767147576399E-4</v>
      </c>
      <c r="AX14" s="578">
        <f t="shared" si="5"/>
        <v>0.19286147750073357</v>
      </c>
      <c r="AY14" s="578">
        <f t="shared" si="5"/>
        <v>0.16769574227457851</v>
      </c>
      <c r="AZ14" s="578">
        <f t="shared" si="5"/>
        <v>2.0751192597275869E-2</v>
      </c>
      <c r="BA14" s="578">
        <f t="shared" si="5"/>
        <v>4.9653420792045599E-2</v>
      </c>
      <c r="BB14" s="579">
        <f t="shared" si="5"/>
        <v>0.12012091655062629</v>
      </c>
      <c r="BC14" s="578">
        <f t="shared" si="5"/>
        <v>-7.140820481896315E-2</v>
      </c>
      <c r="BD14" s="578">
        <f t="shared" si="5"/>
        <v>-0.10034181160148781</v>
      </c>
      <c r="BE14" s="578">
        <f t="shared" si="5"/>
        <v>-0.12909274309249585</v>
      </c>
      <c r="BF14" s="578">
        <f t="shared" si="5"/>
        <v>-0.17394043642618551</v>
      </c>
      <c r="BG14" s="579">
        <f t="shared" ref="BG14:BN14" si="6">BG28-BG10</f>
        <v>-0.11747781788104361</v>
      </c>
      <c r="BH14" s="578">
        <f t="shared" si="6"/>
        <v>-8.2345333335122173E-2</v>
      </c>
      <c r="BI14" s="578">
        <f t="shared" si="6"/>
        <v>2.7324003794022556E-2</v>
      </c>
      <c r="BJ14" s="578">
        <f t="shared" si="6"/>
        <v>0.15365132303432638</v>
      </c>
      <c r="BK14" s="578">
        <f t="shared" si="6"/>
        <v>0.16289301574116744</v>
      </c>
      <c r="BL14" s="579">
        <f t="shared" si="6"/>
        <v>3.4707429291510383E-2</v>
      </c>
      <c r="BM14" s="578">
        <f t="shared" si="6"/>
        <v>0.17282262327821662</v>
      </c>
      <c r="BN14" s="578">
        <f t="shared" si="6"/>
        <v>0.10598126776473671</v>
      </c>
      <c r="BO14" s="578">
        <f t="shared" ref="BO14:BT14" si="7">BO28-BO10</f>
        <v>0.16248522060196224</v>
      </c>
      <c r="BP14" s="578">
        <f t="shared" si="7"/>
        <v>-3.6815286624203969E-2</v>
      </c>
      <c r="BQ14" s="579">
        <f t="shared" si="7"/>
        <v>0.10491379530721168</v>
      </c>
      <c r="BR14" s="578">
        <f t="shared" si="7"/>
        <v>-7.610392063926108E-3</v>
      </c>
      <c r="BS14" s="578">
        <f t="shared" si="7"/>
        <v>7.3432064003465469E-2</v>
      </c>
      <c r="BT14" s="578">
        <f t="shared" si="7"/>
        <v>-1.2690305790501011E-2</v>
      </c>
      <c r="BU14" s="16"/>
      <c r="BV14" s="39"/>
      <c r="BW14" s="16"/>
      <c r="BX14" s="16"/>
      <c r="BY14" s="16"/>
      <c r="BZ14" s="16"/>
      <c r="CA14" s="39"/>
      <c r="CB14" s="16"/>
      <c r="CC14" s="16"/>
      <c r="CD14" s="16"/>
      <c r="CE14" s="16"/>
      <c r="CF14" s="39"/>
      <c r="CI14"/>
      <c r="CJ14"/>
      <c r="CK14"/>
      <c r="CL14"/>
      <c r="CM14"/>
      <c r="CN14"/>
      <c r="CO14"/>
      <c r="CP14"/>
      <c r="CQ14"/>
      <c r="CR14"/>
      <c r="CS14"/>
    </row>
    <row r="15" spans="1:97" hidden="1" outlineLevel="1" x14ac:dyDescent="0.35">
      <c r="A15" s="24"/>
      <c r="B15" s="539"/>
      <c r="C15" s="146"/>
      <c r="D15" s="146"/>
      <c r="E15" s="540"/>
      <c r="F15" s="540"/>
      <c r="G15" s="540"/>
      <c r="H15" s="540"/>
      <c r="I15" s="549"/>
      <c r="J15" s="540"/>
      <c r="K15" s="540"/>
      <c r="L15" s="540"/>
      <c r="M15" s="540"/>
      <c r="N15" s="549"/>
      <c r="O15" s="540"/>
      <c r="P15" s="540"/>
      <c r="Q15" s="540"/>
      <c r="R15" s="540"/>
      <c r="S15" s="549"/>
      <c r="T15" s="540"/>
      <c r="U15" s="540"/>
      <c r="V15" s="540"/>
      <c r="W15" s="540"/>
      <c r="X15" s="549"/>
      <c r="Y15" s="540"/>
      <c r="Z15" s="540"/>
      <c r="AA15" s="540"/>
      <c r="AB15" s="540"/>
      <c r="AC15" s="549"/>
      <c r="AD15" s="540"/>
      <c r="AE15" s="540"/>
      <c r="AF15" s="540"/>
      <c r="AG15" s="540"/>
      <c r="AH15" s="549"/>
      <c r="AI15" s="540"/>
      <c r="AJ15" s="540"/>
      <c r="AK15" s="540"/>
      <c r="AL15" s="540"/>
      <c r="AM15" s="541"/>
      <c r="AN15" s="540"/>
      <c r="AO15" s="540"/>
      <c r="AP15" s="540"/>
      <c r="AQ15" s="540"/>
      <c r="AR15" s="541"/>
      <c r="AS15" s="540"/>
      <c r="AT15" s="540"/>
      <c r="AU15" s="540"/>
      <c r="AV15" s="540"/>
      <c r="AW15" s="541"/>
      <c r="AX15" s="540"/>
      <c r="AY15" s="540"/>
      <c r="AZ15" s="540"/>
      <c r="BA15" s="540"/>
      <c r="BB15" s="541"/>
      <c r="BC15" s="540"/>
      <c r="BD15" s="540"/>
      <c r="BE15" s="560"/>
      <c r="BF15" s="542"/>
      <c r="BG15" s="543"/>
      <c r="BH15" s="542"/>
      <c r="BI15" s="542"/>
      <c r="BJ15" s="542"/>
      <c r="BK15" s="542"/>
      <c r="BL15" s="543"/>
      <c r="BM15" s="542"/>
      <c r="BN15" s="542"/>
      <c r="BO15" s="542"/>
      <c r="BP15" s="542"/>
      <c r="BQ15" s="543"/>
      <c r="BR15" s="542"/>
      <c r="BS15" s="542"/>
      <c r="BT15" s="542"/>
      <c r="BU15" s="542"/>
      <c r="BV15" s="543"/>
      <c r="BW15" s="542"/>
      <c r="BX15" s="542"/>
      <c r="BY15" s="542"/>
      <c r="BZ15" s="542"/>
      <c r="CA15" s="543"/>
      <c r="CB15" s="542"/>
      <c r="CC15" s="542"/>
      <c r="CD15" s="542"/>
      <c r="CE15" s="542"/>
      <c r="CF15" s="543"/>
      <c r="CI15"/>
      <c r="CJ15"/>
      <c r="CK15"/>
      <c r="CL15"/>
      <c r="CM15"/>
      <c r="CN15"/>
      <c r="CO15"/>
      <c r="CP15"/>
      <c r="CQ15"/>
      <c r="CR15"/>
      <c r="CS15"/>
    </row>
    <row r="16" spans="1:97" hidden="1" outlineLevel="1" x14ac:dyDescent="0.35">
      <c r="A16" s="24"/>
      <c r="B16" s="35" t="s">
        <v>522</v>
      </c>
      <c r="C16" s="658">
        <f>BQ16/BQ$31</f>
        <v>0.51410493013445824</v>
      </c>
      <c r="D16" s="24"/>
      <c r="E16" s="173">
        <v>200.5</v>
      </c>
      <c r="F16" s="173">
        <v>191.5</v>
      </c>
      <c r="G16" s="173">
        <v>220.7</v>
      </c>
      <c r="H16" s="173">
        <v>244.9</v>
      </c>
      <c r="I16" s="219">
        <f>SUM(E16:H16)</f>
        <v>857.6</v>
      </c>
      <c r="J16" s="173">
        <v>258.3</v>
      </c>
      <c r="K16" s="173">
        <v>262.89999999999998</v>
      </c>
      <c r="L16" s="173">
        <v>232.89999999999998</v>
      </c>
      <c r="M16" s="173">
        <v>242.6</v>
      </c>
      <c r="N16" s="219">
        <f>SUM(J16:M16)</f>
        <v>996.7</v>
      </c>
      <c r="O16" s="173">
        <v>264.39999999999998</v>
      </c>
      <c r="P16" s="173">
        <v>320.89999999999998</v>
      </c>
      <c r="Q16" s="173">
        <v>260.7</v>
      </c>
      <c r="R16" s="173">
        <v>263.29999999999995</v>
      </c>
      <c r="S16" s="219">
        <f>SUM(O16:R16)</f>
        <v>1109.3</v>
      </c>
      <c r="T16" s="173">
        <v>298.7</v>
      </c>
      <c r="U16" s="173">
        <v>319.60000000000002</v>
      </c>
      <c r="V16" s="173">
        <v>248.3</v>
      </c>
      <c r="W16" s="173">
        <v>246.1</v>
      </c>
      <c r="X16" s="219">
        <f>SUM(T16:W16)</f>
        <v>1112.6999999999998</v>
      </c>
      <c r="Y16" s="173">
        <v>240.3</v>
      </c>
      <c r="Z16" s="173">
        <v>304.8</v>
      </c>
      <c r="AA16" s="173">
        <v>299.60000000000002</v>
      </c>
      <c r="AB16" s="173">
        <v>277.60000000000002</v>
      </c>
      <c r="AC16" s="219">
        <f>SUM(Y16:AB16)</f>
        <v>1122.3000000000002</v>
      </c>
      <c r="AD16" s="173">
        <v>352.8</v>
      </c>
      <c r="AE16" s="173">
        <v>355.80000000000007</v>
      </c>
      <c r="AF16" s="173">
        <v>350.20000000000005</v>
      </c>
      <c r="AG16" s="173">
        <v>333.9</v>
      </c>
      <c r="AH16" s="219">
        <f>SUM(AD16:AG16)</f>
        <v>1392.7000000000003</v>
      </c>
      <c r="AI16" s="173">
        <v>389.6</v>
      </c>
      <c r="AJ16" s="173">
        <v>391</v>
      </c>
      <c r="AK16" s="173">
        <f>78+39+55+135</f>
        <v>307</v>
      </c>
      <c r="AL16" s="173">
        <f>145+57+19+70</f>
        <v>291</v>
      </c>
      <c r="AM16" s="219">
        <f>SUM(AI16:AL16)</f>
        <v>1378.6</v>
      </c>
      <c r="AN16" s="173">
        <v>355.4</v>
      </c>
      <c r="AO16" s="173">
        <v>387.4</v>
      </c>
      <c r="AP16" s="173">
        <v>392</v>
      </c>
      <c r="AQ16" s="173">
        <v>362</v>
      </c>
      <c r="AR16" s="219">
        <f>SUM(AN16:AQ16)</f>
        <v>1496.8</v>
      </c>
      <c r="AS16" s="173">
        <v>453</v>
      </c>
      <c r="AT16" s="173">
        <v>572</v>
      </c>
      <c r="AU16" s="173">
        <v>461</v>
      </c>
      <c r="AV16" s="173">
        <v>371</v>
      </c>
      <c r="AW16" s="219">
        <f>SUM(AS16:AV16)</f>
        <v>1857</v>
      </c>
      <c r="AX16" s="173">
        <v>605</v>
      </c>
      <c r="AY16" s="173">
        <v>550</v>
      </c>
      <c r="AZ16" s="173">
        <v>488</v>
      </c>
      <c r="BA16" s="173">
        <v>444</v>
      </c>
      <c r="BB16" s="219">
        <f>SUM(AX16:BA16)</f>
        <v>2087</v>
      </c>
      <c r="BC16" s="173">
        <v>417</v>
      </c>
      <c r="BD16" s="173">
        <v>322</v>
      </c>
      <c r="BE16" s="173">
        <v>277</v>
      </c>
      <c r="BF16" s="173">
        <v>253</v>
      </c>
      <c r="BG16" s="219">
        <f>SUM(BC16:BF16)</f>
        <v>1269</v>
      </c>
      <c r="BH16" s="173">
        <v>356</v>
      </c>
      <c r="BI16" s="173">
        <v>365</v>
      </c>
      <c r="BJ16" s="173">
        <v>346</v>
      </c>
      <c r="BK16" s="173">
        <v>337</v>
      </c>
      <c r="BL16" s="219">
        <f>SUM(BH16:BK16)</f>
        <v>1404</v>
      </c>
      <c r="BM16" s="173">
        <v>529</v>
      </c>
      <c r="BN16" s="173">
        <v>525</v>
      </c>
      <c r="BO16" s="173">
        <v>515</v>
      </c>
      <c r="BP16" s="173">
        <v>381</v>
      </c>
      <c r="BQ16" s="219">
        <f>SUM(BM16:BP16)</f>
        <v>1950</v>
      </c>
      <c r="BR16" s="173">
        <v>564</v>
      </c>
      <c r="BS16" s="173">
        <v>512</v>
      </c>
      <c r="BT16" s="173">
        <v>576</v>
      </c>
      <c r="BU16" s="16"/>
      <c r="BV16" s="39"/>
      <c r="BW16" s="16"/>
      <c r="BX16" s="16"/>
      <c r="BY16" s="16"/>
      <c r="BZ16" s="16"/>
      <c r="CA16" s="39"/>
      <c r="CB16" s="16"/>
      <c r="CC16" s="16"/>
      <c r="CD16" s="16"/>
      <c r="CE16" s="16"/>
      <c r="CF16" s="39"/>
      <c r="CI16"/>
      <c r="CJ16"/>
      <c r="CK16"/>
      <c r="CL16"/>
      <c r="CM16"/>
      <c r="CN16"/>
      <c r="CO16"/>
      <c r="CP16"/>
      <c r="CQ16"/>
      <c r="CR16"/>
      <c r="CS16"/>
    </row>
    <row r="17" spans="1:97" hidden="1" outlineLevel="1" x14ac:dyDescent="0.35">
      <c r="A17" s="24"/>
      <c r="B17" s="145" t="s">
        <v>56</v>
      </c>
      <c r="C17" s="24"/>
      <c r="D17" s="24"/>
      <c r="E17" s="24"/>
      <c r="F17" s="24"/>
      <c r="G17" s="24"/>
      <c r="H17" s="24"/>
      <c r="I17" s="39"/>
      <c r="J17" s="153">
        <f t="shared" ref="J17:AC17" si="8">J16/E16-1</f>
        <v>0.28827930174563599</v>
      </c>
      <c r="K17" s="153">
        <f t="shared" si="8"/>
        <v>0.37284595300261092</v>
      </c>
      <c r="L17" s="153">
        <f t="shared" si="8"/>
        <v>5.5278658812868198E-2</v>
      </c>
      <c r="M17" s="153">
        <f t="shared" si="8"/>
        <v>-9.3915884034300179E-3</v>
      </c>
      <c r="N17" s="40">
        <f t="shared" si="8"/>
        <v>0.16219682835820892</v>
      </c>
      <c r="O17" s="153">
        <f t="shared" si="8"/>
        <v>2.3615950445218692E-2</v>
      </c>
      <c r="P17" s="153">
        <f t="shared" si="8"/>
        <v>0.2206162038798023</v>
      </c>
      <c r="Q17" s="153">
        <f t="shared" si="8"/>
        <v>0.11936453413482195</v>
      </c>
      <c r="R17" s="153">
        <f t="shared" si="8"/>
        <v>8.5325638911788682E-2</v>
      </c>
      <c r="S17" s="40">
        <f t="shared" si="8"/>
        <v>0.11297281027390382</v>
      </c>
      <c r="T17" s="153">
        <f t="shared" si="8"/>
        <v>0.12972768532526491</v>
      </c>
      <c r="U17" s="153">
        <f t="shared" si="8"/>
        <v>-4.0511062636333639E-3</v>
      </c>
      <c r="V17" s="153">
        <f t="shared" si="8"/>
        <v>-4.7564250095895599E-2</v>
      </c>
      <c r="W17" s="153">
        <f t="shared" si="8"/>
        <v>-6.5324724648689547E-2</v>
      </c>
      <c r="X17" s="40">
        <f t="shared" si="8"/>
        <v>3.064995943387494E-3</v>
      </c>
      <c r="Y17" s="153">
        <f t="shared" si="8"/>
        <v>-0.19551389353866744</v>
      </c>
      <c r="Z17" s="153">
        <f t="shared" si="8"/>
        <v>-4.630788485607007E-2</v>
      </c>
      <c r="AA17" s="153">
        <f t="shared" si="8"/>
        <v>0.20660491341119624</v>
      </c>
      <c r="AB17" s="153">
        <f t="shared" si="8"/>
        <v>0.12799674928890714</v>
      </c>
      <c r="AC17" s="40">
        <f t="shared" si="8"/>
        <v>8.6276624427072957E-3</v>
      </c>
      <c r="AD17" s="153">
        <f>IFERROR( AD16/Y16-1, "NA")</f>
        <v>0.46816479400749067</v>
      </c>
      <c r="AE17" s="153">
        <f>IFERROR( AE16/Z16-1, "NA")</f>
        <v>0.16732283464566944</v>
      </c>
      <c r="AF17" s="153">
        <f>IFERROR( AF16/AA16-1, "NA")</f>
        <v>0.16889185580774368</v>
      </c>
      <c r="AG17" s="153">
        <f>IFERROR( AG16/AB16-1, "NA")</f>
        <v>0.20280979827089318</v>
      </c>
      <c r="AH17" s="40">
        <f>AH16/AC16-1</f>
        <v>0.24093379666755776</v>
      </c>
      <c r="AI17" s="153">
        <f>IFERROR( AI16/AD16-1, "NA")</f>
        <v>0.10430839002267578</v>
      </c>
      <c r="AJ17" s="153">
        <f>IFERROR( AJ16/AE16-1, "NA")</f>
        <v>9.8931984260820505E-2</v>
      </c>
      <c r="AK17" s="153">
        <f>IFERROR( AK16/AF16-1, "NA")</f>
        <v>-0.12335808109651636</v>
      </c>
      <c r="AL17" s="153">
        <f>IFERROR( AL16/AG16-1, "NA")</f>
        <v>-0.1284815813117699</v>
      </c>
      <c r="AM17" s="40">
        <f>AM16/AH16-1</f>
        <v>-1.0124219142672808E-2</v>
      </c>
      <c r="AN17" s="153">
        <f>IFERROR( AN16/AI16-1, "NA")</f>
        <v>-8.7782340862423092E-2</v>
      </c>
      <c r="AO17" s="153">
        <f>IFERROR( AO16/AJ16-1, "NA")</f>
        <v>-9.2071611253197183E-3</v>
      </c>
      <c r="AP17" s="153">
        <f>IFERROR( AP16/AK16-1, "NA")</f>
        <v>0.27687296416938101</v>
      </c>
      <c r="AQ17" s="153">
        <f>IFERROR( AQ16/AL16-1, "NA")</f>
        <v>0.24398625429553267</v>
      </c>
      <c r="AR17" s="40">
        <f>AR16/AM16-1</f>
        <v>8.5739155665167655E-2</v>
      </c>
      <c r="AS17" s="153">
        <f>IFERROR( AS16/AN16-1, "NA")</f>
        <v>0.27462014631401255</v>
      </c>
      <c r="AT17" s="153">
        <f>IFERROR( AT16/AO16-1, "NA")</f>
        <v>0.47651006711409405</v>
      </c>
      <c r="AU17" s="153">
        <f>IFERROR( AU16/AP16-1, "NA")</f>
        <v>0.17602040816326525</v>
      </c>
      <c r="AV17" s="153">
        <f>IFERROR( AV16/AQ16-1, "NA")</f>
        <v>2.4861878453038777E-2</v>
      </c>
      <c r="AW17" s="40">
        <f>AW16/AR16-1</f>
        <v>0.24064671298770723</v>
      </c>
      <c r="AX17" s="153">
        <f>IFERROR( AX16/AS16-1, "NA")</f>
        <v>0.33554083885209707</v>
      </c>
      <c r="AY17" s="153">
        <f>IFERROR( AY16/AT16-1, "NA")</f>
        <v>-3.8461538461538436E-2</v>
      </c>
      <c r="AZ17" s="153">
        <f>IFERROR( AZ16/AU16-1, "NA")</f>
        <v>5.8568329718004408E-2</v>
      </c>
      <c r="BA17" s="153">
        <f>IFERROR( BA16/AV16-1, "NA")</f>
        <v>0.19676549865229109</v>
      </c>
      <c r="BB17" s="40">
        <f>BB16/AW16-1</f>
        <v>0.12385568120624657</v>
      </c>
      <c r="BC17" s="153">
        <f>IFERROR( BC16/AX16-1, "NA")</f>
        <v>-0.31074380165289262</v>
      </c>
      <c r="BD17" s="153">
        <f>IFERROR( BD16/AY16-1, "NA")</f>
        <v>-0.41454545454545455</v>
      </c>
      <c r="BE17" s="153">
        <f>IFERROR( BE16/AZ16-1, "NA")</f>
        <v>-0.43237704918032782</v>
      </c>
      <c r="BF17" s="153">
        <f>IFERROR( BF16/BA16-1, "NA")</f>
        <v>-0.43018018018018023</v>
      </c>
      <c r="BG17" s="40">
        <f>BG16/BB16-1</f>
        <v>-0.39195016770483948</v>
      </c>
      <c r="BH17" s="153">
        <f>IFERROR( BH16/BC16-1, "NA")</f>
        <v>-0.1462829736211031</v>
      </c>
      <c r="BI17" s="153">
        <f>IFERROR( BI16/BD16-1, "NA")</f>
        <v>0.13354037267080754</v>
      </c>
      <c r="BJ17" s="153">
        <f>IFERROR( BJ16/BE16-1, "NA")</f>
        <v>0.24909747292418771</v>
      </c>
      <c r="BK17" s="153">
        <f>IFERROR( BK16/BF16-1, "NA")</f>
        <v>0.33201581027667992</v>
      </c>
      <c r="BL17" s="40">
        <f>BL16/BG16-1</f>
        <v>0.1063829787234043</v>
      </c>
      <c r="BM17" s="153">
        <f>IFERROR( BM16/BH16-1, "NA")</f>
        <v>0.48595505617977519</v>
      </c>
      <c r="BN17" s="153">
        <f>IFERROR( BN16/BI16-1, "NA")</f>
        <v>0.43835616438356162</v>
      </c>
      <c r="BO17" s="153">
        <f>IFERROR( BO16/BJ16-1, "NA")</f>
        <v>0.4884393063583814</v>
      </c>
      <c r="BP17" s="153">
        <f>IFERROR( BP16/BK16-1, "NA")</f>
        <v>0.13056379821958464</v>
      </c>
      <c r="BQ17" s="40">
        <f>BQ16/BL16-1</f>
        <v>0.38888888888888884</v>
      </c>
      <c r="BR17" s="153">
        <f>IFERROR( BR16/BM16-1, "NA")</f>
        <v>6.6162570888468775E-2</v>
      </c>
      <c r="BS17" s="153">
        <f>IFERROR( BS16/BN16-1, "NA")</f>
        <v>-2.4761904761904763E-2</v>
      </c>
      <c r="BT17" s="153">
        <f>IFERROR( BT16/BO16-1, "NA")</f>
        <v>0.11844660194174761</v>
      </c>
      <c r="BU17" s="16"/>
      <c r="BV17" s="39"/>
      <c r="BW17" s="16"/>
      <c r="BX17" s="16"/>
      <c r="BY17" s="16"/>
      <c r="BZ17" s="16"/>
      <c r="CA17" s="39"/>
      <c r="CB17" s="16"/>
      <c r="CC17" s="16"/>
      <c r="CD17" s="16"/>
      <c r="CE17" s="16"/>
      <c r="CF17" s="39"/>
      <c r="CI17"/>
      <c r="CJ17"/>
      <c r="CK17"/>
      <c r="CL17"/>
      <c r="CM17"/>
      <c r="CN17"/>
      <c r="CO17"/>
      <c r="CP17"/>
      <c r="CQ17"/>
      <c r="CR17"/>
      <c r="CS17"/>
    </row>
    <row r="18" spans="1:97" hidden="1" outlineLevel="1" x14ac:dyDescent="0.35">
      <c r="A18" s="24"/>
      <c r="B18" s="35" t="s">
        <v>523</v>
      </c>
      <c r="C18" s="658">
        <f>BQ18/BQ$31</f>
        <v>0.19166886369628264</v>
      </c>
      <c r="D18" s="24"/>
      <c r="E18" s="160">
        <v>78.7</v>
      </c>
      <c r="F18" s="160">
        <v>77.900000000000006</v>
      </c>
      <c r="G18" s="160">
        <v>82.6</v>
      </c>
      <c r="H18" s="160">
        <v>86.2</v>
      </c>
      <c r="I18" s="289">
        <f>SUM(E18:H18)</f>
        <v>325.40000000000003</v>
      </c>
      <c r="J18" s="160">
        <v>86.5</v>
      </c>
      <c r="K18" s="160">
        <v>84.5</v>
      </c>
      <c r="L18" s="160">
        <v>78.899999999999991</v>
      </c>
      <c r="M18" s="160">
        <v>88.899999999999991</v>
      </c>
      <c r="N18" s="289">
        <f>SUM(J18:M18)</f>
        <v>338.79999999999995</v>
      </c>
      <c r="O18" s="160">
        <v>85.399999999999991</v>
      </c>
      <c r="P18" s="160">
        <v>92.2</v>
      </c>
      <c r="Q18" s="160">
        <v>91.800000000000011</v>
      </c>
      <c r="R18" s="160">
        <v>85.3</v>
      </c>
      <c r="S18" s="289">
        <f>SUM(O18:R18)</f>
        <v>354.7</v>
      </c>
      <c r="T18" s="160">
        <v>93.8</v>
      </c>
      <c r="U18" s="160">
        <v>90.4</v>
      </c>
      <c r="V18" s="160">
        <v>89.5</v>
      </c>
      <c r="W18" s="160">
        <v>91.9</v>
      </c>
      <c r="X18" s="289">
        <f>SUM(T18:W18)</f>
        <v>365.6</v>
      </c>
      <c r="Y18" s="160">
        <v>94.9</v>
      </c>
      <c r="Z18" s="160">
        <v>89.699999999999989</v>
      </c>
      <c r="AA18" s="160">
        <v>95.8</v>
      </c>
      <c r="AB18" s="160">
        <v>88.499999999999986</v>
      </c>
      <c r="AC18" s="289">
        <f>SUM(Y18:AB18)</f>
        <v>368.9</v>
      </c>
      <c r="AD18" s="160">
        <v>112.29999999999998</v>
      </c>
      <c r="AE18" s="160">
        <v>102.40000000000002</v>
      </c>
      <c r="AF18" s="160">
        <v>102.1</v>
      </c>
      <c r="AG18" s="160">
        <v>119.00000000000001</v>
      </c>
      <c r="AH18" s="289">
        <f>SUM(AD18:AG18)</f>
        <v>435.79999999999995</v>
      </c>
      <c r="AI18" s="160">
        <v>114.3</v>
      </c>
      <c r="AJ18" s="160">
        <v>120.6</v>
      </c>
      <c r="AK18" s="160">
        <f>73+38+6+3</f>
        <v>120</v>
      </c>
      <c r="AL18" s="160">
        <f>63+15+6+3</f>
        <v>87</v>
      </c>
      <c r="AM18" s="289">
        <f>SUM(AI18:AL18)</f>
        <v>441.9</v>
      </c>
      <c r="AN18" s="160">
        <v>115.8</v>
      </c>
      <c r="AO18" s="160">
        <v>125.2</v>
      </c>
      <c r="AP18" s="160">
        <v>120.5</v>
      </c>
      <c r="AQ18" s="160">
        <v>115</v>
      </c>
      <c r="AR18" s="289">
        <f>SUM(AN18:AQ18)</f>
        <v>476.5</v>
      </c>
      <c r="AS18" s="160">
        <v>125</v>
      </c>
      <c r="AT18" s="160">
        <v>142</v>
      </c>
      <c r="AU18" s="160">
        <v>134</v>
      </c>
      <c r="AV18" s="160">
        <v>129</v>
      </c>
      <c r="AW18" s="289">
        <f>SUM(AS18:AV18)</f>
        <v>530</v>
      </c>
      <c r="AX18" s="160">
        <v>162</v>
      </c>
      <c r="AY18" s="160">
        <v>150</v>
      </c>
      <c r="AZ18" s="160">
        <v>153</v>
      </c>
      <c r="BA18" s="160">
        <v>137</v>
      </c>
      <c r="BB18" s="289">
        <f>SUM(AX18:BA18)</f>
        <v>602</v>
      </c>
      <c r="BC18" s="160">
        <v>131</v>
      </c>
      <c r="BD18" s="160">
        <v>128</v>
      </c>
      <c r="BE18" s="160">
        <v>109</v>
      </c>
      <c r="BF18" s="160">
        <v>123</v>
      </c>
      <c r="BG18" s="289">
        <f>SUM(BC18:BF18)</f>
        <v>491</v>
      </c>
      <c r="BH18" s="160">
        <v>142</v>
      </c>
      <c r="BI18" s="160">
        <v>145</v>
      </c>
      <c r="BJ18" s="160">
        <v>126</v>
      </c>
      <c r="BK18" s="160">
        <v>132</v>
      </c>
      <c r="BL18" s="289">
        <f>SUM(BH18:BK18)</f>
        <v>545</v>
      </c>
      <c r="BM18" s="160">
        <v>195</v>
      </c>
      <c r="BN18" s="160">
        <v>195</v>
      </c>
      <c r="BO18" s="160">
        <v>170</v>
      </c>
      <c r="BP18" s="160">
        <v>167</v>
      </c>
      <c r="BQ18" s="289">
        <f>SUM(BM18:BP18)</f>
        <v>727</v>
      </c>
      <c r="BR18" s="160">
        <v>191</v>
      </c>
      <c r="BS18" s="160">
        <v>191</v>
      </c>
      <c r="BT18" s="160">
        <v>208</v>
      </c>
      <c r="BU18" s="16"/>
      <c r="BV18" s="39"/>
      <c r="BW18" s="16"/>
      <c r="BX18" s="16"/>
      <c r="BY18" s="16"/>
      <c r="BZ18" s="16"/>
      <c r="CA18" s="39"/>
      <c r="CB18" s="16"/>
      <c r="CC18" s="16"/>
      <c r="CD18" s="16"/>
      <c r="CE18" s="16"/>
      <c r="CF18" s="39"/>
      <c r="CI18"/>
      <c r="CJ18"/>
      <c r="CK18"/>
      <c r="CL18"/>
      <c r="CM18"/>
      <c r="CN18"/>
      <c r="CO18"/>
      <c r="CP18"/>
      <c r="CQ18"/>
      <c r="CR18"/>
      <c r="CS18"/>
    </row>
    <row r="19" spans="1:97" hidden="1" outlineLevel="1" x14ac:dyDescent="0.35">
      <c r="A19" s="24"/>
      <c r="B19" s="145" t="s">
        <v>56</v>
      </c>
      <c r="C19" s="24"/>
      <c r="D19" s="24"/>
      <c r="E19" s="24"/>
      <c r="F19" s="24"/>
      <c r="G19" s="24"/>
      <c r="H19" s="24"/>
      <c r="I19" s="39"/>
      <c r="J19" s="153">
        <f t="shared" ref="J19:AC19" si="9">J18/E18-1</f>
        <v>9.9110546378653019E-2</v>
      </c>
      <c r="K19" s="153">
        <f t="shared" si="9"/>
        <v>8.4724005134788172E-2</v>
      </c>
      <c r="L19" s="153">
        <f t="shared" si="9"/>
        <v>-4.4794188861985496E-2</v>
      </c>
      <c r="M19" s="153">
        <f t="shared" si="9"/>
        <v>3.1322505800463807E-2</v>
      </c>
      <c r="N19" s="40">
        <f t="shared" si="9"/>
        <v>4.1180086047940767E-2</v>
      </c>
      <c r="O19" s="153">
        <f t="shared" si="9"/>
        <v>-1.2716763005780396E-2</v>
      </c>
      <c r="P19" s="153">
        <f t="shared" si="9"/>
        <v>9.1124260355029518E-2</v>
      </c>
      <c r="Q19" s="153">
        <f t="shared" si="9"/>
        <v>0.16349809885931577</v>
      </c>
      <c r="R19" s="153">
        <f t="shared" si="9"/>
        <v>-4.0494938132733305E-2</v>
      </c>
      <c r="S19" s="40">
        <f t="shared" si="9"/>
        <v>4.6930342384887913E-2</v>
      </c>
      <c r="T19" s="153">
        <f t="shared" si="9"/>
        <v>9.8360655737705027E-2</v>
      </c>
      <c r="U19" s="153">
        <f t="shared" si="9"/>
        <v>-1.9522776572668099E-2</v>
      </c>
      <c r="V19" s="153">
        <f t="shared" si="9"/>
        <v>-2.5054466230936989E-2</v>
      </c>
      <c r="W19" s="153">
        <f t="shared" si="9"/>
        <v>7.7373974208675422E-2</v>
      </c>
      <c r="X19" s="40">
        <f t="shared" si="9"/>
        <v>3.0730194530589339E-2</v>
      </c>
      <c r="Y19" s="153">
        <f t="shared" si="9"/>
        <v>1.1727078891258014E-2</v>
      </c>
      <c r="Z19" s="153">
        <f t="shared" si="9"/>
        <v>-7.7433628318586134E-3</v>
      </c>
      <c r="AA19" s="153">
        <f t="shared" si="9"/>
        <v>7.0391061452513837E-2</v>
      </c>
      <c r="AB19" s="153">
        <f t="shared" si="9"/>
        <v>-3.6996735582154772E-2</v>
      </c>
      <c r="AC19" s="40">
        <f t="shared" si="9"/>
        <v>9.0262582056892526E-3</v>
      </c>
      <c r="AD19" s="153">
        <f>IFERROR( AD18/Y18-1, "NA")</f>
        <v>0.18335089567966256</v>
      </c>
      <c r="AE19" s="153">
        <f>IFERROR( AE18/Z18-1, "NA")</f>
        <v>0.14158305462653331</v>
      </c>
      <c r="AF19" s="153">
        <f>IFERROR( AF18/AA18-1, "NA")</f>
        <v>6.5762004175365263E-2</v>
      </c>
      <c r="AG19" s="153">
        <f>IFERROR( AG18/AB18-1, "NA")</f>
        <v>0.34463276836158219</v>
      </c>
      <c r="AH19" s="40">
        <f>AH18/AC18-1</f>
        <v>0.18134995933857412</v>
      </c>
      <c r="AI19" s="153">
        <f>IFERROR( AI18/AD18-1, "NA")</f>
        <v>1.7809439002671512E-2</v>
      </c>
      <c r="AJ19" s="153">
        <f>IFERROR( AJ18/AE18-1, "NA")</f>
        <v>0.17773437499999978</v>
      </c>
      <c r="AK19" s="153">
        <f>IFERROR( AK18/AF18-1, "NA")</f>
        <v>0.17531831537708142</v>
      </c>
      <c r="AL19" s="153">
        <f>IFERROR( AL18/AG18-1, "NA")</f>
        <v>-0.26890756302521013</v>
      </c>
      <c r="AM19" s="40">
        <f>AM18/AH18-1</f>
        <v>1.3997246443322675E-2</v>
      </c>
      <c r="AN19" s="153">
        <f>IFERROR( AN18/AI18-1, "NA")</f>
        <v>1.3123359580052396E-2</v>
      </c>
      <c r="AO19" s="153">
        <f>IFERROR( AO18/AJ18-1, "NA")</f>
        <v>3.814262023217263E-2</v>
      </c>
      <c r="AP19" s="153">
        <f>IFERROR( AP18/AK18-1, "NA")</f>
        <v>4.1666666666666519E-3</v>
      </c>
      <c r="AQ19" s="153">
        <f>IFERROR( AQ18/AL18-1, "NA")</f>
        <v>0.32183908045977017</v>
      </c>
      <c r="AR19" s="40">
        <f>AR18/AM18-1</f>
        <v>7.8298257524326731E-2</v>
      </c>
      <c r="AS19" s="153">
        <f>IFERROR( AS18/AN18-1, "NA")</f>
        <v>7.9447322970639167E-2</v>
      </c>
      <c r="AT19" s="153">
        <f>IFERROR( AT18/AO18-1, "NA")</f>
        <v>0.13418530351437696</v>
      </c>
      <c r="AU19" s="153">
        <f>IFERROR( AU18/AP18-1, "NA")</f>
        <v>0.11203319502074693</v>
      </c>
      <c r="AV19" s="153">
        <f>IFERROR( AV18/AQ18-1, "NA")</f>
        <v>0.12173913043478257</v>
      </c>
      <c r="AW19" s="40">
        <f>AW18/AR18-1</f>
        <v>0.11227701993704087</v>
      </c>
      <c r="AX19" s="153">
        <f>IFERROR( AX18/AS18-1, "NA")</f>
        <v>0.29600000000000004</v>
      </c>
      <c r="AY19" s="153">
        <f>IFERROR( AY18/AT18-1, "NA")</f>
        <v>5.6338028169014009E-2</v>
      </c>
      <c r="AZ19" s="153">
        <f>IFERROR( AZ18/AU18-1, "NA")</f>
        <v>0.14179104477611948</v>
      </c>
      <c r="BA19" s="153">
        <f>IFERROR( BA18/AV18-1, "NA")</f>
        <v>6.2015503875969102E-2</v>
      </c>
      <c r="BB19" s="40">
        <f>BB18/AW18-1</f>
        <v>0.13584905660377355</v>
      </c>
      <c r="BC19" s="153">
        <f>IFERROR( BC18/AX18-1, "NA")</f>
        <v>-0.19135802469135799</v>
      </c>
      <c r="BD19" s="153">
        <f>IFERROR( BD18/AY18-1, "NA")</f>
        <v>-0.14666666666666661</v>
      </c>
      <c r="BE19" s="153">
        <f>IFERROR( BE18/AZ18-1, "NA")</f>
        <v>-0.28758169934640521</v>
      </c>
      <c r="BF19" s="153">
        <f>IFERROR( BF18/BA18-1, "NA")</f>
        <v>-0.1021897810218978</v>
      </c>
      <c r="BG19" s="40">
        <f>BG18/BB18-1</f>
        <v>-0.18438538205980071</v>
      </c>
      <c r="BH19" s="153">
        <f>IFERROR( BH18/BC18-1, "NA")</f>
        <v>8.3969465648854991E-2</v>
      </c>
      <c r="BI19" s="153">
        <f>IFERROR( BI18/BD18-1, "NA")</f>
        <v>0.1328125</v>
      </c>
      <c r="BJ19" s="153">
        <f>IFERROR( BJ18/BE18-1, "NA")</f>
        <v>0.15596330275229353</v>
      </c>
      <c r="BK19" s="153">
        <f>IFERROR( BK18/BF18-1, "NA")</f>
        <v>7.3170731707317138E-2</v>
      </c>
      <c r="BL19" s="40">
        <f>BL18/BG18-1</f>
        <v>0.10997963340122197</v>
      </c>
      <c r="BM19" s="153">
        <f>IFERROR( BM18/BH18-1, "NA")</f>
        <v>0.37323943661971826</v>
      </c>
      <c r="BN19" s="153">
        <f>IFERROR( BN18/BI18-1, "NA")</f>
        <v>0.34482758620689657</v>
      </c>
      <c r="BO19" s="153">
        <f>IFERROR( BO18/BJ18-1, "NA")</f>
        <v>0.3492063492063493</v>
      </c>
      <c r="BP19" s="153">
        <f>IFERROR( BP18/BK18-1, "NA")</f>
        <v>0.26515151515151514</v>
      </c>
      <c r="BQ19" s="40">
        <f>BQ18/BL18-1</f>
        <v>0.33394495412844027</v>
      </c>
      <c r="BR19" s="153">
        <f>IFERROR( BR18/BM18-1, "NA")</f>
        <v>-2.0512820512820551E-2</v>
      </c>
      <c r="BS19" s="153">
        <f>IFERROR( BS18/BN18-1, "NA")</f>
        <v>-2.0512820512820551E-2</v>
      </c>
      <c r="BT19" s="153">
        <f>IFERROR( BT18/BO18-1, "NA")</f>
        <v>0.22352941176470598</v>
      </c>
      <c r="BU19" s="16"/>
      <c r="BV19" s="39"/>
      <c r="BW19" s="16"/>
      <c r="BX19" s="16"/>
      <c r="BY19" s="16"/>
      <c r="BZ19" s="16"/>
      <c r="CA19" s="39"/>
      <c r="CB19" s="16"/>
      <c r="CC19" s="16"/>
      <c r="CD19" s="16"/>
      <c r="CE19" s="16"/>
      <c r="CF19" s="39"/>
      <c r="CI19"/>
      <c r="CJ19"/>
      <c r="CK19"/>
      <c r="CL19"/>
      <c r="CM19"/>
      <c r="CN19"/>
      <c r="CO19"/>
      <c r="CP19"/>
      <c r="CQ19"/>
      <c r="CR19"/>
      <c r="CS19"/>
    </row>
    <row r="20" spans="1:97" hidden="1" outlineLevel="1" x14ac:dyDescent="0.35">
      <c r="A20" s="24"/>
      <c r="B20" s="35" t="s">
        <v>524</v>
      </c>
      <c r="C20" s="658">
        <f>BQ20/BQ$31</f>
        <v>0.13656736092802532</v>
      </c>
      <c r="D20" s="24"/>
      <c r="E20" s="160">
        <v>94.199999999999989</v>
      </c>
      <c r="F20" s="160">
        <v>90.800000000000011</v>
      </c>
      <c r="G20" s="160">
        <v>93</v>
      </c>
      <c r="H20" s="160">
        <v>102.89999999999999</v>
      </c>
      <c r="I20" s="289">
        <f>SUM(E20:H20)</f>
        <v>380.9</v>
      </c>
      <c r="J20" s="160">
        <v>93</v>
      </c>
      <c r="K20" s="160">
        <v>97.2</v>
      </c>
      <c r="L20" s="160">
        <v>83.5</v>
      </c>
      <c r="M20" s="160">
        <v>108.69999999999999</v>
      </c>
      <c r="N20" s="289">
        <f>SUM(J20:M20)</f>
        <v>382.4</v>
      </c>
      <c r="O20" s="160">
        <v>95.3</v>
      </c>
      <c r="P20" s="160">
        <v>110.6</v>
      </c>
      <c r="Q20" s="160">
        <v>102.10000000000001</v>
      </c>
      <c r="R20" s="160">
        <v>118.50000000000001</v>
      </c>
      <c r="S20" s="289">
        <f>SUM(O20:R20)</f>
        <v>426.5</v>
      </c>
      <c r="T20" s="160">
        <v>101.3</v>
      </c>
      <c r="U20" s="160">
        <v>121.19999999999999</v>
      </c>
      <c r="V20" s="160">
        <v>112.5</v>
      </c>
      <c r="W20" s="160">
        <v>114.1</v>
      </c>
      <c r="X20" s="289">
        <f>SUM(T20:W20)</f>
        <v>449.1</v>
      </c>
      <c r="Y20" s="160">
        <v>90.6</v>
      </c>
      <c r="Z20" s="160">
        <v>111.49999999999999</v>
      </c>
      <c r="AA20" s="160">
        <v>104.19999999999999</v>
      </c>
      <c r="AB20" s="160">
        <v>130.5</v>
      </c>
      <c r="AC20" s="289">
        <f>SUM(Y20:AB20)</f>
        <v>436.79999999999995</v>
      </c>
      <c r="AD20" s="160">
        <v>100.19999999999999</v>
      </c>
      <c r="AE20" s="160">
        <v>119.2</v>
      </c>
      <c r="AF20" s="160">
        <v>128.30000000000001</v>
      </c>
      <c r="AG20" s="160">
        <v>147.80000000000001</v>
      </c>
      <c r="AH20" s="289">
        <f>SUM(AD20:AG20)</f>
        <v>495.5</v>
      </c>
      <c r="AI20" s="160">
        <v>117.8</v>
      </c>
      <c r="AJ20" s="160">
        <v>128.19999999999999</v>
      </c>
      <c r="AK20" s="160">
        <f>1+51+15+24+25</f>
        <v>116</v>
      </c>
      <c r="AL20" s="160">
        <f>48+24+23+26</f>
        <v>121</v>
      </c>
      <c r="AM20" s="289">
        <f>SUM(AI20:AL20)</f>
        <v>483</v>
      </c>
      <c r="AN20" s="160">
        <v>100.7</v>
      </c>
      <c r="AO20" s="160">
        <v>112.1</v>
      </c>
      <c r="AP20" s="160">
        <v>105.4</v>
      </c>
      <c r="AQ20" s="160">
        <v>109</v>
      </c>
      <c r="AR20" s="289">
        <f>SUM(AN20:AQ20)</f>
        <v>427.20000000000005</v>
      </c>
      <c r="AS20" s="160">
        <v>96</v>
      </c>
      <c r="AT20" s="160">
        <v>81</v>
      </c>
      <c r="AU20" s="160">
        <v>88</v>
      </c>
      <c r="AV20" s="160">
        <v>97</v>
      </c>
      <c r="AW20" s="289">
        <f>SUM(AS20:AV20)</f>
        <v>362</v>
      </c>
      <c r="AX20" s="160">
        <v>116</v>
      </c>
      <c r="AY20" s="160">
        <v>140</v>
      </c>
      <c r="AZ20" s="160">
        <v>143</v>
      </c>
      <c r="BA20" s="160">
        <v>161</v>
      </c>
      <c r="BB20" s="289">
        <f>SUM(AX20:BA20)</f>
        <v>560</v>
      </c>
      <c r="BC20" s="160">
        <v>144</v>
      </c>
      <c r="BD20" s="160">
        <v>123</v>
      </c>
      <c r="BE20" s="160">
        <v>101</v>
      </c>
      <c r="BF20" s="160">
        <v>94</v>
      </c>
      <c r="BG20" s="289">
        <f>SUM(BC20:BF20)</f>
        <v>462</v>
      </c>
      <c r="BH20" s="160">
        <v>99</v>
      </c>
      <c r="BI20" s="160">
        <v>102</v>
      </c>
      <c r="BJ20" s="160">
        <v>102</v>
      </c>
      <c r="BK20" s="160">
        <v>102</v>
      </c>
      <c r="BL20" s="289">
        <f>SUM(BH20:BK20)</f>
        <v>405</v>
      </c>
      <c r="BM20" s="160">
        <v>114</v>
      </c>
      <c r="BN20" s="160">
        <v>131</v>
      </c>
      <c r="BO20" s="160">
        <v>135</v>
      </c>
      <c r="BP20" s="160">
        <v>138</v>
      </c>
      <c r="BQ20" s="289">
        <f>SUM(BM20:BP20)</f>
        <v>518</v>
      </c>
      <c r="BR20" s="160">
        <v>138</v>
      </c>
      <c r="BS20" s="160">
        <v>135</v>
      </c>
      <c r="BT20" s="160">
        <v>146</v>
      </c>
      <c r="BU20" s="16"/>
      <c r="BV20" s="39"/>
      <c r="BW20" s="16"/>
      <c r="BX20" s="16"/>
      <c r="BY20" s="16"/>
      <c r="BZ20" s="16"/>
      <c r="CA20" s="39"/>
      <c r="CB20" s="16"/>
      <c r="CC20" s="16"/>
      <c r="CD20" s="16"/>
      <c r="CE20" s="16"/>
      <c r="CF20" s="39"/>
      <c r="CI20"/>
      <c r="CJ20"/>
      <c r="CK20"/>
      <c r="CL20"/>
      <c r="CM20"/>
      <c r="CN20"/>
      <c r="CO20"/>
      <c r="CP20"/>
      <c r="CQ20"/>
      <c r="CR20"/>
      <c r="CS20"/>
    </row>
    <row r="21" spans="1:97" hidden="1" outlineLevel="1" x14ac:dyDescent="0.35">
      <c r="A21" s="24"/>
      <c r="B21" s="145" t="s">
        <v>56</v>
      </c>
      <c r="C21" s="24"/>
      <c r="D21" s="24"/>
      <c r="E21" s="24"/>
      <c r="F21" s="24"/>
      <c r="G21" s="24"/>
      <c r="H21" s="24"/>
      <c r="I21" s="39"/>
      <c r="J21" s="153">
        <f t="shared" ref="J21:AC21" si="10">J20/E20-1</f>
        <v>-1.27388535031846E-2</v>
      </c>
      <c r="K21" s="153">
        <f t="shared" si="10"/>
        <v>7.0484581497797238E-2</v>
      </c>
      <c r="L21" s="153">
        <f t="shared" si="10"/>
        <v>-0.10215053763440862</v>
      </c>
      <c r="M21" s="153">
        <f t="shared" si="10"/>
        <v>5.6365403304178718E-2</v>
      </c>
      <c r="N21" s="40">
        <f t="shared" si="10"/>
        <v>3.9380414807035358E-3</v>
      </c>
      <c r="O21" s="153">
        <f t="shared" si="10"/>
        <v>2.4731182795698858E-2</v>
      </c>
      <c r="P21" s="153">
        <f t="shared" si="10"/>
        <v>0.13786008230452662</v>
      </c>
      <c r="Q21" s="153">
        <f t="shared" si="10"/>
        <v>0.22275449101796418</v>
      </c>
      <c r="R21" s="153">
        <f t="shared" si="10"/>
        <v>9.015639374425044E-2</v>
      </c>
      <c r="S21" s="40">
        <f t="shared" si="10"/>
        <v>0.11532426778242688</v>
      </c>
      <c r="T21" s="153">
        <f t="shared" si="10"/>
        <v>6.295907660020994E-2</v>
      </c>
      <c r="U21" s="153">
        <f t="shared" si="10"/>
        <v>9.5840867992766698E-2</v>
      </c>
      <c r="V21" s="153">
        <f t="shared" si="10"/>
        <v>0.10186092066601371</v>
      </c>
      <c r="W21" s="153">
        <f t="shared" si="10"/>
        <v>-3.7130801687763837E-2</v>
      </c>
      <c r="X21" s="40">
        <f t="shared" si="10"/>
        <v>5.2989449003516986E-2</v>
      </c>
      <c r="Y21" s="153">
        <f t="shared" si="10"/>
        <v>-0.10562685093780855</v>
      </c>
      <c r="Z21" s="153">
        <f t="shared" si="10"/>
        <v>-8.003300330033003E-2</v>
      </c>
      <c r="AA21" s="153">
        <f t="shared" si="10"/>
        <v>-7.3777777777777831E-2</v>
      </c>
      <c r="AB21" s="153">
        <f t="shared" si="10"/>
        <v>0.14373356704645057</v>
      </c>
      <c r="AC21" s="40">
        <f t="shared" si="10"/>
        <v>-2.7388109552438311E-2</v>
      </c>
      <c r="AD21" s="153">
        <f>IFERROR( AD20/Y20-1, "NA")</f>
        <v>0.10596026490066213</v>
      </c>
      <c r="AE21" s="153">
        <f>IFERROR( AE20/Z20-1, "NA")</f>
        <v>6.9058295964125715E-2</v>
      </c>
      <c r="AF21" s="153">
        <f>IFERROR( AF20/AA20-1, "NA")</f>
        <v>0.23128598848368553</v>
      </c>
      <c r="AG21" s="153">
        <f>IFERROR( AG20/AB20-1, "NA")</f>
        <v>0.13256704980842926</v>
      </c>
      <c r="AH21" s="40">
        <f>AH20/AC20-1</f>
        <v>0.13438644688644708</v>
      </c>
      <c r="AI21" s="153">
        <f>IFERROR( AI20/AD20-1, "NA")</f>
        <v>0.17564870259481058</v>
      </c>
      <c r="AJ21" s="153">
        <f>IFERROR( AJ20/AE20-1, "NA")</f>
        <v>7.5503355704697794E-2</v>
      </c>
      <c r="AK21" s="153">
        <f>IFERROR( AK20/AF20-1, "NA")</f>
        <v>-9.5869056897895599E-2</v>
      </c>
      <c r="AL21" s="153">
        <f>IFERROR( AL20/AG20-1, "NA")</f>
        <v>-0.18132611637347773</v>
      </c>
      <c r="AM21" s="40">
        <f>AM20/AH20-1</f>
        <v>-2.5227043390514625E-2</v>
      </c>
      <c r="AN21" s="153">
        <f>IFERROR( AN20/AI20-1, "NA")</f>
        <v>-0.14516129032258063</v>
      </c>
      <c r="AO21" s="153">
        <f>IFERROR( AO20/AJ20-1, "NA")</f>
        <v>-0.12558502340093602</v>
      </c>
      <c r="AP21" s="153">
        <f>IFERROR( AP20/AK20-1, "NA")</f>
        <v>-9.1379310344827491E-2</v>
      </c>
      <c r="AQ21" s="153">
        <f>IFERROR( AQ20/AL20-1, "NA")</f>
        <v>-9.9173553719008267E-2</v>
      </c>
      <c r="AR21" s="40">
        <f>AR20/AM20-1</f>
        <v>-0.11552795031055896</v>
      </c>
      <c r="AS21" s="153">
        <f>IFERROR( AS20/AN20-1, "NA")</f>
        <v>-4.6673286991062546E-2</v>
      </c>
      <c r="AT21" s="153">
        <f>IFERROR( AT20/AO20-1, "NA")</f>
        <v>-0.27743086529884031</v>
      </c>
      <c r="AU21" s="153">
        <f>IFERROR( AU20/AP20-1, "NA")</f>
        <v>-0.16508538899430747</v>
      </c>
      <c r="AV21" s="153">
        <f>IFERROR( AV20/AQ20-1, "NA")</f>
        <v>-0.11009174311926606</v>
      </c>
      <c r="AW21" s="40">
        <f>AW20/AR20-1</f>
        <v>-0.15262172284644204</v>
      </c>
      <c r="AX21" s="153">
        <f>IFERROR( AX20/AS20-1, "NA")</f>
        <v>0.20833333333333326</v>
      </c>
      <c r="AY21" s="153">
        <f>IFERROR( AY20/AT20-1, "NA")</f>
        <v>0.72839506172839497</v>
      </c>
      <c r="AZ21" s="153">
        <f>IFERROR( AZ20/AU20-1, "NA")</f>
        <v>0.625</v>
      </c>
      <c r="BA21" s="153">
        <f>IFERROR( BA20/AV20-1, "NA")</f>
        <v>0.65979381443298979</v>
      </c>
      <c r="BB21" s="40">
        <f>BB20/AW20-1</f>
        <v>0.54696132596685088</v>
      </c>
      <c r="BC21" s="153">
        <f>IFERROR( BC20/AX20-1, "NA")</f>
        <v>0.24137931034482762</v>
      </c>
      <c r="BD21" s="153">
        <f>IFERROR( BD20/AY20-1, "NA")</f>
        <v>-0.12142857142857144</v>
      </c>
      <c r="BE21" s="153">
        <f>IFERROR( BE20/AZ20-1, "NA")</f>
        <v>-0.29370629370629375</v>
      </c>
      <c r="BF21" s="153">
        <f>IFERROR( BF20/BA20-1, "NA")</f>
        <v>-0.41614906832298137</v>
      </c>
      <c r="BG21" s="40">
        <f>BG20/BB20-1</f>
        <v>-0.17500000000000004</v>
      </c>
      <c r="BH21" s="153">
        <f>IFERROR( BH20/BC20-1, "NA")</f>
        <v>-0.3125</v>
      </c>
      <c r="BI21" s="153">
        <f>IFERROR( BI20/BD20-1, "NA")</f>
        <v>-0.17073170731707321</v>
      </c>
      <c r="BJ21" s="153">
        <f>IFERROR( BJ20/BE20-1, "NA")</f>
        <v>9.9009900990099098E-3</v>
      </c>
      <c r="BK21" s="153">
        <f>IFERROR( BK20/BF20-1, "NA")</f>
        <v>8.5106382978723305E-2</v>
      </c>
      <c r="BL21" s="40">
        <f>BL20/BG20-1</f>
        <v>-0.12337662337662336</v>
      </c>
      <c r="BM21" s="153">
        <f>IFERROR( BM20/BH20-1, "NA")</f>
        <v>0.1515151515151516</v>
      </c>
      <c r="BN21" s="153">
        <f>IFERROR( BN20/BI20-1, "NA")</f>
        <v>0.28431372549019618</v>
      </c>
      <c r="BO21" s="153">
        <f>IFERROR( BO20/BJ20-1, "NA")</f>
        <v>0.32352941176470584</v>
      </c>
      <c r="BP21" s="153">
        <f>IFERROR( BP20/BK20-1, "NA")</f>
        <v>0.35294117647058831</v>
      </c>
      <c r="BQ21" s="40">
        <f>BQ20/BL20-1</f>
        <v>0.27901234567901234</v>
      </c>
      <c r="BR21" s="153">
        <f>IFERROR( BR20/BM20-1, "NA")</f>
        <v>0.21052631578947367</v>
      </c>
      <c r="BS21" s="153">
        <f>IFERROR( BS20/BN20-1, "NA")</f>
        <v>3.0534351145038219E-2</v>
      </c>
      <c r="BT21" s="153">
        <f>IFERROR( BT20/BO20-1, "NA")</f>
        <v>8.1481481481481488E-2</v>
      </c>
      <c r="BU21" s="16"/>
      <c r="BV21" s="39"/>
      <c r="BW21" s="16"/>
      <c r="BX21" s="16"/>
      <c r="BY21" s="16"/>
      <c r="BZ21" s="16"/>
      <c r="CA21" s="39"/>
      <c r="CB21" s="16"/>
      <c r="CC21" s="16"/>
      <c r="CD21" s="16"/>
      <c r="CE21" s="16"/>
      <c r="CF21" s="39"/>
      <c r="CI21"/>
      <c r="CJ21"/>
      <c r="CK21"/>
      <c r="CL21"/>
      <c r="CM21"/>
      <c r="CN21"/>
      <c r="CO21"/>
      <c r="CP21"/>
      <c r="CQ21"/>
      <c r="CR21"/>
      <c r="CS21"/>
    </row>
    <row r="22" spans="1:97" hidden="1" outlineLevel="1" x14ac:dyDescent="0.35">
      <c r="A22" s="24"/>
      <c r="B22" s="35" t="s">
        <v>525</v>
      </c>
      <c r="C22" s="658">
        <f>BQ22/BQ$31</f>
        <v>0.15765884524123386</v>
      </c>
      <c r="D22" s="24"/>
      <c r="E22" s="160">
        <v>79.199999999999989</v>
      </c>
      <c r="F22" s="160">
        <v>81.099999999999994</v>
      </c>
      <c r="G22" s="160">
        <v>77</v>
      </c>
      <c r="H22" s="160">
        <v>85.3</v>
      </c>
      <c r="I22" s="289">
        <f>SUM(E22:H22)</f>
        <v>322.59999999999997</v>
      </c>
      <c r="J22" s="160">
        <v>83.45</v>
      </c>
      <c r="K22" s="160">
        <v>92.699999999999989</v>
      </c>
      <c r="L22" s="160">
        <f>82.7+0.1</f>
        <v>82.8</v>
      </c>
      <c r="M22" s="160">
        <f>82.48+3.32</f>
        <v>85.8</v>
      </c>
      <c r="N22" s="289">
        <f>SUM(J22:M22)</f>
        <v>344.75</v>
      </c>
      <c r="O22" s="160">
        <f>80.7+3.3</f>
        <v>84</v>
      </c>
      <c r="P22" s="160">
        <f>98+3.3</f>
        <v>101.3</v>
      </c>
      <c r="Q22" s="160">
        <f>88.5+3.5</f>
        <v>92</v>
      </c>
      <c r="R22" s="160">
        <f>90.1+7.9</f>
        <v>98</v>
      </c>
      <c r="S22" s="289">
        <f>SUM(O22:R22)</f>
        <v>375.3</v>
      </c>
      <c r="T22" s="160">
        <f>100.7+7.8</f>
        <v>108.5</v>
      </c>
      <c r="U22" s="160">
        <f>99.9+8.1</f>
        <v>108</v>
      </c>
      <c r="V22" s="160">
        <f>90.6+7.2</f>
        <v>97.8</v>
      </c>
      <c r="W22" s="160">
        <v>85.300000000000011</v>
      </c>
      <c r="X22" s="289">
        <f>SUM(T22:W22)</f>
        <v>399.6</v>
      </c>
      <c r="Y22" s="160">
        <f>91.5+7.8</f>
        <v>99.3</v>
      </c>
      <c r="Z22" s="160">
        <f>112.3+7.3</f>
        <v>119.6</v>
      </c>
      <c r="AA22" s="160">
        <f>105.2+7.5</f>
        <v>112.7</v>
      </c>
      <c r="AB22" s="160">
        <f>103.2+8</f>
        <v>111.2</v>
      </c>
      <c r="AC22" s="289">
        <f>SUM(Y22:AB22)</f>
        <v>442.79999999999995</v>
      </c>
      <c r="AD22" s="160">
        <f>98.1+4.8</f>
        <v>102.89999999999999</v>
      </c>
      <c r="AE22" s="160">
        <f>104.7+4.6</f>
        <v>109.3</v>
      </c>
      <c r="AF22" s="160">
        <f>109.2+4.4</f>
        <v>113.60000000000001</v>
      </c>
      <c r="AG22" s="160">
        <f>119.3+4.7</f>
        <v>124</v>
      </c>
      <c r="AH22" s="289">
        <f>SUM(AD22:AG22)</f>
        <v>449.8</v>
      </c>
      <c r="AI22" s="160">
        <f>93.2+5</f>
        <v>98.2</v>
      </c>
      <c r="AJ22" s="160">
        <f>108.1+4.4</f>
        <v>112.5</v>
      </c>
      <c r="AK22" s="160">
        <f>99+4.8</f>
        <v>103.8</v>
      </c>
      <c r="AL22" s="160">
        <f>90.8+4.8</f>
        <v>95.6</v>
      </c>
      <c r="AM22" s="289">
        <f>SUM(AI22:AL22)</f>
        <v>410.1</v>
      </c>
      <c r="AN22" s="160">
        <v>92.7</v>
      </c>
      <c r="AO22" s="160">
        <f>108.6+5.1</f>
        <v>113.69999999999999</v>
      </c>
      <c r="AP22" s="160">
        <f>119.8+8.9</f>
        <v>128.69999999999999</v>
      </c>
      <c r="AQ22" s="160">
        <f>125+9</f>
        <v>134</v>
      </c>
      <c r="AR22" s="289">
        <f>SUM(AN22:AQ22)</f>
        <v>469.09999999999997</v>
      </c>
      <c r="AS22" s="160">
        <f>109+11</f>
        <v>120</v>
      </c>
      <c r="AT22" s="160">
        <f>133+10</f>
        <v>143</v>
      </c>
      <c r="AU22" s="160">
        <f>133+9</f>
        <v>142</v>
      </c>
      <c r="AV22" s="160">
        <f>121+17</f>
        <v>138</v>
      </c>
      <c r="AW22" s="289">
        <f>SUM(AS22:AV22)</f>
        <v>543</v>
      </c>
      <c r="AX22" s="160">
        <f>143+10</f>
        <v>153</v>
      </c>
      <c r="AY22" s="160">
        <f>130+10</f>
        <v>140</v>
      </c>
      <c r="AZ22" s="160">
        <f>130+11</f>
        <v>141</v>
      </c>
      <c r="BA22" s="160">
        <f>118+11</f>
        <v>129</v>
      </c>
      <c r="BB22" s="289">
        <f>SUM(AX22:BA22)</f>
        <v>563</v>
      </c>
      <c r="BC22" s="160">
        <f>123+12</f>
        <v>135</v>
      </c>
      <c r="BD22" s="160">
        <f>122+11</f>
        <v>133</v>
      </c>
      <c r="BE22" s="160">
        <f>92+11</f>
        <v>103</v>
      </c>
      <c r="BF22" s="160">
        <f>94+12</f>
        <v>106</v>
      </c>
      <c r="BG22" s="289">
        <f>SUM(BC22:BF22)</f>
        <v>477</v>
      </c>
      <c r="BH22" s="160">
        <f>129+7</f>
        <v>136</v>
      </c>
      <c r="BI22" s="160">
        <f>127 +8</f>
        <v>135</v>
      </c>
      <c r="BJ22" s="160">
        <f>115+7</f>
        <v>122</v>
      </c>
      <c r="BK22" s="160">
        <f>105+8</f>
        <v>113</v>
      </c>
      <c r="BL22" s="289">
        <f>SUM(BH22:BK22)</f>
        <v>506</v>
      </c>
      <c r="BM22" s="160">
        <f>141+8</f>
        <v>149</v>
      </c>
      <c r="BN22" s="160">
        <f>154+10</f>
        <v>164</v>
      </c>
      <c r="BO22" s="160">
        <f>154+8</f>
        <v>162</v>
      </c>
      <c r="BP22" s="160">
        <f>115+8</f>
        <v>123</v>
      </c>
      <c r="BQ22" s="289">
        <f>SUM(BM22:BP22)</f>
        <v>598</v>
      </c>
      <c r="BR22" s="160">
        <f>163+9</f>
        <v>172</v>
      </c>
      <c r="BS22" s="160">
        <f>162+10</f>
        <v>172</v>
      </c>
      <c r="BT22" s="160">
        <f>161+7</f>
        <v>168</v>
      </c>
      <c r="BU22" s="16"/>
      <c r="BV22" s="39"/>
      <c r="BW22" s="16"/>
      <c r="BX22" s="16"/>
      <c r="BY22" s="16"/>
      <c r="BZ22" s="16"/>
      <c r="CA22" s="39"/>
      <c r="CB22" s="16"/>
      <c r="CC22" s="16"/>
      <c r="CD22" s="16"/>
      <c r="CE22" s="16"/>
      <c r="CF22" s="39"/>
      <c r="CI22"/>
      <c r="CJ22"/>
      <c r="CK22"/>
      <c r="CL22"/>
      <c r="CM22"/>
      <c r="CN22"/>
      <c r="CO22"/>
      <c r="CP22"/>
      <c r="CQ22"/>
      <c r="CR22"/>
      <c r="CS22"/>
    </row>
    <row r="23" spans="1:97" hidden="1" outlineLevel="1" x14ac:dyDescent="0.35">
      <c r="A23" s="24"/>
      <c r="B23" s="145" t="s">
        <v>56</v>
      </c>
      <c r="C23" s="24"/>
      <c r="D23" s="24"/>
      <c r="E23" s="24"/>
      <c r="F23" s="24"/>
      <c r="G23" s="24"/>
      <c r="H23" s="24"/>
      <c r="I23" s="39"/>
      <c r="J23" s="153">
        <f t="shared" ref="J23:AC23" si="11">J22/E22-1</f>
        <v>5.3661616161616355E-2</v>
      </c>
      <c r="K23" s="153">
        <f t="shared" si="11"/>
        <v>0.14303329223181249</v>
      </c>
      <c r="L23" s="153">
        <f t="shared" si="11"/>
        <v>7.5324675324675239E-2</v>
      </c>
      <c r="M23" s="153">
        <f t="shared" si="11"/>
        <v>5.8616647127784915E-3</v>
      </c>
      <c r="N23" s="40">
        <f t="shared" si="11"/>
        <v>6.8660880347179321E-2</v>
      </c>
      <c r="O23" s="153">
        <f t="shared" si="11"/>
        <v>6.5907729179148777E-3</v>
      </c>
      <c r="P23" s="153">
        <f t="shared" si="11"/>
        <v>9.2772384034520039E-2</v>
      </c>
      <c r="Q23" s="153">
        <f t="shared" si="11"/>
        <v>0.11111111111111116</v>
      </c>
      <c r="R23" s="153">
        <f t="shared" si="11"/>
        <v>0.14219114219114215</v>
      </c>
      <c r="S23" s="40">
        <f t="shared" si="11"/>
        <v>8.8614938361131212E-2</v>
      </c>
      <c r="T23" s="153">
        <f t="shared" si="11"/>
        <v>0.29166666666666674</v>
      </c>
      <c r="U23" s="153">
        <f t="shared" si="11"/>
        <v>6.6140177690029667E-2</v>
      </c>
      <c r="V23" s="153">
        <f t="shared" si="11"/>
        <v>6.3043478260869534E-2</v>
      </c>
      <c r="W23" s="153">
        <f t="shared" si="11"/>
        <v>-0.12959183673469377</v>
      </c>
      <c r="X23" s="40">
        <f t="shared" si="11"/>
        <v>6.4748201438848962E-2</v>
      </c>
      <c r="Y23" s="153">
        <f t="shared" si="11"/>
        <v>-8.4792626728110609E-2</v>
      </c>
      <c r="Z23" s="153">
        <f t="shared" si="11"/>
        <v>0.1074074074074074</v>
      </c>
      <c r="AA23" s="153">
        <f t="shared" si="11"/>
        <v>0.15235173824130888</v>
      </c>
      <c r="AB23" s="153">
        <f t="shared" si="11"/>
        <v>0.30363423212192253</v>
      </c>
      <c r="AC23" s="40">
        <f t="shared" si="11"/>
        <v>0.10810810810810789</v>
      </c>
      <c r="AD23" s="153">
        <f>IFERROR( AD22/Y22-1, "NA")</f>
        <v>3.6253776435045237E-2</v>
      </c>
      <c r="AE23" s="153">
        <f>IFERROR( AE22/Z22-1, "NA")</f>
        <v>-8.612040133779264E-2</v>
      </c>
      <c r="AF23" s="153">
        <f>IFERROR( AF22/AA22-1, "NA")</f>
        <v>7.9858030168589167E-3</v>
      </c>
      <c r="AG23" s="153">
        <f>IFERROR( AG22/AB22-1, "NA")</f>
        <v>0.1151079136690647</v>
      </c>
      <c r="AH23" s="40">
        <f>AH22/AC22-1</f>
        <v>1.5808491418247694E-2</v>
      </c>
      <c r="AI23" s="153">
        <f>IFERROR( AI22/AD22-1, "NA")</f>
        <v>-4.5675413022351674E-2</v>
      </c>
      <c r="AJ23" s="153">
        <f>IFERROR( AJ22/AE22-1, "NA")</f>
        <v>2.9277218664226945E-2</v>
      </c>
      <c r="AK23" s="153">
        <f>IFERROR( AK22/AF22-1, "NA")</f>
        <v>-8.6267605633802869E-2</v>
      </c>
      <c r="AL23" s="153">
        <f>IFERROR( AL22/AG22-1, "NA")</f>
        <v>-0.22903225806451621</v>
      </c>
      <c r="AM23" s="40">
        <f>AM22/AH22-1</f>
        <v>-8.8261449533125758E-2</v>
      </c>
      <c r="AN23" s="153">
        <f>IFERROR( AN22/AI22-1, "NA")</f>
        <v>-5.6008146639511147E-2</v>
      </c>
      <c r="AO23" s="153">
        <f>IFERROR( AO22/AJ22-1, "NA")</f>
        <v>1.0666666666666602E-2</v>
      </c>
      <c r="AP23" s="153">
        <f>IFERROR( AP22/AK22-1, "NA")</f>
        <v>0.23988439306358367</v>
      </c>
      <c r="AQ23" s="153">
        <f>IFERROR( AQ22/AL22-1, "NA")</f>
        <v>0.40167364016736418</v>
      </c>
      <c r="AR23" s="40">
        <f>AR22/AM22-1</f>
        <v>0.14386734942696888</v>
      </c>
      <c r="AS23" s="153">
        <f>IFERROR( AS22/AN22-1, "NA")</f>
        <v>0.2944983818770226</v>
      </c>
      <c r="AT23" s="153">
        <f>IFERROR( AT22/AO22-1, "NA")</f>
        <v>0.25769569041336871</v>
      </c>
      <c r="AU23" s="153">
        <f>IFERROR( AU22/AP22-1, "NA")</f>
        <v>0.10334110334110336</v>
      </c>
      <c r="AV23" s="153">
        <f>IFERROR( AV22/AQ22-1, "NA")</f>
        <v>2.9850746268656803E-2</v>
      </c>
      <c r="AW23" s="40">
        <f>AW22/AR22-1</f>
        <v>0.15753570667235151</v>
      </c>
      <c r="AX23" s="153">
        <f>IFERROR( AX22/AS22-1, "NA")</f>
        <v>0.27499999999999991</v>
      </c>
      <c r="AY23" s="153">
        <f>IFERROR( AY22/AT22-1, "NA")</f>
        <v>-2.0979020979020935E-2</v>
      </c>
      <c r="AZ23" s="153">
        <f>IFERROR( AZ22/AU22-1, "NA")</f>
        <v>-7.0422535211267512E-3</v>
      </c>
      <c r="BA23" s="153">
        <f>IFERROR( BA22/AV22-1, "NA")</f>
        <v>-6.5217391304347783E-2</v>
      </c>
      <c r="BB23" s="40">
        <f>BB22/AW22-1</f>
        <v>3.6832412523020164E-2</v>
      </c>
      <c r="BC23" s="153">
        <f>IFERROR( BC22/AX22-1, "NA")</f>
        <v>-0.11764705882352944</v>
      </c>
      <c r="BD23" s="153">
        <f>IFERROR( BD22/AY22-1, "NA")</f>
        <v>-5.0000000000000044E-2</v>
      </c>
      <c r="BE23" s="153">
        <f>IFERROR( BE22/AZ22-1, "NA")</f>
        <v>-0.26950354609929073</v>
      </c>
      <c r="BF23" s="153">
        <f>IFERROR( BF22/BA22-1, "NA")</f>
        <v>-0.17829457364341084</v>
      </c>
      <c r="BG23" s="40">
        <f>BG22/BB22-1</f>
        <v>-0.15275310834813494</v>
      </c>
      <c r="BH23" s="153">
        <f>IFERROR( BH22/BC22-1, "NA")</f>
        <v>7.4074074074073071E-3</v>
      </c>
      <c r="BI23" s="153">
        <f>IFERROR( BI22/BD22-1, "NA")</f>
        <v>1.5037593984962516E-2</v>
      </c>
      <c r="BJ23" s="153">
        <f>IFERROR( BJ22/BE22-1, "NA")</f>
        <v>0.18446601941747565</v>
      </c>
      <c r="BK23" s="153">
        <f>IFERROR( BK22/BF22-1, "NA")</f>
        <v>6.60377358490567E-2</v>
      </c>
      <c r="BL23" s="40">
        <f>BL22/BG22-1</f>
        <v>6.079664570230614E-2</v>
      </c>
      <c r="BM23" s="153">
        <f>IFERROR( BM22/BH22-1, "NA")</f>
        <v>9.5588235294117752E-2</v>
      </c>
      <c r="BN23" s="153">
        <f>IFERROR( BN22/BI22-1, "NA")</f>
        <v>0.21481481481481479</v>
      </c>
      <c r="BO23" s="153">
        <f>IFERROR( BO22/BJ22-1, "NA")</f>
        <v>0.32786885245901631</v>
      </c>
      <c r="BP23" s="153">
        <f>IFERROR( BP22/BK22-1, "NA")</f>
        <v>8.8495575221238854E-2</v>
      </c>
      <c r="BQ23" s="40">
        <f>BQ22/BL22-1</f>
        <v>0.18181818181818188</v>
      </c>
      <c r="BR23" s="153">
        <f>IFERROR( BR22/BM22-1, "NA")</f>
        <v>0.15436241610738266</v>
      </c>
      <c r="BS23" s="153">
        <f>IFERROR( BS22/BN22-1, "NA")</f>
        <v>4.8780487804878092E-2</v>
      </c>
      <c r="BT23" s="153">
        <f>IFERROR( BT22/BO22-1, "NA")</f>
        <v>3.7037037037036979E-2</v>
      </c>
      <c r="BU23" s="16"/>
      <c r="BV23" s="39"/>
      <c r="BW23" s="16"/>
      <c r="BX23" s="16"/>
      <c r="BY23" s="16"/>
      <c r="BZ23" s="16"/>
      <c r="CA23" s="39"/>
      <c r="CB23" s="16"/>
      <c r="CC23" s="16"/>
      <c r="CD23" s="16"/>
      <c r="CE23" s="16"/>
      <c r="CF23" s="39"/>
      <c r="CI23"/>
      <c r="CJ23"/>
      <c r="CK23"/>
      <c r="CL23"/>
      <c r="CM23"/>
      <c r="CN23"/>
      <c r="CO23"/>
      <c r="CP23"/>
      <c r="CQ23"/>
      <c r="CR23"/>
      <c r="CS23"/>
    </row>
    <row r="24" spans="1:97" hidden="1" outlineLevel="1" x14ac:dyDescent="0.35">
      <c r="A24" s="24"/>
      <c r="B24" s="539" t="s">
        <v>433</v>
      </c>
      <c r="C24" s="146"/>
      <c r="D24" s="146"/>
      <c r="E24" s="540"/>
      <c r="F24" s="540"/>
      <c r="G24" s="540"/>
      <c r="H24" s="540"/>
      <c r="I24" s="549">
        <v>120</v>
      </c>
      <c r="J24" s="540"/>
      <c r="K24" s="540"/>
      <c r="L24" s="540"/>
      <c r="M24" s="540"/>
      <c r="N24" s="549">
        <v>155</v>
      </c>
      <c r="O24" s="540"/>
      <c r="P24" s="540"/>
      <c r="Q24" s="540"/>
      <c r="R24" s="540"/>
      <c r="S24" s="549">
        <v>212</v>
      </c>
      <c r="T24" s="540"/>
      <c r="U24" s="540"/>
      <c r="V24" s="540"/>
      <c r="W24" s="540"/>
      <c r="X24" s="549">
        <v>242</v>
      </c>
      <c r="Y24" s="540"/>
      <c r="Z24" s="540"/>
      <c r="AA24" s="540"/>
      <c r="AB24" s="540"/>
      <c r="AC24" s="549">
        <v>204</v>
      </c>
      <c r="AD24" s="540"/>
      <c r="AE24" s="540"/>
      <c r="AF24" s="540"/>
      <c r="AG24" s="540"/>
      <c r="AH24" s="549">
        <v>254</v>
      </c>
      <c r="AI24" s="540">
        <v>110</v>
      </c>
      <c r="AJ24" s="540">
        <v>121</v>
      </c>
      <c r="AK24" s="540">
        <v>78</v>
      </c>
      <c r="AL24" s="540">
        <v>70</v>
      </c>
      <c r="AM24" s="541">
        <f>SUM(AI24:AL24)</f>
        <v>379</v>
      </c>
      <c r="AN24" s="540">
        <v>73</v>
      </c>
      <c r="AO24" s="540">
        <v>83</v>
      </c>
      <c r="AP24" s="540">
        <v>90</v>
      </c>
      <c r="AQ24" s="540">
        <v>96</v>
      </c>
      <c r="AR24" s="541">
        <f>SUM(AN24:AQ24)</f>
        <v>342</v>
      </c>
      <c r="AS24" s="540">
        <v>89</v>
      </c>
      <c r="AT24" s="540">
        <v>43</v>
      </c>
      <c r="AU24" s="540">
        <v>72</v>
      </c>
      <c r="AV24" s="540">
        <v>82</v>
      </c>
      <c r="AW24" s="541">
        <f>SUM(AS24:AV24)</f>
        <v>286</v>
      </c>
      <c r="AX24" s="540">
        <v>180</v>
      </c>
      <c r="AY24" s="540">
        <v>157</v>
      </c>
      <c r="AZ24" s="540">
        <v>145</v>
      </c>
      <c r="BA24" s="540">
        <v>124</v>
      </c>
      <c r="BB24" s="541">
        <f>SUM(AX24:BA24)</f>
        <v>606</v>
      </c>
      <c r="BC24" s="540">
        <v>113</v>
      </c>
      <c r="BD24" s="540">
        <v>72</v>
      </c>
      <c r="BE24" s="540">
        <v>47</v>
      </c>
      <c r="BF24" s="540">
        <v>43</v>
      </c>
      <c r="BG24" s="541">
        <f>SUM(BC24:BF24)</f>
        <v>275</v>
      </c>
      <c r="BH24" s="540">
        <v>59</v>
      </c>
      <c r="BI24" s="540">
        <v>68</v>
      </c>
      <c r="BJ24" s="540">
        <v>82</v>
      </c>
      <c r="BK24" s="540">
        <v>83</v>
      </c>
      <c r="BL24" s="541">
        <f>SUM(BH24:BK24)</f>
        <v>292</v>
      </c>
      <c r="BM24" s="540">
        <v>155</v>
      </c>
      <c r="BN24" s="540">
        <v>147</v>
      </c>
      <c r="BO24" s="540">
        <v>120</v>
      </c>
      <c r="BP24" s="540">
        <v>105</v>
      </c>
      <c r="BQ24" s="541">
        <f>SUM(BM24:BP24)</f>
        <v>527</v>
      </c>
      <c r="BR24" s="540">
        <v>160</v>
      </c>
      <c r="BS24" s="540">
        <v>98</v>
      </c>
      <c r="BT24" s="540">
        <v>155</v>
      </c>
      <c r="BU24" s="542"/>
      <c r="BV24" s="543"/>
      <c r="BW24" s="542"/>
      <c r="BX24" s="542"/>
      <c r="BY24" s="542"/>
      <c r="BZ24" s="542"/>
      <c r="CA24" s="543"/>
      <c r="CB24" s="542"/>
      <c r="CC24" s="542"/>
      <c r="CD24" s="542"/>
      <c r="CE24" s="542"/>
      <c r="CF24" s="543"/>
      <c r="CI24"/>
      <c r="CJ24"/>
      <c r="CK24"/>
      <c r="CL24"/>
      <c r="CM24"/>
      <c r="CN24"/>
      <c r="CO24"/>
      <c r="CP24"/>
      <c r="CQ24"/>
      <c r="CR24"/>
      <c r="CS24"/>
    </row>
    <row r="25" spans="1:97" hidden="1" outlineLevel="1" x14ac:dyDescent="0.35">
      <c r="A25" s="24"/>
      <c r="B25" s="145" t="s">
        <v>56</v>
      </c>
      <c r="C25" s="24"/>
      <c r="D25" s="24"/>
      <c r="E25" s="24"/>
      <c r="F25" s="24"/>
      <c r="G25" s="24"/>
      <c r="H25" s="24"/>
      <c r="I25" s="551" t="s">
        <v>436</v>
      </c>
      <c r="J25" s="153"/>
      <c r="K25" s="153"/>
      <c r="L25" s="153"/>
      <c r="M25" s="153"/>
      <c r="N25" s="552">
        <f>N24/I24-1</f>
        <v>0.29166666666666674</v>
      </c>
      <c r="O25" s="153"/>
      <c r="P25" s="153"/>
      <c r="Q25" s="153"/>
      <c r="R25" s="153"/>
      <c r="S25" s="552">
        <f>S24/N24-1</f>
        <v>0.36774193548387091</v>
      </c>
      <c r="T25" s="153"/>
      <c r="U25" s="153"/>
      <c r="V25" s="153"/>
      <c r="W25" s="153"/>
      <c r="X25" s="552">
        <f>X24/S24-1</f>
        <v>0.14150943396226423</v>
      </c>
      <c r="Y25" s="153"/>
      <c r="Z25" s="153"/>
      <c r="AA25" s="153"/>
      <c r="AB25" s="153"/>
      <c r="AC25" s="552">
        <f>AC24/X24-1</f>
        <v>-0.15702479338842978</v>
      </c>
      <c r="AD25" s="153"/>
      <c r="AE25" s="153"/>
      <c r="AF25" s="153"/>
      <c r="AG25" s="153"/>
      <c r="AH25" s="552">
        <f>AH24/AC24-1</f>
        <v>0.24509803921568629</v>
      </c>
      <c r="AI25" s="205" t="s">
        <v>436</v>
      </c>
      <c r="AJ25" s="205" t="s">
        <v>436</v>
      </c>
      <c r="AK25" s="205" t="s">
        <v>436</v>
      </c>
      <c r="AL25" s="205" t="s">
        <v>436</v>
      </c>
      <c r="AM25" s="552">
        <f>AM24/AH24-1</f>
        <v>0.49212598425196852</v>
      </c>
      <c r="AN25" s="554">
        <f t="shared" ref="AN25:BA25" si="12">AN24/AI24-1</f>
        <v>-0.33636363636363631</v>
      </c>
      <c r="AO25" s="554">
        <f t="shared" si="12"/>
        <v>-0.31404958677685946</v>
      </c>
      <c r="AP25" s="554">
        <f t="shared" si="12"/>
        <v>0.15384615384615374</v>
      </c>
      <c r="AQ25" s="554">
        <f t="shared" si="12"/>
        <v>0.37142857142857144</v>
      </c>
      <c r="AR25" s="552">
        <f t="shared" si="12"/>
        <v>-9.7625329815303474E-2</v>
      </c>
      <c r="AS25" s="554">
        <f t="shared" si="12"/>
        <v>0.21917808219178081</v>
      </c>
      <c r="AT25" s="554">
        <f t="shared" si="12"/>
        <v>-0.48192771084337349</v>
      </c>
      <c r="AU25" s="554">
        <f t="shared" si="12"/>
        <v>-0.19999999999999996</v>
      </c>
      <c r="AV25" s="554">
        <f t="shared" si="12"/>
        <v>-0.14583333333333337</v>
      </c>
      <c r="AW25" s="552">
        <f t="shared" si="12"/>
        <v>-0.16374269005847952</v>
      </c>
      <c r="AX25" s="554">
        <f t="shared" si="12"/>
        <v>1.0224719101123596</v>
      </c>
      <c r="AY25" s="554">
        <f t="shared" si="12"/>
        <v>2.6511627906976742</v>
      </c>
      <c r="AZ25" s="554">
        <f t="shared" si="12"/>
        <v>1.0138888888888888</v>
      </c>
      <c r="BA25" s="554">
        <f t="shared" si="12"/>
        <v>0.51219512195121952</v>
      </c>
      <c r="BB25" s="552">
        <f t="shared" ref="BB25:BT25" si="13">BB24/AW24-1</f>
        <v>1.1188811188811187</v>
      </c>
      <c r="BC25" s="554">
        <f t="shared" si="13"/>
        <v>-0.37222222222222223</v>
      </c>
      <c r="BD25" s="554">
        <f t="shared" si="13"/>
        <v>-0.54140127388535031</v>
      </c>
      <c r="BE25" s="554">
        <f t="shared" si="13"/>
        <v>-0.67586206896551726</v>
      </c>
      <c r="BF25" s="554">
        <f t="shared" si="13"/>
        <v>-0.65322580645161288</v>
      </c>
      <c r="BG25" s="552">
        <f t="shared" si="13"/>
        <v>-0.54620462046204621</v>
      </c>
      <c r="BH25" s="554">
        <f t="shared" si="13"/>
        <v>-0.47787610619469023</v>
      </c>
      <c r="BI25" s="554">
        <f t="shared" si="13"/>
        <v>-5.555555555555558E-2</v>
      </c>
      <c r="BJ25" s="554">
        <f t="shared" si="13"/>
        <v>0.74468085106382986</v>
      </c>
      <c r="BK25" s="554">
        <f t="shared" si="13"/>
        <v>0.93023255813953498</v>
      </c>
      <c r="BL25" s="552">
        <f t="shared" si="13"/>
        <v>6.1818181818181772E-2</v>
      </c>
      <c r="BM25" s="554">
        <f t="shared" si="13"/>
        <v>1.6271186440677967</v>
      </c>
      <c r="BN25" s="554">
        <f t="shared" si="13"/>
        <v>1.1617647058823528</v>
      </c>
      <c r="BO25" s="554">
        <f t="shared" si="13"/>
        <v>0.46341463414634143</v>
      </c>
      <c r="BP25" s="554">
        <f t="shared" si="13"/>
        <v>0.26506024096385539</v>
      </c>
      <c r="BQ25" s="552">
        <f t="shared" si="13"/>
        <v>0.8047945205479452</v>
      </c>
      <c r="BR25" s="554">
        <f t="shared" si="13"/>
        <v>3.2258064516129004E-2</v>
      </c>
      <c r="BS25" s="554">
        <f t="shared" si="13"/>
        <v>-0.33333333333333337</v>
      </c>
      <c r="BT25" s="554">
        <f t="shared" si="13"/>
        <v>0.29166666666666674</v>
      </c>
      <c r="BU25" s="16"/>
      <c r="BV25" s="39"/>
      <c r="BW25" s="16"/>
      <c r="BX25" s="16"/>
      <c r="BY25" s="16"/>
      <c r="BZ25" s="16"/>
      <c r="CA25" s="39"/>
      <c r="CB25" s="16"/>
      <c r="CC25" s="16"/>
      <c r="CD25" s="16"/>
      <c r="CE25" s="16"/>
      <c r="CF25" s="39"/>
      <c r="CI25"/>
      <c r="CJ25"/>
      <c r="CK25"/>
      <c r="CL25"/>
      <c r="CM25"/>
      <c r="CN25"/>
      <c r="CO25"/>
      <c r="CP25"/>
      <c r="CQ25"/>
      <c r="CR25"/>
      <c r="CS25"/>
    </row>
    <row r="26" spans="1:97" hidden="1" outlineLevel="1" x14ac:dyDescent="0.35">
      <c r="A26" s="24"/>
      <c r="B26" s="544" t="s">
        <v>437</v>
      </c>
      <c r="C26" s="545"/>
      <c r="D26" s="545"/>
      <c r="E26" s="545"/>
      <c r="F26" s="545"/>
      <c r="G26" s="545"/>
      <c r="H26" s="545"/>
      <c r="I26" s="550">
        <f>I24/I31</f>
        <v>6.360985952822687E-2</v>
      </c>
      <c r="J26" s="547"/>
      <c r="K26" s="547"/>
      <c r="L26" s="547"/>
      <c r="M26" s="547"/>
      <c r="N26" s="550">
        <f>N24/N31</f>
        <v>7.5146049984243568E-2</v>
      </c>
      <c r="O26" s="547"/>
      <c r="P26" s="547"/>
      <c r="Q26" s="547"/>
      <c r="R26" s="547"/>
      <c r="S26" s="550">
        <f>S24/S31</f>
        <v>9.3565186689028149E-2</v>
      </c>
      <c r="T26" s="547"/>
      <c r="U26" s="547"/>
      <c r="V26" s="547"/>
      <c r="W26" s="547"/>
      <c r="X26" s="550">
        <f>X24/X31</f>
        <v>0.10367577756833177</v>
      </c>
      <c r="Y26" s="547"/>
      <c r="Z26" s="547"/>
      <c r="AA26" s="547"/>
      <c r="AB26" s="547"/>
      <c r="AC26" s="550">
        <f>AC24/AC31</f>
        <v>8.604690399865024E-2</v>
      </c>
      <c r="AD26" s="547"/>
      <c r="AE26" s="547"/>
      <c r="AF26" s="547"/>
      <c r="AG26" s="547"/>
      <c r="AH26" s="550">
        <f t="shared" ref="AH26:BK26" si="14">AH24/AH31</f>
        <v>9.1571129857956582E-2</v>
      </c>
      <c r="AI26" s="553">
        <f t="shared" si="14"/>
        <v>0.15279899986109183</v>
      </c>
      <c r="AJ26" s="553">
        <f t="shared" si="14"/>
        <v>0.16084009038947231</v>
      </c>
      <c r="AK26" s="553">
        <f t="shared" si="14"/>
        <v>0.12096774193548387</v>
      </c>
      <c r="AL26" s="553">
        <f t="shared" si="14"/>
        <v>0.1175680214981525</v>
      </c>
      <c r="AM26" s="550">
        <f t="shared" si="14"/>
        <v>0.1397286535909158</v>
      </c>
      <c r="AN26" s="553">
        <f t="shared" si="14"/>
        <v>0.10893896433368155</v>
      </c>
      <c r="AO26" s="553">
        <f t="shared" si="14"/>
        <v>0.11240520043336943</v>
      </c>
      <c r="AP26" s="553">
        <f t="shared" si="14"/>
        <v>0.12054647736405037</v>
      </c>
      <c r="AQ26" s="553">
        <f t="shared" si="14"/>
        <v>0.13333333333333333</v>
      </c>
      <c r="AR26" s="550">
        <f t="shared" si="14"/>
        <v>0.11895238426489514</v>
      </c>
      <c r="AS26" s="553">
        <f t="shared" si="14"/>
        <v>0.11209068010075567</v>
      </c>
      <c r="AT26" s="553">
        <f t="shared" si="14"/>
        <v>4.5842217484008532E-2</v>
      </c>
      <c r="AU26" s="553">
        <f t="shared" si="14"/>
        <v>8.727272727272728E-2</v>
      </c>
      <c r="AV26" s="553">
        <f t="shared" si="14"/>
        <v>0.11156462585034013</v>
      </c>
      <c r="AW26" s="550">
        <f t="shared" si="14"/>
        <v>8.6877278250303766E-2</v>
      </c>
      <c r="AX26" s="553">
        <f t="shared" si="14"/>
        <v>0.17374517374517376</v>
      </c>
      <c r="AY26" s="553">
        <f t="shared" si="14"/>
        <v>0.16020408163265307</v>
      </c>
      <c r="AZ26" s="553">
        <f t="shared" si="14"/>
        <v>0.15675675675675677</v>
      </c>
      <c r="BA26" s="553">
        <f t="shared" si="14"/>
        <v>0.1423650975889782</v>
      </c>
      <c r="BB26" s="550">
        <f t="shared" si="14"/>
        <v>0.1589716684155299</v>
      </c>
      <c r="BC26" s="553">
        <f t="shared" si="14"/>
        <v>0.13663845223700122</v>
      </c>
      <c r="BD26" s="553">
        <f t="shared" si="14"/>
        <v>0.10198300283286119</v>
      </c>
      <c r="BE26" s="553">
        <f t="shared" si="14"/>
        <v>7.9661016949152536E-2</v>
      </c>
      <c r="BF26" s="553">
        <f t="shared" si="14"/>
        <v>7.4652777777777776E-2</v>
      </c>
      <c r="BG26" s="550">
        <f t="shared" si="14"/>
        <v>0.1018895887365691</v>
      </c>
      <c r="BH26" s="553">
        <f t="shared" si="14"/>
        <v>8.0491132332878579E-2</v>
      </c>
      <c r="BI26" s="553">
        <f t="shared" si="14"/>
        <v>9.1030789825970543E-2</v>
      </c>
      <c r="BJ26" s="553">
        <f t="shared" si="14"/>
        <v>0.11781609195402298</v>
      </c>
      <c r="BK26" s="553">
        <f t="shared" si="14"/>
        <v>0.12134502923976608</v>
      </c>
      <c r="BL26" s="550">
        <f t="shared" ref="BL26:BQ26" si="15">BL24/BL31</f>
        <v>0.10209790209790209</v>
      </c>
      <c r="BM26" s="553">
        <f t="shared" si="15"/>
        <v>0.15704154002026344</v>
      </c>
      <c r="BN26" s="553">
        <f t="shared" si="15"/>
        <v>0.14482758620689656</v>
      </c>
      <c r="BO26" s="553">
        <f t="shared" si="15"/>
        <v>0.12219959266802444</v>
      </c>
      <c r="BP26" s="553">
        <f t="shared" si="15"/>
        <v>0.12978986402966625</v>
      </c>
      <c r="BQ26" s="550">
        <f t="shared" si="15"/>
        <v>0.13894015291326128</v>
      </c>
      <c r="BR26" s="553">
        <f>BR24/BR31</f>
        <v>0.15023474178403756</v>
      </c>
      <c r="BS26" s="553">
        <f>BS24/BS31</f>
        <v>9.7029702970297033E-2</v>
      </c>
      <c r="BT26" s="553">
        <f>BT24/BT31</f>
        <v>0.14149694640460822</v>
      </c>
      <c r="BU26" s="675"/>
      <c r="BV26" s="546"/>
      <c r="BW26" s="548"/>
      <c r="BX26" s="548"/>
      <c r="BY26" s="548"/>
      <c r="BZ26" s="548"/>
      <c r="CA26" s="546"/>
      <c r="CB26" s="548"/>
      <c r="CC26" s="548"/>
      <c r="CD26" s="548"/>
      <c r="CE26" s="548"/>
      <c r="CF26" s="546"/>
      <c r="CI26"/>
      <c r="CJ26"/>
      <c r="CK26"/>
      <c r="CL26"/>
      <c r="CM26"/>
      <c r="CN26"/>
      <c r="CO26"/>
      <c r="CP26"/>
      <c r="CQ26"/>
      <c r="CR26"/>
      <c r="CS26"/>
    </row>
    <row r="27" spans="1:97" collapsed="1" x14ac:dyDescent="0.35">
      <c r="A27" s="24"/>
      <c r="B27" s="2" t="s">
        <v>57</v>
      </c>
      <c r="C27" s="658">
        <f>BQ27/BQ$31</f>
        <v>0.66359082520432378</v>
      </c>
      <c r="D27" s="24"/>
      <c r="E27" s="323">
        <f>0.62*E31</f>
        <v>280.61199999999997</v>
      </c>
      <c r="F27" s="323">
        <f>0.6*F31</f>
        <v>264.77999999999997</v>
      </c>
      <c r="G27" s="323">
        <f>0.62*G31</f>
        <v>293.44599999999997</v>
      </c>
      <c r="H27" s="323">
        <f>0.65*H31</f>
        <v>337.54499999999996</v>
      </c>
      <c r="I27" s="219">
        <f>SUM(E27:H27)</f>
        <v>1176.3829999999998</v>
      </c>
      <c r="J27" s="323">
        <f>0.64*J31</f>
        <v>333.6</v>
      </c>
      <c r="K27" s="156">
        <v>343.6</v>
      </c>
      <c r="L27" s="156">
        <v>280.2</v>
      </c>
      <c r="M27" s="156">
        <v>319.60000000000002</v>
      </c>
      <c r="N27" s="219">
        <f>SUM(J27:M27)</f>
        <v>1277</v>
      </c>
      <c r="O27" s="156">
        <v>315.60000000000002</v>
      </c>
      <c r="P27" s="156">
        <v>402.8</v>
      </c>
      <c r="Q27" s="156">
        <v>326.2</v>
      </c>
      <c r="R27" s="156">
        <v>338.4</v>
      </c>
      <c r="S27" s="219">
        <f>SUM(O27:R27)</f>
        <v>1383</v>
      </c>
      <c r="T27" s="156">
        <v>380.9</v>
      </c>
      <c r="U27" s="156">
        <v>412.2</v>
      </c>
      <c r="V27" s="156">
        <v>316.3</v>
      </c>
      <c r="W27" s="156">
        <v>322.60000000000002</v>
      </c>
      <c r="X27" s="219">
        <f>SUM(T27:W27)</f>
        <v>1432</v>
      </c>
      <c r="Y27" s="156">
        <v>294.5</v>
      </c>
      <c r="Z27" s="156">
        <v>389.2</v>
      </c>
      <c r="AA27" s="156">
        <v>382.7</v>
      </c>
      <c r="AB27" s="156">
        <v>374.5</v>
      </c>
      <c r="AC27" s="219">
        <f>SUM(Y27:AB27)</f>
        <v>1440.9</v>
      </c>
      <c r="AD27" s="156">
        <v>431</v>
      </c>
      <c r="AE27" s="156">
        <v>449.1</v>
      </c>
      <c r="AF27" s="156">
        <v>450.5</v>
      </c>
      <c r="AG27" s="156">
        <v>477.2</v>
      </c>
      <c r="AH27" s="219">
        <f>SUM(AD27:AG27)</f>
        <v>1807.8</v>
      </c>
      <c r="AI27" s="156">
        <v>463</v>
      </c>
      <c r="AJ27" s="156">
        <v>495.9</v>
      </c>
      <c r="AK27" s="156">
        <v>390.5</v>
      </c>
      <c r="AL27" s="156">
        <v>336.7</v>
      </c>
      <c r="AM27" s="219">
        <f>SUM(AI27:AL27)</f>
        <v>1686.1000000000001</v>
      </c>
      <c r="AN27" s="173">
        <v>409.9</v>
      </c>
      <c r="AO27" s="173">
        <v>477.6</v>
      </c>
      <c r="AP27" s="173">
        <v>478.6</v>
      </c>
      <c r="AQ27" s="173">
        <v>443</v>
      </c>
      <c r="AR27" s="219">
        <f>SUM(AN27:AQ27)</f>
        <v>1809.1</v>
      </c>
      <c r="AS27" s="173">
        <v>519</v>
      </c>
      <c r="AT27" s="173">
        <v>664</v>
      </c>
      <c r="AU27" s="173">
        <v>548</v>
      </c>
      <c r="AV27" s="173">
        <v>451</v>
      </c>
      <c r="AW27" s="219">
        <f>SUM(AS27:AV27)</f>
        <v>2182</v>
      </c>
      <c r="AX27" s="173">
        <v>745</v>
      </c>
      <c r="AY27" s="173">
        <v>686</v>
      </c>
      <c r="AZ27" s="173">
        <v>631</v>
      </c>
      <c r="BA27" s="173">
        <v>578</v>
      </c>
      <c r="BB27" s="219">
        <f>SUM(AX27:BA27)</f>
        <v>2640</v>
      </c>
      <c r="BC27" s="173">
        <v>529</v>
      </c>
      <c r="BD27" s="173">
        <v>409</v>
      </c>
      <c r="BE27" s="173">
        <v>296</v>
      </c>
      <c r="BF27" s="173">
        <v>277</v>
      </c>
      <c r="BG27" s="219">
        <f>SUM(BC27:BF27)</f>
        <v>1511</v>
      </c>
      <c r="BH27" s="173">
        <v>431</v>
      </c>
      <c r="BI27" s="173">
        <v>443</v>
      </c>
      <c r="BJ27" s="173">
        <v>388</v>
      </c>
      <c r="BK27" s="173">
        <v>375</v>
      </c>
      <c r="BL27" s="219">
        <f>SUM(BH27:BK27)</f>
        <v>1637</v>
      </c>
      <c r="BM27" s="173">
        <v>677</v>
      </c>
      <c r="BN27" s="173">
        <v>692</v>
      </c>
      <c r="BO27" s="173">
        <v>663</v>
      </c>
      <c r="BP27" s="173">
        <v>485</v>
      </c>
      <c r="BQ27" s="219">
        <f>SUM(BM27:BP27)</f>
        <v>2517</v>
      </c>
      <c r="BR27" s="173">
        <v>732</v>
      </c>
      <c r="BS27" s="173">
        <v>663</v>
      </c>
      <c r="BT27" s="175">
        <f>BO27*(1+BT28)</f>
        <v>752.505</v>
      </c>
      <c r="BU27" s="175">
        <f>BP27*(1+BU28)</f>
        <v>550.47500000000002</v>
      </c>
      <c r="BV27" s="219">
        <f>SUM(BR27:BU27)</f>
        <v>2697.98</v>
      </c>
      <c r="BW27" s="175">
        <f>BR27*(1+BW28)</f>
        <v>805.2</v>
      </c>
      <c r="BX27" s="175">
        <f>BS27*(1+BX28)</f>
        <v>729.30000000000007</v>
      </c>
      <c r="BY27" s="175">
        <f>BT27*(1+BY28)</f>
        <v>812.70540000000005</v>
      </c>
      <c r="BZ27" s="175">
        <f>BU27*(1+BZ28)</f>
        <v>594.51300000000003</v>
      </c>
      <c r="CA27" s="219">
        <f>SUM(BW27:BZ27)</f>
        <v>2941.7183999999997</v>
      </c>
      <c r="CB27" s="175">
        <f>BW27*(1+CB28)</f>
        <v>865.59</v>
      </c>
      <c r="CC27" s="175">
        <f>BX27*(1+CC28)</f>
        <v>783.99750000000006</v>
      </c>
      <c r="CD27" s="175">
        <f>BY27*(1+CD28)</f>
        <v>873.65830500000004</v>
      </c>
      <c r="CE27" s="175">
        <f>BZ27*(1+CE28)</f>
        <v>639.10147500000005</v>
      </c>
      <c r="CF27" s="219">
        <f>SUM(CB27:CE27)</f>
        <v>3162.34728</v>
      </c>
      <c r="CI27"/>
      <c r="CJ27"/>
      <c r="CK27"/>
      <c r="CL27"/>
      <c r="CM27"/>
      <c r="CN27"/>
      <c r="CO27"/>
      <c r="CP27"/>
      <c r="CQ27"/>
      <c r="CR27"/>
      <c r="CS27"/>
    </row>
    <row r="28" spans="1:97" x14ac:dyDescent="0.35">
      <c r="A28" s="24"/>
      <c r="B28" s="145" t="s">
        <v>56</v>
      </c>
      <c r="C28" s="24"/>
      <c r="D28" s="24"/>
      <c r="E28" s="147"/>
      <c r="F28" s="147"/>
      <c r="G28" s="147"/>
      <c r="H28" s="147"/>
      <c r="I28" s="426" t="str">
        <f>IFERROR( I27/#REF!-1, "NA")</f>
        <v>NA</v>
      </c>
      <c r="J28" s="153">
        <f t="shared" ref="J28:AC28" si="16">IFERROR( J27/E27-1, "NA")</f>
        <v>0.18883012843356695</v>
      </c>
      <c r="K28" s="153">
        <f t="shared" si="16"/>
        <v>0.29768109373819795</v>
      </c>
      <c r="L28" s="153">
        <f t="shared" si="16"/>
        <v>-4.5139480517710218E-2</v>
      </c>
      <c r="M28" s="153">
        <f t="shared" si="16"/>
        <v>-5.3163281932779194E-2</v>
      </c>
      <c r="N28" s="184">
        <f t="shared" si="16"/>
        <v>8.5530817769383205E-2</v>
      </c>
      <c r="O28" s="153">
        <f t="shared" si="16"/>
        <v>-5.3956834532374098E-2</v>
      </c>
      <c r="P28" s="153">
        <f t="shared" si="16"/>
        <v>0.17229336437718268</v>
      </c>
      <c r="Q28" s="153">
        <f t="shared" si="16"/>
        <v>0.16416845110635259</v>
      </c>
      <c r="R28" s="153">
        <f t="shared" si="16"/>
        <v>5.8823529411764497E-2</v>
      </c>
      <c r="S28" s="184">
        <f t="shared" si="16"/>
        <v>8.3007047768206776E-2</v>
      </c>
      <c r="T28" s="153">
        <f t="shared" si="16"/>
        <v>0.20690747782002528</v>
      </c>
      <c r="U28" s="153">
        <f t="shared" si="16"/>
        <v>2.3336643495531328E-2</v>
      </c>
      <c r="V28" s="153">
        <f t="shared" si="16"/>
        <v>-3.0349478847332856E-2</v>
      </c>
      <c r="W28" s="153">
        <f t="shared" si="16"/>
        <v>-4.6690307328605019E-2</v>
      </c>
      <c r="X28" s="184">
        <f t="shared" si="16"/>
        <v>3.5430224150397649E-2</v>
      </c>
      <c r="Y28" s="153">
        <f>IFERROR( Y27/T27-1, "NA")</f>
        <v>-0.22683118928852708</v>
      </c>
      <c r="Z28" s="153">
        <f t="shared" si="16"/>
        <v>-5.5798156234837415E-2</v>
      </c>
      <c r="AA28" s="153">
        <f t="shared" si="16"/>
        <v>0.209927284223838</v>
      </c>
      <c r="AB28" s="153">
        <f t="shared" si="16"/>
        <v>0.1608803471791691</v>
      </c>
      <c r="AC28" s="184">
        <f t="shared" si="16"/>
        <v>6.2150837988828034E-3</v>
      </c>
      <c r="AD28" s="153">
        <f t="shared" ref="AD28:AN28" si="17">IFERROR( AD27/Y27-1, "NA")</f>
        <v>0.46349745331069614</v>
      </c>
      <c r="AE28" s="153">
        <f t="shared" si="17"/>
        <v>0.15390544707091469</v>
      </c>
      <c r="AF28" s="153">
        <f t="shared" si="17"/>
        <v>0.17716226809511371</v>
      </c>
      <c r="AG28" s="153">
        <f t="shared" si="17"/>
        <v>0.2742323097463284</v>
      </c>
      <c r="AH28" s="184">
        <f t="shared" si="17"/>
        <v>0.25463252134082848</v>
      </c>
      <c r="AI28" s="153">
        <f>IFERROR( AI27/AD27-1, "NA")</f>
        <v>7.4245939675174011E-2</v>
      </c>
      <c r="AJ28" s="153">
        <f>IFERROR( AJ27/AE27-1, "NA")</f>
        <v>0.10420841683366722</v>
      </c>
      <c r="AK28" s="153">
        <f>IFERROR( AK27/AF27-1, "NA")</f>
        <v>-0.13318534961154271</v>
      </c>
      <c r="AL28" s="153">
        <f>IFERROR( AL27/AG27-1, "NA")</f>
        <v>-0.29442581726739314</v>
      </c>
      <c r="AM28" s="52">
        <f>IFERROR( AM27/AH27-1, "NA")</f>
        <v>-6.7319393738245248E-2</v>
      </c>
      <c r="AN28" s="153">
        <f t="shared" si="17"/>
        <v>-0.11468682505399574</v>
      </c>
      <c r="AO28" s="153">
        <f t="shared" ref="AO28:BD28" si="18">IFERROR( AO27/AJ27-1, "NA")</f>
        <v>-3.6902601330913387E-2</v>
      </c>
      <c r="AP28" s="153">
        <f t="shared" si="18"/>
        <v>0.22560819462227921</v>
      </c>
      <c r="AQ28" s="153">
        <f t="shared" si="18"/>
        <v>0.31571131571131583</v>
      </c>
      <c r="AR28" s="47">
        <f>IFERROR( AR27/AM27-1, "NA")</f>
        <v>7.2949409880789906E-2</v>
      </c>
      <c r="AS28" s="153">
        <f t="shared" si="18"/>
        <v>0.26616247865333009</v>
      </c>
      <c r="AT28" s="153">
        <f t="shared" si="18"/>
        <v>0.39028475711892785</v>
      </c>
      <c r="AU28" s="153">
        <f t="shared" si="18"/>
        <v>0.14500626828249064</v>
      </c>
      <c r="AV28" s="153">
        <f t="shared" si="18"/>
        <v>1.8058690744920947E-2</v>
      </c>
      <c r="AW28" s="47">
        <f>IFERROR( AW27/AR27-1, "NA")</f>
        <v>0.20612459233873204</v>
      </c>
      <c r="AX28" s="153">
        <f t="shared" si="18"/>
        <v>0.43545279383429669</v>
      </c>
      <c r="AY28" s="153">
        <f t="shared" si="18"/>
        <v>3.3132530120481896E-2</v>
      </c>
      <c r="AZ28" s="153">
        <f t="shared" si="18"/>
        <v>0.1514598540145986</v>
      </c>
      <c r="BA28" s="153">
        <f t="shared" si="18"/>
        <v>0.28159645232815955</v>
      </c>
      <c r="BB28" s="47">
        <f>IFERROR( BB27/AW27-1, "NA")</f>
        <v>0.20989917506874423</v>
      </c>
      <c r="BC28" s="153">
        <f t="shared" si="18"/>
        <v>-0.28993288590604027</v>
      </c>
      <c r="BD28" s="153">
        <f t="shared" si="18"/>
        <v>-0.40379008746355682</v>
      </c>
      <c r="BE28" s="153">
        <f t="shared" ref="BE28:BT28" si="19">IFERROR( BE27/AZ27-1, "NA")</f>
        <v>-0.53090332805071316</v>
      </c>
      <c r="BF28" s="153">
        <f t="shared" si="19"/>
        <v>-0.52076124567474047</v>
      </c>
      <c r="BG28" s="47">
        <f t="shared" si="19"/>
        <v>-0.42765151515151512</v>
      </c>
      <c r="BH28" s="153">
        <f t="shared" si="19"/>
        <v>-0.18525519848771266</v>
      </c>
      <c r="BI28" s="153">
        <f t="shared" si="19"/>
        <v>8.312958435207829E-2</v>
      </c>
      <c r="BJ28" s="153">
        <f t="shared" si="19"/>
        <v>0.31081081081081074</v>
      </c>
      <c r="BK28" s="153">
        <f t="shared" si="19"/>
        <v>0.35379061371841147</v>
      </c>
      <c r="BL28" s="47">
        <f>IFERROR( BL27/BG27-1, "NA")</f>
        <v>8.338848444738578E-2</v>
      </c>
      <c r="BM28" s="153">
        <f t="shared" si="19"/>
        <v>0.57076566125290018</v>
      </c>
      <c r="BN28" s="153">
        <f t="shared" si="19"/>
        <v>0.56207674943566599</v>
      </c>
      <c r="BO28" s="153">
        <f t="shared" si="19"/>
        <v>0.70876288659793807</v>
      </c>
      <c r="BP28" s="153">
        <f t="shared" si="19"/>
        <v>0.29333333333333322</v>
      </c>
      <c r="BQ28" s="47">
        <f>IFERROR( BQ27/BL27-1, "NA")</f>
        <v>0.53756872327428229</v>
      </c>
      <c r="BR28" s="153">
        <f t="shared" si="19"/>
        <v>8.1240768094534621E-2</v>
      </c>
      <c r="BS28" s="153">
        <f t="shared" si="19"/>
        <v>-4.1907514450867045E-2</v>
      </c>
      <c r="BT28" s="205">
        <v>0.13500000000000001</v>
      </c>
      <c r="BU28" s="205">
        <v>0.13500000000000001</v>
      </c>
      <c r="BV28" s="47">
        <f>IFERROR( BV27/BQ27-1, "NA")</f>
        <v>7.1903059197457209E-2</v>
      </c>
      <c r="BW28" s="205">
        <v>0.1</v>
      </c>
      <c r="BX28" s="205">
        <v>0.1</v>
      </c>
      <c r="BY28" s="205">
        <v>0.08</v>
      </c>
      <c r="BZ28" s="205">
        <v>0.08</v>
      </c>
      <c r="CA28" s="47">
        <f>IFERROR( CA27/BV27-1, "NA")</f>
        <v>9.0341069985692801E-2</v>
      </c>
      <c r="CB28" s="205">
        <v>7.4999999999999997E-2</v>
      </c>
      <c r="CC28" s="205">
        <v>7.4999999999999997E-2</v>
      </c>
      <c r="CD28" s="205">
        <v>7.4999999999999997E-2</v>
      </c>
      <c r="CE28" s="205">
        <v>7.4999999999999997E-2</v>
      </c>
      <c r="CF28" s="47">
        <f>IFERROR( CF27/CA27-1, "NA")</f>
        <v>7.5000000000000178E-2</v>
      </c>
      <c r="CI28"/>
      <c r="CJ28"/>
      <c r="CK28"/>
      <c r="CL28"/>
      <c r="CM28"/>
      <c r="CN28"/>
      <c r="CO28"/>
      <c r="CP28"/>
      <c r="CQ28"/>
      <c r="CR28"/>
      <c r="CS28"/>
    </row>
    <row r="29" spans="1:97" x14ac:dyDescent="0.35">
      <c r="A29" s="24"/>
      <c r="B29" s="2" t="s">
        <v>498</v>
      </c>
      <c r="C29" s="658">
        <f>BQ29/BQ$31</f>
        <v>0.33640917479567622</v>
      </c>
      <c r="D29" s="24"/>
      <c r="E29" s="323">
        <f>0.38*E31</f>
        <v>171.988</v>
      </c>
      <c r="F29" s="323">
        <f>0.4*F31</f>
        <v>176.51999999999998</v>
      </c>
      <c r="G29" s="323">
        <f>0.38*G31</f>
        <v>179.85399999999998</v>
      </c>
      <c r="H29" s="323">
        <f>0.35*H31</f>
        <v>181.75499999999997</v>
      </c>
      <c r="I29" s="219">
        <f>SUM(E29:H29)</f>
        <v>710.11699999999996</v>
      </c>
      <c r="J29" s="323">
        <f>0.36*J31</f>
        <v>187.65</v>
      </c>
      <c r="K29" s="156">
        <v>193.7</v>
      </c>
      <c r="L29" s="156">
        <v>197.9</v>
      </c>
      <c r="M29" s="156">
        <v>206.4</v>
      </c>
      <c r="N29" s="219">
        <f>SUM(J29:M29)</f>
        <v>785.65</v>
      </c>
      <c r="O29" s="156">
        <v>213.5</v>
      </c>
      <c r="P29" s="156">
        <v>222.2</v>
      </c>
      <c r="Q29" s="156">
        <v>220.4</v>
      </c>
      <c r="R29" s="156">
        <v>226.7</v>
      </c>
      <c r="S29" s="219">
        <f>SUM(O29:R29)</f>
        <v>882.8</v>
      </c>
      <c r="T29" s="156">
        <v>221.4</v>
      </c>
      <c r="U29" s="156">
        <v>227</v>
      </c>
      <c r="V29" s="156">
        <v>231.8</v>
      </c>
      <c r="W29" s="156">
        <v>222</v>
      </c>
      <c r="X29" s="219">
        <f>SUM(T29:W29)</f>
        <v>902.2</v>
      </c>
      <c r="Y29" s="156">
        <v>230.6</v>
      </c>
      <c r="Z29" s="156">
        <v>236.4</v>
      </c>
      <c r="AA29" s="156">
        <v>229.6</v>
      </c>
      <c r="AB29" s="156">
        <v>233.3</v>
      </c>
      <c r="AC29" s="219">
        <f>SUM(Y29:AB29)</f>
        <v>929.90000000000009</v>
      </c>
      <c r="AD29" s="156">
        <v>237.2</v>
      </c>
      <c r="AE29" s="156">
        <v>237.6</v>
      </c>
      <c r="AF29" s="156">
        <v>243.7</v>
      </c>
      <c r="AG29" s="156">
        <v>247.5</v>
      </c>
      <c r="AH29" s="219">
        <f>SUM(AD29:AG29)</f>
        <v>966</v>
      </c>
      <c r="AI29" s="156">
        <v>256.89999999999998</v>
      </c>
      <c r="AJ29" s="156">
        <v>256.39999999999998</v>
      </c>
      <c r="AK29" s="156">
        <v>254.3</v>
      </c>
      <c r="AL29" s="156">
        <v>258.7</v>
      </c>
      <c r="AM29" s="219">
        <f>SUM(AI29:AL29)</f>
        <v>1026.3</v>
      </c>
      <c r="AN29" s="160">
        <v>260.2</v>
      </c>
      <c r="AO29" s="160">
        <v>260.8</v>
      </c>
      <c r="AP29" s="160">
        <v>268</v>
      </c>
      <c r="AQ29" s="160">
        <v>277</v>
      </c>
      <c r="AR29" s="219">
        <f>SUM(AN29:AQ29)</f>
        <v>1066</v>
      </c>
      <c r="AS29" s="160">
        <v>275</v>
      </c>
      <c r="AT29" s="160">
        <v>274</v>
      </c>
      <c r="AU29" s="160">
        <v>277</v>
      </c>
      <c r="AV29" s="160">
        <v>284</v>
      </c>
      <c r="AW29" s="219">
        <f>SUM(AS29:AV29)</f>
        <v>1110</v>
      </c>
      <c r="AX29" s="160">
        <v>291</v>
      </c>
      <c r="AY29" s="160">
        <v>294</v>
      </c>
      <c r="AZ29" s="160">
        <v>294</v>
      </c>
      <c r="BA29" s="160">
        <v>293</v>
      </c>
      <c r="BB29" s="219">
        <f>SUM(AX29:BA29)</f>
        <v>1172</v>
      </c>
      <c r="BC29" s="160">
        <v>298</v>
      </c>
      <c r="BD29" s="160">
        <v>297</v>
      </c>
      <c r="BE29" s="160">
        <v>294</v>
      </c>
      <c r="BF29" s="160">
        <v>299</v>
      </c>
      <c r="BG29" s="219">
        <f>SUM(BC29:BF29)</f>
        <v>1188</v>
      </c>
      <c r="BH29" s="160">
        <v>302</v>
      </c>
      <c r="BI29" s="160">
        <v>304</v>
      </c>
      <c r="BJ29" s="160">
        <v>308</v>
      </c>
      <c r="BK29" s="160">
        <v>309</v>
      </c>
      <c r="BL29" s="219">
        <f>SUM(BH29:BK29)</f>
        <v>1223</v>
      </c>
      <c r="BM29" s="160">
        <v>310</v>
      </c>
      <c r="BN29" s="160">
        <v>323</v>
      </c>
      <c r="BO29" s="160">
        <v>319</v>
      </c>
      <c r="BP29" s="160">
        <v>324</v>
      </c>
      <c r="BQ29" s="219">
        <f>SUM(BM29:BP29)</f>
        <v>1276</v>
      </c>
      <c r="BR29" s="160">
        <v>333</v>
      </c>
      <c r="BS29" s="160">
        <v>347</v>
      </c>
      <c r="BT29" s="162">
        <f>BO29*(1+BT30)</f>
        <v>342.92500000000001</v>
      </c>
      <c r="BU29" s="162">
        <f>BP29*(1+BU30)</f>
        <v>348.3</v>
      </c>
      <c r="BV29" s="219">
        <f>SUM(BR29:BU29)</f>
        <v>1371.2249999999999</v>
      </c>
      <c r="BW29" s="175">
        <f>BR29*(1+BW30)</f>
        <v>354.64499999999998</v>
      </c>
      <c r="BX29" s="175">
        <f>BS29*(1+BX30)</f>
        <v>369.55500000000001</v>
      </c>
      <c r="BY29" s="175">
        <f>BT29*(1+BY30)</f>
        <v>361.78587499999998</v>
      </c>
      <c r="BZ29" s="175">
        <f>BU29*(1+BZ30)</f>
        <v>367.45650000000001</v>
      </c>
      <c r="CA29" s="219">
        <f>SUM(BW29:BZ29)</f>
        <v>1453.4423750000001</v>
      </c>
      <c r="CB29" s="175">
        <f>BW29*(1+CB30)</f>
        <v>374.15047499999997</v>
      </c>
      <c r="CC29" s="175">
        <f>BX29*(1+CC30)</f>
        <v>389.88052499999998</v>
      </c>
      <c r="CD29" s="175">
        <f>BY29*(1+CD30)</f>
        <v>381.68409812499993</v>
      </c>
      <c r="CE29" s="175">
        <f>BZ29*(1+CE30)</f>
        <v>387.6666075</v>
      </c>
      <c r="CF29" s="219">
        <f>SUM(CB29:CE29)</f>
        <v>1533.381705625</v>
      </c>
      <c r="CI29"/>
      <c r="CJ29"/>
      <c r="CK29"/>
      <c r="CL29"/>
      <c r="CM29"/>
      <c r="CN29"/>
      <c r="CO29"/>
      <c r="CP29"/>
      <c r="CQ29"/>
      <c r="CR29"/>
      <c r="CS29"/>
    </row>
    <row r="30" spans="1:97" ht="13.15" thickBot="1" x14ac:dyDescent="0.4">
      <c r="A30" s="24"/>
      <c r="B30" s="145" t="s">
        <v>56</v>
      </c>
      <c r="C30" s="24"/>
      <c r="D30" s="24"/>
      <c r="E30" s="147"/>
      <c r="F30" s="147"/>
      <c r="G30" s="147"/>
      <c r="H30" s="147"/>
      <c r="I30" s="426" t="str">
        <f>IFERROR( I29/#REF!-1, "NA")</f>
        <v>NA</v>
      </c>
      <c r="J30" s="153">
        <f t="shared" ref="J30:AC30" si="20">IFERROR( J29/E29-1, "NA")</f>
        <v>9.1064492871595792E-2</v>
      </c>
      <c r="K30" s="153">
        <f t="shared" si="20"/>
        <v>9.7326082030364969E-2</v>
      </c>
      <c r="L30" s="153">
        <f t="shared" si="20"/>
        <v>0.10033693996241411</v>
      </c>
      <c r="M30" s="153">
        <f t="shared" si="20"/>
        <v>0.13559461913014803</v>
      </c>
      <c r="N30" s="184">
        <f t="shared" si="20"/>
        <v>0.10636697896262159</v>
      </c>
      <c r="O30" s="153">
        <f>IFERROR( O29/J29-1, "NA")</f>
        <v>0.13775646149746867</v>
      </c>
      <c r="P30" s="153">
        <f t="shared" si="20"/>
        <v>0.14713474445018071</v>
      </c>
      <c r="Q30" s="153">
        <f t="shared" si="20"/>
        <v>0.11369378473976766</v>
      </c>
      <c r="R30" s="153">
        <f t="shared" si="20"/>
        <v>9.8352713178294415E-2</v>
      </c>
      <c r="S30" s="184">
        <f t="shared" si="20"/>
        <v>0.12365557181951248</v>
      </c>
      <c r="T30" s="153">
        <f t="shared" si="20"/>
        <v>3.700234192037466E-2</v>
      </c>
      <c r="U30" s="153">
        <f t="shared" si="20"/>
        <v>2.1602160216021682E-2</v>
      </c>
      <c r="V30" s="153">
        <f t="shared" si="20"/>
        <v>5.1724137931034475E-2</v>
      </c>
      <c r="W30" s="153">
        <f t="shared" si="20"/>
        <v>-2.0732245258050286E-2</v>
      </c>
      <c r="X30" s="184">
        <f t="shared" si="20"/>
        <v>2.1975532396919073E-2</v>
      </c>
      <c r="Y30" s="153">
        <f t="shared" si="20"/>
        <v>4.1553748870821972E-2</v>
      </c>
      <c r="Z30" s="153">
        <f t="shared" si="20"/>
        <v>4.1409691629956003E-2</v>
      </c>
      <c r="AA30" s="153">
        <f t="shared" si="20"/>
        <v>-9.4909404659189178E-3</v>
      </c>
      <c r="AB30" s="153">
        <f t="shared" si="20"/>
        <v>5.0900900900900936E-2</v>
      </c>
      <c r="AC30" s="184">
        <f t="shared" si="20"/>
        <v>3.0702726668144553E-2</v>
      </c>
      <c r="AD30" s="153">
        <f t="shared" ref="AD30:AH30" si="21">IFERROR( AD29/Y29-1, "NA")</f>
        <v>2.8620988725065022E-2</v>
      </c>
      <c r="AE30" s="153">
        <f t="shared" si="21"/>
        <v>5.0761421319795996E-3</v>
      </c>
      <c r="AF30" s="153">
        <f t="shared" si="21"/>
        <v>6.1411149825783884E-2</v>
      </c>
      <c r="AG30" s="153">
        <f t="shared" si="21"/>
        <v>6.0865837976853854E-2</v>
      </c>
      <c r="AH30" s="184">
        <f t="shared" si="21"/>
        <v>3.8821378642864612E-2</v>
      </c>
      <c r="AI30" s="153">
        <f t="shared" ref="AI30:AN30" si="22">IFERROR( AI29/AD29-1, "NA")</f>
        <v>8.3052276559865135E-2</v>
      </c>
      <c r="AJ30" s="153">
        <f t="shared" si="22"/>
        <v>7.9124579124579153E-2</v>
      </c>
      <c r="AK30" s="153">
        <f t="shared" si="22"/>
        <v>4.3496101764464612E-2</v>
      </c>
      <c r="AL30" s="153">
        <f t="shared" si="22"/>
        <v>4.52525252525251E-2</v>
      </c>
      <c r="AM30" s="52">
        <f t="shared" si="22"/>
        <v>6.2422360248447051E-2</v>
      </c>
      <c r="AN30" s="153">
        <f t="shared" si="22"/>
        <v>1.2845465161541503E-2</v>
      </c>
      <c r="AO30" s="153">
        <f t="shared" ref="AO30:BD30" si="23">IFERROR( AO29/AJ29-1, "NA")</f>
        <v>1.7160686427457161E-2</v>
      </c>
      <c r="AP30" s="153">
        <f t="shared" si="23"/>
        <v>5.3873377900117925E-2</v>
      </c>
      <c r="AQ30" s="153">
        <f t="shared" si="23"/>
        <v>7.0738306919211569E-2</v>
      </c>
      <c r="AR30" s="47">
        <f>IFERROR( AR29/AM29-1, "NA")</f>
        <v>3.8682646399688325E-2</v>
      </c>
      <c r="AS30" s="153">
        <f t="shared" si="23"/>
        <v>5.6879323597232911E-2</v>
      </c>
      <c r="AT30" s="153">
        <f t="shared" si="23"/>
        <v>5.0613496932515378E-2</v>
      </c>
      <c r="AU30" s="153">
        <f t="shared" si="23"/>
        <v>3.3582089552238736E-2</v>
      </c>
      <c r="AV30" s="153">
        <f t="shared" si="23"/>
        <v>2.5270758122743597E-2</v>
      </c>
      <c r="AW30" s="47">
        <f>IFERROR( AW29/AR29-1, "NA")</f>
        <v>4.1275797373358403E-2</v>
      </c>
      <c r="AX30" s="153">
        <f t="shared" si="23"/>
        <v>5.8181818181818112E-2</v>
      </c>
      <c r="AY30" s="153">
        <f t="shared" si="23"/>
        <v>7.2992700729926918E-2</v>
      </c>
      <c r="AZ30" s="153">
        <f t="shared" si="23"/>
        <v>6.1371841155234641E-2</v>
      </c>
      <c r="BA30" s="153">
        <f t="shared" si="23"/>
        <v>3.1690140845070491E-2</v>
      </c>
      <c r="BB30" s="47">
        <f>IFERROR( BB29/AW29-1, "NA")</f>
        <v>5.5855855855855951E-2</v>
      </c>
      <c r="BC30" s="153">
        <f t="shared" si="23"/>
        <v>2.405498281786933E-2</v>
      </c>
      <c r="BD30" s="153">
        <f t="shared" si="23"/>
        <v>1.0204081632652962E-2</v>
      </c>
      <c r="BE30" s="153">
        <f t="shared" ref="BE30:BT30" si="24">IFERROR( BE29/AZ29-1, "NA")</f>
        <v>0</v>
      </c>
      <c r="BF30" s="153">
        <f t="shared" si="24"/>
        <v>2.0477815699658786E-2</v>
      </c>
      <c r="BG30" s="47">
        <f t="shared" si="24"/>
        <v>1.3651877133105783E-2</v>
      </c>
      <c r="BH30" s="153">
        <f t="shared" si="24"/>
        <v>1.3422818791946289E-2</v>
      </c>
      <c r="BI30" s="153">
        <f t="shared" si="24"/>
        <v>2.3569023569023573E-2</v>
      </c>
      <c r="BJ30" s="153">
        <f t="shared" si="24"/>
        <v>4.7619047619047672E-2</v>
      </c>
      <c r="BK30" s="153">
        <f t="shared" si="24"/>
        <v>3.3444816053511683E-2</v>
      </c>
      <c r="BL30" s="47">
        <f>IFERROR( BL29/BG29-1, "NA")</f>
        <v>2.946127946127941E-2</v>
      </c>
      <c r="BM30" s="153">
        <f t="shared" si="24"/>
        <v>2.6490066225165476E-2</v>
      </c>
      <c r="BN30" s="153">
        <f t="shared" si="24"/>
        <v>6.25E-2</v>
      </c>
      <c r="BO30" s="153">
        <f t="shared" si="24"/>
        <v>3.5714285714285809E-2</v>
      </c>
      <c r="BP30" s="153">
        <f t="shared" si="24"/>
        <v>4.8543689320388328E-2</v>
      </c>
      <c r="BQ30" s="47">
        <f>IFERROR( BQ29/BL29-1, "NA")</f>
        <v>4.333605887162717E-2</v>
      </c>
      <c r="BR30" s="153">
        <f t="shared" si="24"/>
        <v>7.4193548387096797E-2</v>
      </c>
      <c r="BS30" s="153">
        <f t="shared" si="24"/>
        <v>7.4303405572755388E-2</v>
      </c>
      <c r="BT30" s="205">
        <v>7.4999999999999997E-2</v>
      </c>
      <c r="BU30" s="205">
        <v>7.4999999999999997E-2</v>
      </c>
      <c r="BV30" s="47">
        <f>IFERROR( BV29/BQ29-1, "NA")</f>
        <v>7.4627742946708375E-2</v>
      </c>
      <c r="BW30" s="205">
        <v>6.5000000000000002E-2</v>
      </c>
      <c r="BX30" s="205">
        <v>6.5000000000000002E-2</v>
      </c>
      <c r="BY30" s="205">
        <v>5.5E-2</v>
      </c>
      <c r="BZ30" s="205">
        <v>5.5E-2</v>
      </c>
      <c r="CA30" s="47">
        <f>IFERROR( CA29/BV29-1, "NA")</f>
        <v>5.9959069445204127E-2</v>
      </c>
      <c r="CB30" s="205">
        <v>5.5E-2</v>
      </c>
      <c r="CC30" s="205">
        <v>5.5E-2</v>
      </c>
      <c r="CD30" s="205">
        <v>5.5E-2</v>
      </c>
      <c r="CE30" s="205">
        <v>5.5E-2</v>
      </c>
      <c r="CF30" s="47">
        <f>IFERROR( CF29/CA29-1, "NA")</f>
        <v>5.4999999999999938E-2</v>
      </c>
      <c r="CI30"/>
      <c r="CJ30"/>
      <c r="CK30"/>
      <c r="CL30"/>
      <c r="CM30"/>
      <c r="CN30"/>
      <c r="CO30"/>
      <c r="CP30"/>
      <c r="CQ30"/>
      <c r="CR30"/>
      <c r="CS30"/>
    </row>
    <row r="31" spans="1:97" ht="12.75" customHeight="1" thickBot="1" x14ac:dyDescent="0.4">
      <c r="A31" s="24"/>
      <c r="B31" s="107" t="s">
        <v>55</v>
      </c>
      <c r="C31" s="107"/>
      <c r="D31" s="107"/>
      <c r="E31" s="168">
        <f t="shared" ref="E31:J31" si="25">E16+E18+E20+E22</f>
        <v>452.59999999999997</v>
      </c>
      <c r="F31" s="168">
        <f t="shared" si="25"/>
        <v>441.29999999999995</v>
      </c>
      <c r="G31" s="168">
        <f t="shared" si="25"/>
        <v>473.29999999999995</v>
      </c>
      <c r="H31" s="168">
        <f t="shared" si="25"/>
        <v>519.29999999999995</v>
      </c>
      <c r="I31" s="169">
        <f t="shared" si="25"/>
        <v>1886.5</v>
      </c>
      <c r="J31" s="168">
        <f t="shared" si="25"/>
        <v>521.25</v>
      </c>
      <c r="K31" s="168">
        <f>K29+K27</f>
        <v>537.29999999999995</v>
      </c>
      <c r="L31" s="168">
        <f>L29+L27</f>
        <v>478.1</v>
      </c>
      <c r="M31" s="168">
        <f>M29+M27</f>
        <v>526</v>
      </c>
      <c r="N31" s="169">
        <f>N16+N18+N20+N22</f>
        <v>2062.65</v>
      </c>
      <c r="O31" s="168">
        <f t="shared" ref="O31:T31" si="26">O29+O27</f>
        <v>529.1</v>
      </c>
      <c r="P31" s="168">
        <f t="shared" si="26"/>
        <v>625</v>
      </c>
      <c r="Q31" s="168">
        <f t="shared" si="26"/>
        <v>546.6</v>
      </c>
      <c r="R31" s="168">
        <f t="shared" si="26"/>
        <v>565.09999999999991</v>
      </c>
      <c r="S31" s="169">
        <f t="shared" si="26"/>
        <v>2265.8000000000002</v>
      </c>
      <c r="T31" s="168">
        <f t="shared" si="26"/>
        <v>602.29999999999995</v>
      </c>
      <c r="U31" s="168">
        <f t="shared" ref="U31:AW31" si="27">U29+U27</f>
        <v>639.20000000000005</v>
      </c>
      <c r="V31" s="168">
        <f t="shared" si="27"/>
        <v>548.1</v>
      </c>
      <c r="W31" s="168">
        <f t="shared" si="27"/>
        <v>544.6</v>
      </c>
      <c r="X31" s="169">
        <f t="shared" si="27"/>
        <v>2334.1999999999998</v>
      </c>
      <c r="Y31" s="168">
        <f t="shared" si="27"/>
        <v>525.1</v>
      </c>
      <c r="Z31" s="168">
        <f t="shared" si="27"/>
        <v>625.6</v>
      </c>
      <c r="AA31" s="168">
        <f t="shared" si="27"/>
        <v>612.29999999999995</v>
      </c>
      <c r="AB31" s="168">
        <f t="shared" si="27"/>
        <v>607.79999999999995</v>
      </c>
      <c r="AC31" s="169">
        <f t="shared" si="27"/>
        <v>2370.8000000000002</v>
      </c>
      <c r="AD31" s="168">
        <f t="shared" si="27"/>
        <v>668.2</v>
      </c>
      <c r="AE31" s="168">
        <f t="shared" si="27"/>
        <v>686.7</v>
      </c>
      <c r="AF31" s="168">
        <f t="shared" si="27"/>
        <v>694.2</v>
      </c>
      <c r="AG31" s="168">
        <f t="shared" si="27"/>
        <v>724.7</v>
      </c>
      <c r="AH31" s="169">
        <f t="shared" si="27"/>
        <v>2773.8</v>
      </c>
      <c r="AI31" s="168">
        <f t="shared" si="27"/>
        <v>719.9</v>
      </c>
      <c r="AJ31" s="168">
        <f t="shared" si="27"/>
        <v>752.3</v>
      </c>
      <c r="AK31" s="168">
        <f t="shared" si="27"/>
        <v>644.79999999999995</v>
      </c>
      <c r="AL31" s="168">
        <f t="shared" si="27"/>
        <v>595.4</v>
      </c>
      <c r="AM31" s="169">
        <f t="shared" si="27"/>
        <v>2712.4</v>
      </c>
      <c r="AN31" s="168">
        <f t="shared" si="27"/>
        <v>670.09999999999991</v>
      </c>
      <c r="AO31" s="168">
        <f>AO16+AO18+AO20+AO22</f>
        <v>738.40000000000009</v>
      </c>
      <c r="AP31" s="168">
        <f>AP16+AP18+AP20+AP22</f>
        <v>746.59999999999991</v>
      </c>
      <c r="AQ31" s="168">
        <f>AQ16+AQ18+AQ20+AQ22</f>
        <v>720</v>
      </c>
      <c r="AR31" s="169">
        <f t="shared" si="27"/>
        <v>2875.1</v>
      </c>
      <c r="AS31" s="168">
        <f>AS16+AS18+AS20+AS22</f>
        <v>794</v>
      </c>
      <c r="AT31" s="168">
        <f>AT16+AT18+AT20+AT22</f>
        <v>938</v>
      </c>
      <c r="AU31" s="168">
        <f>AU16+AU18+AU20+AU22</f>
        <v>825</v>
      </c>
      <c r="AV31" s="168">
        <f>AV16+AV18+AV20+AV22</f>
        <v>735</v>
      </c>
      <c r="AW31" s="169">
        <f t="shared" si="27"/>
        <v>3292</v>
      </c>
      <c r="AX31" s="217">
        <f t="shared" ref="AX31:BV31" si="28">AX29+AX27</f>
        <v>1036</v>
      </c>
      <c r="AY31" s="217">
        <f t="shared" si="28"/>
        <v>980</v>
      </c>
      <c r="AZ31" s="217">
        <f t="shared" si="28"/>
        <v>925</v>
      </c>
      <c r="BA31" s="217">
        <f t="shared" si="28"/>
        <v>871</v>
      </c>
      <c r="BB31" s="169">
        <f t="shared" si="28"/>
        <v>3812</v>
      </c>
      <c r="BC31" s="217">
        <f t="shared" si="28"/>
        <v>827</v>
      </c>
      <c r="BD31" s="217">
        <f t="shared" si="28"/>
        <v>706</v>
      </c>
      <c r="BE31" s="217">
        <f t="shared" si="28"/>
        <v>590</v>
      </c>
      <c r="BF31" s="217">
        <f t="shared" si="28"/>
        <v>576</v>
      </c>
      <c r="BG31" s="169">
        <f t="shared" si="28"/>
        <v>2699</v>
      </c>
      <c r="BH31" s="217">
        <f t="shared" si="28"/>
        <v>733</v>
      </c>
      <c r="BI31" s="217">
        <f t="shared" si="28"/>
        <v>747</v>
      </c>
      <c r="BJ31" s="217">
        <f t="shared" si="28"/>
        <v>696</v>
      </c>
      <c r="BK31" s="217">
        <f t="shared" si="28"/>
        <v>684</v>
      </c>
      <c r="BL31" s="169">
        <f t="shared" si="28"/>
        <v>2860</v>
      </c>
      <c r="BM31" s="217">
        <f t="shared" si="28"/>
        <v>987</v>
      </c>
      <c r="BN31" s="217">
        <f t="shared" si="28"/>
        <v>1015</v>
      </c>
      <c r="BO31" s="217">
        <f t="shared" si="28"/>
        <v>982</v>
      </c>
      <c r="BP31" s="217">
        <f t="shared" si="28"/>
        <v>809</v>
      </c>
      <c r="BQ31" s="169">
        <f t="shared" si="28"/>
        <v>3793</v>
      </c>
      <c r="BR31" s="217">
        <f t="shared" si="28"/>
        <v>1065</v>
      </c>
      <c r="BS31" s="217">
        <f t="shared" si="28"/>
        <v>1010</v>
      </c>
      <c r="BT31" s="217">
        <f t="shared" si="28"/>
        <v>1095.43</v>
      </c>
      <c r="BU31" s="217">
        <f t="shared" si="28"/>
        <v>898.77500000000009</v>
      </c>
      <c r="BV31" s="169">
        <f t="shared" si="28"/>
        <v>4069.2049999999999</v>
      </c>
      <c r="BW31" s="217">
        <f t="shared" ref="BW31:CF31" si="29">BW29+BW27</f>
        <v>1159.845</v>
      </c>
      <c r="BX31" s="217">
        <f t="shared" si="29"/>
        <v>1098.855</v>
      </c>
      <c r="BY31" s="217">
        <f t="shared" si="29"/>
        <v>1174.4912750000001</v>
      </c>
      <c r="BZ31" s="217">
        <f t="shared" si="29"/>
        <v>961.96950000000004</v>
      </c>
      <c r="CA31" s="169">
        <f t="shared" si="29"/>
        <v>4395.1607750000003</v>
      </c>
      <c r="CB31" s="217">
        <f t="shared" si="29"/>
        <v>1239.7404750000001</v>
      </c>
      <c r="CC31" s="217">
        <f t="shared" si="29"/>
        <v>1173.878025</v>
      </c>
      <c r="CD31" s="217">
        <f t="shared" si="29"/>
        <v>1255.3424031249999</v>
      </c>
      <c r="CE31" s="217">
        <f t="shared" si="29"/>
        <v>1026.7680825</v>
      </c>
      <c r="CF31" s="169">
        <f t="shared" si="29"/>
        <v>4695.728985625</v>
      </c>
      <c r="CI31"/>
      <c r="CJ31"/>
      <c r="CK31"/>
      <c r="CL31"/>
      <c r="CM31"/>
      <c r="CN31"/>
      <c r="CO31"/>
      <c r="CP31"/>
      <c r="CQ31"/>
      <c r="CR31"/>
      <c r="CS31"/>
    </row>
    <row r="32" spans="1:97" ht="12.75" customHeight="1" x14ac:dyDescent="0.35">
      <c r="A32" s="41"/>
      <c r="B32" s="42" t="s">
        <v>24</v>
      </c>
      <c r="C32" s="42"/>
      <c r="D32" s="43"/>
      <c r="E32" s="43"/>
      <c r="F32" s="43"/>
      <c r="G32" s="43"/>
      <c r="H32" s="43"/>
      <c r="I32" s="191"/>
      <c r="J32" s="153">
        <f t="shared" ref="J32:AH32" si="30">IFERROR( J31/E31-1, "NA")</f>
        <v>0.15167918692001781</v>
      </c>
      <c r="K32" s="153">
        <f t="shared" si="30"/>
        <v>0.21753908905506458</v>
      </c>
      <c r="L32" s="153">
        <f t="shared" si="30"/>
        <v>1.0141559264737143E-2</v>
      </c>
      <c r="M32" s="153">
        <f t="shared" si="30"/>
        <v>1.2901983439245202E-2</v>
      </c>
      <c r="N32" s="47">
        <f t="shared" si="30"/>
        <v>9.3373972965809848E-2</v>
      </c>
      <c r="O32" s="153">
        <f t="shared" si="30"/>
        <v>1.5059952038369406E-2</v>
      </c>
      <c r="P32" s="153">
        <f t="shared" si="30"/>
        <v>0.16322352503257043</v>
      </c>
      <c r="Q32" s="153">
        <f t="shared" si="30"/>
        <v>0.14327546538381086</v>
      </c>
      <c r="R32" s="153">
        <f t="shared" si="30"/>
        <v>7.4334600760456171E-2</v>
      </c>
      <c r="S32" s="47">
        <f t="shared" si="30"/>
        <v>9.8489806801929536E-2</v>
      </c>
      <c r="T32" s="153">
        <f t="shared" si="30"/>
        <v>0.13834813834813819</v>
      </c>
      <c r="U32" s="153">
        <f t="shared" si="30"/>
        <v>2.2720000000000073E-2</v>
      </c>
      <c r="V32" s="153">
        <f t="shared" si="30"/>
        <v>2.7442371020856005E-3</v>
      </c>
      <c r="W32" s="153">
        <f t="shared" si="30"/>
        <v>-3.6276765174305226E-2</v>
      </c>
      <c r="X32" s="47">
        <f t="shared" si="30"/>
        <v>3.0188013063818353E-2</v>
      </c>
      <c r="Y32" s="153">
        <f t="shared" si="30"/>
        <v>-0.12817532790967945</v>
      </c>
      <c r="Z32" s="153">
        <f t="shared" si="30"/>
        <v>-2.1276595744680882E-2</v>
      </c>
      <c r="AA32" s="153">
        <f t="shared" si="30"/>
        <v>0.11713191023535829</v>
      </c>
      <c r="AB32" s="153">
        <f t="shared" si="30"/>
        <v>0.11604847594564816</v>
      </c>
      <c r="AC32" s="47">
        <f t="shared" si="30"/>
        <v>1.5679890326450341E-2</v>
      </c>
      <c r="AD32" s="153">
        <f t="shared" si="30"/>
        <v>0.27251952009141123</v>
      </c>
      <c r="AE32" s="153">
        <f t="shared" si="30"/>
        <v>9.7666240409207239E-2</v>
      </c>
      <c r="AF32" s="153">
        <f t="shared" si="30"/>
        <v>0.13375796178343968</v>
      </c>
      <c r="AG32" s="153">
        <f t="shared" si="30"/>
        <v>0.19233300427772315</v>
      </c>
      <c r="AH32" s="47">
        <f t="shared" si="30"/>
        <v>0.16998481525223541</v>
      </c>
      <c r="AI32" s="153">
        <f>IFERROR( AI31/AD31-1, "NA")</f>
        <v>7.7372044298114284E-2</v>
      </c>
      <c r="AJ32" s="153">
        <f>IFERROR( AJ31/AE31-1, "NA")</f>
        <v>9.5529343235765118E-2</v>
      </c>
      <c r="AK32" s="153">
        <f>IFERROR( AK31/AF31-1, "NA")</f>
        <v>-7.1161048689138751E-2</v>
      </c>
      <c r="AL32" s="153">
        <f>IFERROR( AL31/AG31-1, "NA")</f>
        <v>-0.17841865599558449</v>
      </c>
      <c r="AM32" s="47">
        <f>IFERROR( AM31/AH31-1, "NA")</f>
        <v>-2.213569831999429E-2</v>
      </c>
      <c r="AN32" s="153">
        <f t="shared" ref="AN32" si="31">IFERROR( AN31/AI31-1, "NA")</f>
        <v>-6.9176274482567135E-2</v>
      </c>
      <c r="AO32" s="153">
        <f t="shared" ref="AO32:AZ32" si="32">IFERROR( AO31/AJ31-1, "NA")</f>
        <v>-1.8476671540608613E-2</v>
      </c>
      <c r="AP32" s="153">
        <f t="shared" si="32"/>
        <v>0.15787841191066998</v>
      </c>
      <c r="AQ32" s="153">
        <f t="shared" si="32"/>
        <v>0.20927107826671154</v>
      </c>
      <c r="AR32" s="47">
        <f t="shared" si="32"/>
        <v>5.9983778203804627E-2</v>
      </c>
      <c r="AS32" s="153">
        <f t="shared" si="32"/>
        <v>0.18489777645127603</v>
      </c>
      <c r="AT32" s="153">
        <f t="shared" si="32"/>
        <v>0.27031419284940394</v>
      </c>
      <c r="AU32" s="153">
        <f t="shared" si="32"/>
        <v>0.10500937583712844</v>
      </c>
      <c r="AV32" s="153">
        <f t="shared" si="32"/>
        <v>2.0833333333333259E-2</v>
      </c>
      <c r="AW32" s="47">
        <f t="shared" si="32"/>
        <v>0.14500365204688537</v>
      </c>
      <c r="AX32" s="153">
        <f t="shared" si="32"/>
        <v>0.30478589420654911</v>
      </c>
      <c r="AY32" s="153">
        <f t="shared" si="32"/>
        <v>4.4776119402984982E-2</v>
      </c>
      <c r="AZ32" s="153">
        <f t="shared" si="32"/>
        <v>0.1212121212121211</v>
      </c>
      <c r="BA32" s="153">
        <f t="shared" ref="BA32:BV32" si="33">IFERROR( BA31/AV31-1, "NA")</f>
        <v>0.18503401360544225</v>
      </c>
      <c r="BB32" s="47">
        <f t="shared" si="33"/>
        <v>0.15795868772782495</v>
      </c>
      <c r="BC32" s="153">
        <f t="shared" si="33"/>
        <v>-0.20173745173745172</v>
      </c>
      <c r="BD32" s="153">
        <f t="shared" si="33"/>
        <v>-0.2795918367346939</v>
      </c>
      <c r="BE32" s="153">
        <f t="shared" si="33"/>
        <v>-0.36216216216216213</v>
      </c>
      <c r="BF32" s="153">
        <f t="shared" si="33"/>
        <v>-0.33869115958668194</v>
      </c>
      <c r="BG32" s="47">
        <f t="shared" si="33"/>
        <v>-0.29197271773347322</v>
      </c>
      <c r="BH32" s="153">
        <f t="shared" si="33"/>
        <v>-0.1136638452237001</v>
      </c>
      <c r="BI32" s="153">
        <f t="shared" si="33"/>
        <v>5.8073654390934815E-2</v>
      </c>
      <c r="BJ32" s="153">
        <f t="shared" si="33"/>
        <v>0.1796610169491526</v>
      </c>
      <c r="BK32" s="153">
        <f t="shared" si="33"/>
        <v>0.1875</v>
      </c>
      <c r="BL32" s="47">
        <f t="shared" si="33"/>
        <v>5.9651722860318612E-2</v>
      </c>
      <c r="BM32" s="153">
        <f t="shared" si="33"/>
        <v>0.34652114597544337</v>
      </c>
      <c r="BN32" s="153">
        <f t="shared" si="33"/>
        <v>0.35876840696117807</v>
      </c>
      <c r="BO32" s="153">
        <f t="shared" si="33"/>
        <v>0.41091954022988508</v>
      </c>
      <c r="BP32" s="153">
        <f t="shared" si="33"/>
        <v>0.18274853801169599</v>
      </c>
      <c r="BQ32" s="47">
        <f t="shared" si="33"/>
        <v>0.3262237762237763</v>
      </c>
      <c r="BR32" s="153">
        <f t="shared" si="33"/>
        <v>7.9027355623100259E-2</v>
      </c>
      <c r="BS32" s="153">
        <f t="shared" si="33"/>
        <v>-4.9261083743842304E-3</v>
      </c>
      <c r="BT32" s="153">
        <f t="shared" si="33"/>
        <v>0.11550916496945018</v>
      </c>
      <c r="BU32" s="153">
        <f t="shared" si="33"/>
        <v>0.11097033374536469</v>
      </c>
      <c r="BV32" s="47">
        <f t="shared" si="33"/>
        <v>7.2819667809121968E-2</v>
      </c>
      <c r="BW32" s="153">
        <f t="shared" ref="BW32:CF32" si="34">IFERROR( BW31/BR31-1, "NA")</f>
        <v>8.9056338028169035E-2</v>
      </c>
      <c r="BX32" s="153">
        <f t="shared" si="34"/>
        <v>8.7975247524752387E-2</v>
      </c>
      <c r="BY32" s="153">
        <f t="shared" si="34"/>
        <v>7.2173735428096686E-2</v>
      </c>
      <c r="BZ32" s="153">
        <f t="shared" si="34"/>
        <v>7.0311813301437986E-2</v>
      </c>
      <c r="CA32" s="47">
        <f t="shared" si="34"/>
        <v>8.0103060671556259E-2</v>
      </c>
      <c r="CB32" s="153">
        <f t="shared" si="34"/>
        <v>6.8884613892373547E-2</v>
      </c>
      <c r="CC32" s="153">
        <f t="shared" si="34"/>
        <v>6.8273816836616152E-2</v>
      </c>
      <c r="CD32" s="153">
        <f t="shared" si="34"/>
        <v>6.8839275221520779E-2</v>
      </c>
      <c r="CE32" s="153">
        <f t="shared" si="34"/>
        <v>6.7360329511486627E-2</v>
      </c>
      <c r="CF32" s="47">
        <f t="shared" si="34"/>
        <v>6.8386169701607713E-2</v>
      </c>
      <c r="CI32"/>
      <c r="CJ32"/>
      <c r="CK32"/>
      <c r="CL32"/>
      <c r="CM32"/>
      <c r="CN32"/>
      <c r="CO32"/>
      <c r="CP32"/>
      <c r="CQ32"/>
      <c r="CR32"/>
      <c r="CS32"/>
    </row>
    <row r="33" spans="1:97" ht="12.75" customHeight="1" x14ac:dyDescent="0.35">
      <c r="A33" s="41"/>
      <c r="B33" s="42" t="s">
        <v>25</v>
      </c>
      <c r="C33" s="42"/>
      <c r="D33" s="43"/>
      <c r="E33" s="43"/>
      <c r="F33" s="43"/>
      <c r="G33" s="43"/>
      <c r="H33" s="43"/>
      <c r="I33" s="44"/>
      <c r="J33" s="37"/>
      <c r="K33" s="37"/>
      <c r="L33" s="37"/>
      <c r="M33" s="37"/>
      <c r="N33" s="44"/>
      <c r="O33" s="262">
        <v>0</v>
      </c>
      <c r="P33" s="262">
        <v>0.02</v>
      </c>
      <c r="Q33" s="262">
        <v>0.02</v>
      </c>
      <c r="R33" s="262">
        <v>0.02</v>
      </c>
      <c r="S33" s="52">
        <f>SUMPRODUCT(O33:R33,J$31:M$31)/N$31</f>
        <v>1.4945822122027488E-2</v>
      </c>
      <c r="T33" s="262">
        <v>0.02</v>
      </c>
      <c r="U33" s="51">
        <v>0</v>
      </c>
      <c r="V33" s="51">
        <v>0</v>
      </c>
      <c r="W33" s="50">
        <v>0</v>
      </c>
      <c r="X33" s="52">
        <f>SUMPRODUCT(T33:W33,O$31:R$31)/S$31</f>
        <v>4.6703151204872447E-3</v>
      </c>
      <c r="Y33" s="51">
        <v>0</v>
      </c>
      <c r="Z33" s="51">
        <v>0</v>
      </c>
      <c r="AA33" s="51">
        <v>0</v>
      </c>
      <c r="AB33" s="51">
        <v>0</v>
      </c>
      <c r="AC33" s="52">
        <f>SUMPRODUCT(Y33:AB33,T$31:W$31)/X$31</f>
        <v>0</v>
      </c>
      <c r="AD33" s="51">
        <v>0</v>
      </c>
      <c r="AE33" s="51">
        <v>0</v>
      </c>
      <c r="AF33" s="51">
        <v>0</v>
      </c>
      <c r="AG33" s="51">
        <v>0</v>
      </c>
      <c r="AH33" s="52">
        <f>SUMPRODUCT(AD33:AG33,Y$31:AB$31)/AC$31</f>
        <v>0</v>
      </c>
      <c r="AI33" s="51">
        <v>0</v>
      </c>
      <c r="AJ33" s="51">
        <v>0</v>
      </c>
      <c r="AK33" s="51">
        <v>0</v>
      </c>
      <c r="AL33" s="51">
        <v>0</v>
      </c>
      <c r="AM33" s="52">
        <f>SUMPRODUCT(AI33:AL33,AD$31:AG$31)/AH$31</f>
        <v>0</v>
      </c>
      <c r="AN33" s="51">
        <v>0</v>
      </c>
      <c r="AO33" s="51">
        <v>0</v>
      </c>
      <c r="AP33" s="51">
        <v>0</v>
      </c>
      <c r="AQ33" s="51">
        <v>0</v>
      </c>
      <c r="AR33" s="52">
        <f>SUMPRODUCT(AN33:AQ33,AI$31:AL$31)/AM$31</f>
        <v>0</v>
      </c>
      <c r="AS33" s="51">
        <v>0</v>
      </c>
      <c r="AT33" s="51">
        <v>0</v>
      </c>
      <c r="AU33" s="51">
        <v>0</v>
      </c>
      <c r="AV33" s="51">
        <v>0</v>
      </c>
      <c r="AW33" s="52">
        <f>SUMPRODUCT(AS33:AV33,AN$31:AQ$31)/AR$31</f>
        <v>0</v>
      </c>
      <c r="AX33" s="51">
        <v>0</v>
      </c>
      <c r="AY33" s="51">
        <v>0</v>
      </c>
      <c r="AZ33" s="50">
        <v>0</v>
      </c>
      <c r="BA33" s="50">
        <v>0</v>
      </c>
      <c r="BB33" s="52">
        <f>SUMPRODUCT(AX33:BA33,AS$31:AV$31)/AW$31</f>
        <v>0</v>
      </c>
      <c r="BC33" s="50">
        <v>0</v>
      </c>
      <c r="BD33" s="50">
        <v>0</v>
      </c>
      <c r="BE33" s="50">
        <v>0</v>
      </c>
      <c r="BF33" s="50">
        <v>0</v>
      </c>
      <c r="BG33" s="52">
        <f>SUMPRODUCT(BC33:BF33,AX$31:BA$31)/BB$31</f>
        <v>0</v>
      </c>
      <c r="BH33" s="50">
        <v>0</v>
      </c>
      <c r="BI33" s="50">
        <f>BI216/BD31</f>
        <v>0</v>
      </c>
      <c r="BJ33" s="50">
        <f>BJ216/BE31</f>
        <v>0</v>
      </c>
      <c r="BK33" s="50">
        <f>BK216/BF31</f>
        <v>0</v>
      </c>
      <c r="BL33" s="52">
        <f>SUMPRODUCT(BH33:BK33,BC$31:BF$31)/BG$31</f>
        <v>0</v>
      </c>
      <c r="BM33" s="50">
        <v>0</v>
      </c>
      <c r="BN33" s="50">
        <f>BN216/BI31</f>
        <v>0</v>
      </c>
      <c r="BO33" s="50">
        <f>BO216/BJ31</f>
        <v>4.3103448275862068E-3</v>
      </c>
      <c r="BP33" s="50">
        <f>BP216/BK31</f>
        <v>4.3859649122807015E-3</v>
      </c>
      <c r="BQ33" s="52">
        <f>SUMPRODUCT(BM33:BP33,BH$31:BK$31)/BL$31</f>
        <v>2.0979020979020979E-3</v>
      </c>
      <c r="BR33" s="50">
        <f>BR216/BM31</f>
        <v>4.0526849037487338E-3</v>
      </c>
      <c r="BS33" s="50">
        <f>BS216/BN31</f>
        <v>2.9556650246305421E-3</v>
      </c>
      <c r="BT33" s="50">
        <f>BT216/BO31</f>
        <v>0</v>
      </c>
      <c r="BU33" s="50">
        <f>BU216/BP31</f>
        <v>2.472187886279357E-3</v>
      </c>
      <c r="BV33" s="52">
        <f>SUMPRODUCT(BR33:BU33,BM$31:BP$31)/BQ$31</f>
        <v>2.3727919852359609E-3</v>
      </c>
      <c r="BW33" s="50">
        <f>BW216/BR31</f>
        <v>1.8779342723004694E-3</v>
      </c>
      <c r="BX33" s="50">
        <f>BX216/BS31</f>
        <v>1.9801980198019802E-3</v>
      </c>
      <c r="BY33" s="50">
        <f>BY216/BT31</f>
        <v>9.1288352519102085E-4</v>
      </c>
      <c r="BZ33" s="50">
        <f>BZ216/BU31</f>
        <v>0</v>
      </c>
      <c r="CA33" s="52">
        <f>SUMPRODUCT(BW33:BZ33,BR$31:BU$31)/BV$31</f>
        <v>1.228741240610881E-3</v>
      </c>
      <c r="CB33" s="50">
        <v>0</v>
      </c>
      <c r="CC33" s="50">
        <f>CC216/BX31</f>
        <v>0</v>
      </c>
      <c r="CD33" s="50">
        <f>CD216/BY31</f>
        <v>0</v>
      </c>
      <c r="CE33" s="50">
        <f>CE216/BZ31</f>
        <v>0</v>
      </c>
      <c r="CF33" s="52">
        <f>SUMPRODUCT(CB33:CE33,BW$31:BZ$31)/CA$31</f>
        <v>0</v>
      </c>
      <c r="CI33"/>
      <c r="CJ33"/>
      <c r="CK33"/>
      <c r="CL33"/>
      <c r="CM33"/>
      <c r="CN33"/>
      <c r="CO33"/>
      <c r="CP33"/>
      <c r="CQ33"/>
      <c r="CR33"/>
      <c r="CS33"/>
    </row>
    <row r="34" spans="1:97" s="1" customFormat="1" ht="12.75" customHeight="1" x14ac:dyDescent="0.4">
      <c r="A34" s="58"/>
      <c r="B34" s="53" t="s">
        <v>64</v>
      </c>
      <c r="C34" s="53"/>
      <c r="D34" s="54"/>
      <c r="E34" s="54"/>
      <c r="F34" s="54"/>
      <c r="G34" s="54"/>
      <c r="H34" s="54"/>
      <c r="I34" s="55"/>
      <c r="J34" s="56"/>
      <c r="K34" s="56"/>
      <c r="L34" s="56"/>
      <c r="M34" s="56"/>
      <c r="N34" s="55"/>
      <c r="O34" s="155">
        <f>O32-O33</f>
        <v>1.5059952038369406E-2</v>
      </c>
      <c r="P34" s="155">
        <f>P32-P33</f>
        <v>0.14322352503257044</v>
      </c>
      <c r="Q34" s="155">
        <f>Q32-Q33</f>
        <v>0.12327546538381086</v>
      </c>
      <c r="R34" s="155">
        <f>R32-R33</f>
        <v>5.4334600760456167E-2</v>
      </c>
      <c r="S34" s="57">
        <f>SUMPRODUCT(O34:R34,J$31:M$31)/N$31</f>
        <v>8.3543984679902109E-2</v>
      </c>
      <c r="T34" s="155">
        <f>T32-T33</f>
        <v>0.11834813834813819</v>
      </c>
      <c r="U34" s="155">
        <f>U32-U33</f>
        <v>2.2720000000000073E-2</v>
      </c>
      <c r="V34" s="155">
        <f>V32-V33</f>
        <v>2.7442371020856005E-3</v>
      </c>
      <c r="W34" s="155">
        <f>W32-W33</f>
        <v>-3.6276765174305226E-2</v>
      </c>
      <c r="X34" s="57">
        <f>SUMPRODUCT(T34:W34,O$31:R$31)/S$31</f>
        <v>2.5517697943331297E-2</v>
      </c>
      <c r="Y34" s="155">
        <f>Y32-Y33</f>
        <v>-0.12817532790967945</v>
      </c>
      <c r="Z34" s="155">
        <f>Z32-Z33</f>
        <v>-2.1276595744680882E-2</v>
      </c>
      <c r="AA34" s="155">
        <f>AA32-AA33</f>
        <v>0.11713191023535829</v>
      </c>
      <c r="AB34" s="155">
        <f>AB32-AB33</f>
        <v>0.11604847594564816</v>
      </c>
      <c r="AC34" s="57">
        <f>SUMPRODUCT(Y34:AB34,T$31:W$31)/X$31</f>
        <v>1.5679890326450143E-2</v>
      </c>
      <c r="AD34" s="155">
        <f>AD32-AD33</f>
        <v>0.27251952009141123</v>
      </c>
      <c r="AE34" s="155">
        <f>AE32-AE33</f>
        <v>9.7666240409207239E-2</v>
      </c>
      <c r="AF34" s="155">
        <f>AF32-AF33</f>
        <v>0.13375796178343968</v>
      </c>
      <c r="AG34" s="155">
        <f>AG32-AG33</f>
        <v>0.19233300427772315</v>
      </c>
      <c r="AH34" s="57">
        <f>SUMPRODUCT(AD34:AG34,Y$31:AB$31)/AC$31</f>
        <v>0.16998481525223566</v>
      </c>
      <c r="AI34" s="155">
        <f>AI32-AI33</f>
        <v>7.7372044298114284E-2</v>
      </c>
      <c r="AJ34" s="155">
        <f>AJ32-AJ33</f>
        <v>9.5529343235765118E-2</v>
      </c>
      <c r="AK34" s="155">
        <f>AK32-AK33</f>
        <v>-7.1161048689138751E-2</v>
      </c>
      <c r="AL34" s="155">
        <f>AL32-AL33</f>
        <v>-0.17841865599558449</v>
      </c>
      <c r="AM34" s="57">
        <f>SUMPRODUCT(AI34:AL34,AD$31:AG$31)/AH$31</f>
        <v>-2.2135698319994356E-2</v>
      </c>
      <c r="AN34" s="155">
        <f>AN32-AN33</f>
        <v>-6.9176274482567135E-2</v>
      </c>
      <c r="AO34" s="155">
        <f>AO32-AO33</f>
        <v>-1.8476671540608613E-2</v>
      </c>
      <c r="AP34" s="155">
        <f>AP32-AP33</f>
        <v>0.15787841191066998</v>
      </c>
      <c r="AQ34" s="155">
        <f>AQ32-AQ33</f>
        <v>0.20927107826671154</v>
      </c>
      <c r="AR34" s="57">
        <f>SUMPRODUCT(AN34:AQ34,AI$31:AL$31)/AM$31</f>
        <v>5.9983778203804787E-2</v>
      </c>
      <c r="AS34" s="155">
        <f>AS32-AS33</f>
        <v>0.18489777645127603</v>
      </c>
      <c r="AT34" s="155">
        <f>AT32-AT33</f>
        <v>0.27031419284940394</v>
      </c>
      <c r="AU34" s="155">
        <f>AU32-AU33</f>
        <v>0.10500937583712844</v>
      </c>
      <c r="AV34" s="155">
        <f>AV32-AV33</f>
        <v>2.0833333333333259E-2</v>
      </c>
      <c r="AW34" s="57">
        <f>SUMPRODUCT(AS34:AV34,AN$31:AQ$31)/AR$31</f>
        <v>0.14500365204688531</v>
      </c>
      <c r="AX34" s="155">
        <f>AX32-AX33</f>
        <v>0.30478589420654911</v>
      </c>
      <c r="AY34" s="155">
        <f>AY32-AY33</f>
        <v>4.4776119402984982E-2</v>
      </c>
      <c r="AZ34" s="486">
        <f>AZ32-AZ33</f>
        <v>0.1212121212121211</v>
      </c>
      <c r="BA34" s="486">
        <f>BA32-BA33</f>
        <v>0.18503401360544225</v>
      </c>
      <c r="BB34" s="57">
        <f>SUMPRODUCT(AX34:BA34,AS$31:AV$31)/AW$31</f>
        <v>0.15795868772782495</v>
      </c>
      <c r="BC34" s="486">
        <f>BC32-BC33</f>
        <v>-0.20173745173745172</v>
      </c>
      <c r="BD34" s="486">
        <f>BD32-BD33</f>
        <v>-0.2795918367346939</v>
      </c>
      <c r="BE34" s="486">
        <f>BE32-BE33</f>
        <v>-0.36216216216216213</v>
      </c>
      <c r="BF34" s="486">
        <f>BF32-BF33</f>
        <v>-0.33869115958668194</v>
      </c>
      <c r="BG34" s="57">
        <f>SUMPRODUCT(BC34:BF34,AX$31:BA$31)/BB$31</f>
        <v>-0.29197271773347322</v>
      </c>
      <c r="BH34" s="486">
        <f>BH32-BH33</f>
        <v>-0.1136638452237001</v>
      </c>
      <c r="BI34" s="486">
        <f>BI32-BI33</f>
        <v>5.8073654390934815E-2</v>
      </c>
      <c r="BJ34" s="486">
        <f>BJ32-BJ33</f>
        <v>0.1796610169491526</v>
      </c>
      <c r="BK34" s="486">
        <f>BK32-BK33</f>
        <v>0.1875</v>
      </c>
      <c r="BL34" s="57">
        <f>SUMPRODUCT(BH34:BK34,BC$31:BF$31)/BG$31</f>
        <v>5.9651722860318647E-2</v>
      </c>
      <c r="BM34" s="486">
        <f>BM32-BM33</f>
        <v>0.34652114597544337</v>
      </c>
      <c r="BN34" s="486">
        <f>BN32-BN33</f>
        <v>0.35876840696117807</v>
      </c>
      <c r="BO34" s="486">
        <f>BO32-BO33</f>
        <v>0.4066091954022989</v>
      </c>
      <c r="BP34" s="486">
        <f>BP32-BP33</f>
        <v>0.17836257309941528</v>
      </c>
      <c r="BQ34" s="57">
        <f>SUMPRODUCT(BM34:BP34,BH$31:BK$31)/BL$31</f>
        <v>0.32412587412587412</v>
      </c>
      <c r="BR34" s="486">
        <f>BR32-BR33</f>
        <v>7.497467071935153E-2</v>
      </c>
      <c r="BS34" s="486">
        <f>BS32-BS33</f>
        <v>-7.8817733990147725E-3</v>
      </c>
      <c r="BT34" s="486">
        <f>BT32-BT33</f>
        <v>0.11550916496945018</v>
      </c>
      <c r="BU34" s="486">
        <f>BU32-BU33</f>
        <v>0.10849814585908533</v>
      </c>
      <c r="BV34" s="57">
        <f>SUMPRODUCT(BR34:BU34,BM$31:BP$31)/BQ$31</f>
        <v>7.0446875823886118E-2</v>
      </c>
      <c r="BW34" s="486">
        <f>BW32-BW33</f>
        <v>8.7178403755868564E-2</v>
      </c>
      <c r="BX34" s="486">
        <f>BX32-BX33</f>
        <v>8.5995049504950405E-2</v>
      </c>
      <c r="BY34" s="486">
        <f>BY32-BY33</f>
        <v>7.1260851902905667E-2</v>
      </c>
      <c r="BZ34" s="486">
        <f>BZ32-BZ33</f>
        <v>7.0311813301437986E-2</v>
      </c>
      <c r="CA34" s="57">
        <f>SUMPRODUCT(BW34:BZ34,BR$31:BU$31)/BV$31</f>
        <v>7.8874319430945319E-2</v>
      </c>
      <c r="CB34" s="486">
        <f>CB32-CB33</f>
        <v>6.8884613892373547E-2</v>
      </c>
      <c r="CC34" s="486">
        <f>CC32-CC33</f>
        <v>6.8273816836616152E-2</v>
      </c>
      <c r="CD34" s="486">
        <f>CD32-CD33</f>
        <v>6.8839275221520779E-2</v>
      </c>
      <c r="CE34" s="486">
        <f>CE32-CE33</f>
        <v>6.7360329511486627E-2</v>
      </c>
      <c r="CF34" s="57">
        <f>SUMPRODUCT(CB34:CE34,BW$31:BZ$31)/CA$31</f>
        <v>6.8386169701607727E-2</v>
      </c>
    </row>
    <row r="35" spans="1:97" ht="12.75" customHeight="1" x14ac:dyDescent="0.35">
      <c r="A35" s="41"/>
      <c r="B35" s="42" t="s">
        <v>27</v>
      </c>
      <c r="C35" s="42"/>
      <c r="D35" s="43"/>
      <c r="E35" s="43"/>
      <c r="F35" s="43"/>
      <c r="G35" s="43"/>
      <c r="H35" s="43"/>
      <c r="I35" s="44"/>
      <c r="J35" s="37"/>
      <c r="K35" s="37"/>
      <c r="L35" s="37"/>
      <c r="M35" s="37"/>
      <c r="N35" s="44"/>
      <c r="O35" s="262">
        <v>0</v>
      </c>
      <c r="P35" s="262">
        <v>0.01</v>
      </c>
      <c r="Q35" s="262">
        <v>0</v>
      </c>
      <c r="R35" s="262">
        <v>-0.03</v>
      </c>
      <c r="S35" s="52">
        <f>SUMPRODUCT(O35:R35,J$31:M$31)/N$31</f>
        <v>-5.0454512399098249E-3</v>
      </c>
      <c r="T35" s="262">
        <v>-0.05</v>
      </c>
      <c r="U35" s="262">
        <v>-0.05</v>
      </c>
      <c r="V35" s="262">
        <v>-0.05</v>
      </c>
      <c r="W35" s="262">
        <v>-0.04</v>
      </c>
      <c r="X35" s="52">
        <f>SUMPRODUCT(T35:W35,O$31:R$31)/S$31</f>
        <v>-4.7505958160473115E-2</v>
      </c>
      <c r="Y35" s="51">
        <v>-1.4E-2</v>
      </c>
      <c r="Z35" s="51">
        <v>0</v>
      </c>
      <c r="AA35" s="51">
        <v>0</v>
      </c>
      <c r="AB35" s="51">
        <v>0</v>
      </c>
      <c r="AC35" s="52">
        <f>SUMPRODUCT(Y35:AB35,T$31:W$31)/X$31</f>
        <v>-3.61245822980036E-3</v>
      </c>
      <c r="AD35" s="51">
        <v>0</v>
      </c>
      <c r="AE35" s="51">
        <v>0</v>
      </c>
      <c r="AF35" s="51">
        <v>0.01</v>
      </c>
      <c r="AG35" s="51">
        <v>0.03</v>
      </c>
      <c r="AH35" s="52">
        <f>SUMPRODUCT(AD35:AG35,Y$31:AB$31)/AC$31</f>
        <v>1.0273747258309431E-2</v>
      </c>
      <c r="AI35" s="51">
        <v>3.2000000000000001E-2</v>
      </c>
      <c r="AJ35" s="51">
        <v>0.01</v>
      </c>
      <c r="AK35" s="51">
        <v>0</v>
      </c>
      <c r="AL35" s="51">
        <v>-0.01</v>
      </c>
      <c r="AM35" s="52">
        <f>SUMPRODUCT(AI35:AL35,AD$31:AG$31)/AH$31</f>
        <v>7.5717066839714473E-3</v>
      </c>
      <c r="AN35" s="51">
        <v>-0.02</v>
      </c>
      <c r="AO35" s="51">
        <v>-1.7999999999999999E-2</v>
      </c>
      <c r="AP35" s="51">
        <v>-0.01</v>
      </c>
      <c r="AQ35" s="51">
        <v>-0.01</v>
      </c>
      <c r="AR35" s="52">
        <f>SUMPRODUCT(AN35:AQ35,AI$31:AL$31)/AM$31</f>
        <v>-1.487295384161628E-2</v>
      </c>
      <c r="AS35" s="51">
        <v>-0.01</v>
      </c>
      <c r="AT35" s="51">
        <v>-0.01</v>
      </c>
      <c r="AU35" s="51">
        <v>0</v>
      </c>
      <c r="AV35" s="51">
        <v>0.02</v>
      </c>
      <c r="AW35" s="52">
        <f>SUMPRODUCT(AS35:AV35,AN$31:AQ$31)/AR$31</f>
        <v>1.0956140655977166E-4</v>
      </c>
      <c r="AX35" s="51">
        <v>0.03</v>
      </c>
      <c r="AY35" s="50">
        <v>0.02</v>
      </c>
      <c r="AZ35" s="50">
        <v>2E-3</v>
      </c>
      <c r="BA35" s="50">
        <v>0</v>
      </c>
      <c r="BB35" s="52">
        <f>SUMPRODUCT(AX35:BA35,AS$31:AV$31)/AW$31</f>
        <v>1.3435601458080194E-2</v>
      </c>
      <c r="BC35" s="50">
        <v>-0.01</v>
      </c>
      <c r="BD35" s="50">
        <f>-20/AY31</f>
        <v>-2.0408163265306121E-2</v>
      </c>
      <c r="BE35" s="50">
        <f>-(67-41)/AZ31</f>
        <v>-2.8108108108108109E-2</v>
      </c>
      <c r="BF35" s="50">
        <f>-(51-32)/BA31</f>
        <v>-2.1814006888633754E-2</v>
      </c>
      <c r="BG35" s="52">
        <f>SUMPRODUCT(BC35:BF35,AX$31:BA$31)/BB$31</f>
        <v>-1.9769150052465895E-2</v>
      </c>
      <c r="BH35" s="50">
        <f>-10/BC31</f>
        <v>-1.2091898428053204E-2</v>
      </c>
      <c r="BI35" s="50">
        <v>0</v>
      </c>
      <c r="BJ35" s="50">
        <v>0</v>
      </c>
      <c r="BK35" s="50">
        <f>9/BF31</f>
        <v>1.5625E-2</v>
      </c>
      <c r="BL35" s="52">
        <f>SUMPRODUCT(BH35:BK35,BC$31:BF$31)/BG$31</f>
        <v>-3.7050759540570581E-4</v>
      </c>
      <c r="BM35" s="50">
        <f>1/BH31</f>
        <v>1.364256480218281E-3</v>
      </c>
      <c r="BN35" s="50">
        <f>-5/BI31</f>
        <v>-6.6934404283801874E-3</v>
      </c>
      <c r="BO35" s="50">
        <f>3/BJ31</f>
        <v>4.3103448275862068E-3</v>
      </c>
      <c r="BP35" s="50">
        <f>-4/BK31</f>
        <v>-5.8479532163742687E-3</v>
      </c>
      <c r="BQ35" s="52">
        <f>SUMPRODUCT(BM35:BP35,BH$31:BK$31)/BL$31</f>
        <v>-1.7482517482517483E-3</v>
      </c>
      <c r="BR35" s="50">
        <f>-6/BM31</f>
        <v>-6.0790273556231003E-3</v>
      </c>
      <c r="BS35" s="50">
        <f>12/BN31</f>
        <v>1.1822660098522168E-2</v>
      </c>
      <c r="BT35" s="50">
        <f ca="1">BT246</f>
        <v>1.0183299389002037E-2</v>
      </c>
      <c r="BU35" s="50">
        <f>BU246</f>
        <v>1.5241757602623515E-2</v>
      </c>
      <c r="BV35" s="52">
        <f ca="1">SUMPRODUCT(BR35:BU35,BM$31:BP$31)/BQ$31</f>
        <v>7.4691752967367322E-3</v>
      </c>
      <c r="BW35" s="50">
        <f>BW245*$BB$247</f>
        <v>2.1364132471284783E-2</v>
      </c>
      <c r="BX35" s="50">
        <f>BX245*$BB$247</f>
        <v>3.0080459920006106E-3</v>
      </c>
      <c r="BY35" s="50">
        <f>BY245*$BB$247</f>
        <v>-2.2191205436927933E-3</v>
      </c>
      <c r="BZ35" s="50">
        <f>BZ245*$BB$247</f>
        <v>-3.6363533479606509E-3</v>
      </c>
      <c r="CA35" s="52">
        <f>SUMPRODUCT(BW35:BZ35,BR$31:BU$31)/BV$31</f>
        <v>4.9375179762012923E-3</v>
      </c>
      <c r="CB35" s="50">
        <f>CB245*$BB$247</f>
        <v>-9.9011186452025628E-4</v>
      </c>
      <c r="CC35" s="50">
        <f>CC245*$BB$247</f>
        <v>-9.9011186452025628E-4</v>
      </c>
      <c r="CD35" s="50">
        <f>CD245*$BB$247</f>
        <v>-9.9011186452025628E-4</v>
      </c>
      <c r="CE35" s="50">
        <f>CE245*$BB$247</f>
        <v>-9.9011186452025628E-4</v>
      </c>
      <c r="CF35" s="52">
        <f>SUMPRODUCT(CB35:CE35,BW$31:BZ$31)/CA$31</f>
        <v>-9.9011186452025606E-4</v>
      </c>
      <c r="CI35"/>
      <c r="CJ35"/>
      <c r="CK35"/>
      <c r="CL35"/>
      <c r="CM35"/>
      <c r="CN35"/>
      <c r="CO35"/>
      <c r="CP35"/>
      <c r="CQ35"/>
      <c r="CR35"/>
      <c r="CS35"/>
    </row>
    <row r="36" spans="1:97" s="1" customFormat="1" ht="12.75" customHeight="1" x14ac:dyDescent="0.4">
      <c r="A36" s="58"/>
      <c r="B36" s="342" t="s">
        <v>268</v>
      </c>
      <c r="C36" s="342"/>
      <c r="D36" s="343"/>
      <c r="E36" s="343"/>
      <c r="F36" s="343"/>
      <c r="G36" s="343"/>
      <c r="H36" s="343"/>
      <c r="I36" s="344"/>
      <c r="J36" s="345"/>
      <c r="K36" s="345"/>
      <c r="L36" s="345"/>
      <c r="M36" s="345"/>
      <c r="N36" s="344"/>
      <c r="O36" s="346">
        <f>IFERROR(O32-O33-O35,"NA")</f>
        <v>1.5059952038369406E-2</v>
      </c>
      <c r="P36" s="346">
        <f>IFERROR(P32-P33-P35,"NA")</f>
        <v>0.13322352503257043</v>
      </c>
      <c r="Q36" s="346">
        <f>IFERROR(Q32-Q33-Q35,"NA")</f>
        <v>0.12327546538381086</v>
      </c>
      <c r="R36" s="346">
        <f>IFERROR(R32-R33-R35,"NA")</f>
        <v>8.4334600760456166E-2</v>
      </c>
      <c r="S36" s="347">
        <f>SUMPRODUCT(O36:R36,J$31:M$31)/N$31</f>
        <v>8.8589435919811915E-2</v>
      </c>
      <c r="T36" s="346">
        <f>IFERROR(T32-T33-T35,"NA")</f>
        <v>0.16834813834813819</v>
      </c>
      <c r="U36" s="346">
        <f>IFERROR(U32-U33-U35,"NA")</f>
        <v>7.2720000000000076E-2</v>
      </c>
      <c r="V36" s="346">
        <f>IFERROR(V32-V33-V35,"NA")</f>
        <v>5.2744237102085603E-2</v>
      </c>
      <c r="W36" s="346">
        <f>IFERROR(W32-W33-W35,"NA")</f>
        <v>3.7232348256947753E-3</v>
      </c>
      <c r="X36" s="347">
        <f>SUMPRODUCT(T36:W36,O$31:R$31)/S$31</f>
        <v>7.302365610380443E-2</v>
      </c>
      <c r="Y36" s="346">
        <f>IFERROR(Y32-Y33-Y35,"NA")</f>
        <v>-0.11417532790967945</v>
      </c>
      <c r="Z36" s="346">
        <f>IFERROR(Z32-Z33-Z35,"NA")</f>
        <v>-2.1276595744680882E-2</v>
      </c>
      <c r="AA36" s="346">
        <f>IFERROR(AA32-AA33-AA35,"NA")</f>
        <v>0.11713191023535829</v>
      </c>
      <c r="AB36" s="346">
        <f>IFERROR(AB32-AB33-AB35,"NA")</f>
        <v>0.11604847594564816</v>
      </c>
      <c r="AC36" s="347">
        <f>SUMPRODUCT(Y36:AB36,T$31:W$31)/X$31</f>
        <v>1.9292348556250508E-2</v>
      </c>
      <c r="AD36" s="346">
        <f>IFERROR(AD32-AD33-AD35,"NA")</f>
        <v>0.27251952009141123</v>
      </c>
      <c r="AE36" s="346">
        <f>IFERROR(AE32-AE33-AE35,"NA")</f>
        <v>9.7666240409207239E-2</v>
      </c>
      <c r="AF36" s="346">
        <f>IFERROR(AF32-AF33-AF35,"NA")</f>
        <v>0.12375796178343969</v>
      </c>
      <c r="AG36" s="346">
        <f>IFERROR(AG32-AG33-AG35,"NA")</f>
        <v>0.16233300427772315</v>
      </c>
      <c r="AH36" s="347">
        <f>SUMPRODUCT(AD36:AG36,Y$31:AB$31)/AC$31</f>
        <v>0.15971106799392623</v>
      </c>
      <c r="AI36" s="346">
        <f>IFERROR(AI32-AI33-AI35,"NA")</f>
        <v>4.5372044298114284E-2</v>
      </c>
      <c r="AJ36" s="346">
        <f>IFERROR(AJ32-AJ33-AJ35,"NA")</f>
        <v>8.5529343235765123E-2</v>
      </c>
      <c r="AK36" s="346">
        <f>IFERROR(AK32-AK33-AK35,"NA")</f>
        <v>-7.1161048689138751E-2</v>
      </c>
      <c r="AL36" s="346">
        <f>IFERROR(AL32-AL33-AL35,"NA")</f>
        <v>-0.16841865599558448</v>
      </c>
      <c r="AM36" s="347">
        <f>SUMPRODUCT(AI36:AL36,AD$31:AG$31)/AH$31</f>
        <v>-2.9707405003965799E-2</v>
      </c>
      <c r="AN36" s="346">
        <f>IFERROR(AN32-AN33-AN35,"NA")</f>
        <v>-4.9176274482567131E-2</v>
      </c>
      <c r="AO36" s="346">
        <f>IFERROR(AO32-AO33-AO35,"NA")</f>
        <v>-4.7667154060861486E-4</v>
      </c>
      <c r="AP36" s="346">
        <f>IFERROR(AP32-AP33-AP35,"NA")</f>
        <v>0.16787841191066999</v>
      </c>
      <c r="AQ36" s="346">
        <f>IFERROR(AQ32-AQ33-AQ35,"NA")</f>
        <v>0.21927107826671155</v>
      </c>
      <c r="AR36" s="347">
        <f>SUMPRODUCT(AN36:AQ36,AI$31:AL$31)/AM$31</f>
        <v>7.4856732045421079E-2</v>
      </c>
      <c r="AS36" s="346">
        <f>IFERROR(AS32-AS33-AS35,"NA")</f>
        <v>0.19489777645127604</v>
      </c>
      <c r="AT36" s="346">
        <f>IFERROR(AT32-AT33-AT35,"NA")</f>
        <v>0.28031419284940395</v>
      </c>
      <c r="AU36" s="346">
        <f>IFERROR(AU32-AU33-AU35,"NA")</f>
        <v>0.10500937583712844</v>
      </c>
      <c r="AV36" s="346">
        <f>IFERROR(AV32-AV33-AV35,"NA")</f>
        <v>8.333333333332589E-4</v>
      </c>
      <c r="AW36" s="347">
        <f>SUMPRODUCT(AS36:AV36,AN$31:AQ$31)/AR$31</f>
        <v>0.14489409064032555</v>
      </c>
      <c r="AX36" s="346">
        <f>IFERROR(AX32-AX33-AX35,"NA")</f>
        <v>0.27478589420654909</v>
      </c>
      <c r="AY36" s="346">
        <f>IFERROR(AY32-AY33-AY35,"NA")</f>
        <v>2.4776119402984981E-2</v>
      </c>
      <c r="AZ36" s="487">
        <f>IFERROR(AZ32-AZ33-AZ35,"NA")</f>
        <v>0.1192121212121211</v>
      </c>
      <c r="BA36" s="487">
        <f>IFERROR(BA32-BA33-BA35,"NA")</f>
        <v>0.18503401360544225</v>
      </c>
      <c r="BB36" s="347">
        <f>SUMPRODUCT(AX36:BA36,AS$31:AV$31)/AW$31</f>
        <v>0.1445230862697448</v>
      </c>
      <c r="BC36" s="487">
        <f>IFERROR(BC32-BC33-BC35,"NA")</f>
        <v>-0.19173745173745171</v>
      </c>
      <c r="BD36" s="487">
        <f>IFERROR(BD32-BD33-BD35,"NA")</f>
        <v>-0.25918367346938775</v>
      </c>
      <c r="BE36" s="487">
        <f>IFERROR(BE32-BE33-BE35,"NA")</f>
        <v>-0.33405405405405403</v>
      </c>
      <c r="BF36" s="487">
        <f>IFERROR(BF32-BF33-BF35,"NA")</f>
        <v>-0.31687715269804817</v>
      </c>
      <c r="BG36" s="347">
        <f>SUMPRODUCT(BC36:BF36,AX$31:BA$31)/BB$31</f>
        <v>-0.27220356768100729</v>
      </c>
      <c r="BH36" s="487">
        <f>IFERROR(BH32-BH33-BH35,"NA")</f>
        <v>-0.10157194679564689</v>
      </c>
      <c r="BI36" s="487">
        <f>IFERROR(BI32-BI33-BI35,"NA")</f>
        <v>5.8073654390934815E-2</v>
      </c>
      <c r="BJ36" s="487">
        <f>IFERROR(BJ32-BJ33-BJ35,"NA")</f>
        <v>0.1796610169491526</v>
      </c>
      <c r="BK36" s="487">
        <f>IFERROR(BK32-BK33-BK35,"NA")</f>
        <v>0.171875</v>
      </c>
      <c r="BL36" s="347">
        <f>SUMPRODUCT(BH36:BK36,BC$31:BF$31)/BG$31</f>
        <v>6.002223045572435E-2</v>
      </c>
      <c r="BM36" s="487">
        <f>IFERROR(BM32-BM33-BM35,"NA")</f>
        <v>0.34515688949522511</v>
      </c>
      <c r="BN36" s="487">
        <f>IFERROR(BN32-BN33-BN35,"NA")</f>
        <v>0.36546184738955823</v>
      </c>
      <c r="BO36" s="487">
        <f>IFERROR(BO32-BO33-BO35,"NA")</f>
        <v>0.40229885057471271</v>
      </c>
      <c r="BP36" s="487">
        <f>IFERROR(BP32-BP33-BP35,"NA")</f>
        <v>0.18421052631578955</v>
      </c>
      <c r="BQ36" s="347">
        <f>SUMPRODUCT(BM36:BP36,BH$31:BK$31)/BL$31</f>
        <v>0.3258741258741259</v>
      </c>
      <c r="BR36" s="487">
        <f>IFERROR(BR32-BR33-BR35,"NA")</f>
        <v>8.1053698074974631E-2</v>
      </c>
      <c r="BS36" s="487">
        <f>IFERROR(BS32-BS33-BS35,"NA")</f>
        <v>-1.9704433497536943E-2</v>
      </c>
      <c r="BT36" s="487">
        <f ca="1">IFERROR(BT32-BT33-BT35,"NA")</f>
        <v>0.10532586558044815</v>
      </c>
      <c r="BU36" s="487">
        <f>IFERROR(BU32-BU33-BU35,"NA")</f>
        <v>9.325638825646182E-2</v>
      </c>
      <c r="BV36" s="347">
        <f ca="1">SUMPRODUCT(BR36:BU36,BM$31:BP$31)/BQ$31</f>
        <v>6.2977700527149405E-2</v>
      </c>
      <c r="BW36" s="487">
        <f>IFERROR(BW32-BW33-BW35,"NA")</f>
        <v>6.5814271284583781E-2</v>
      </c>
      <c r="BX36" s="487">
        <f>IFERROR(BX32-BX33-BX35,"NA")</f>
        <v>8.2987003512949797E-2</v>
      </c>
      <c r="BY36" s="487">
        <f>IFERROR(BY32-BY33-BY35,"NA")</f>
        <v>7.3479972446598457E-2</v>
      </c>
      <c r="BZ36" s="487">
        <f>IFERROR(BZ32-BZ33-BZ35,"NA")</f>
        <v>7.3948166649398642E-2</v>
      </c>
      <c r="CA36" s="347">
        <f>SUMPRODUCT(BW36:BZ36,BR$31:BU$31)/BV$31</f>
        <v>7.3936801454744031E-2</v>
      </c>
      <c r="CB36" s="487">
        <f>IFERROR(CB32-CB33-CB35,"NA")</f>
        <v>6.987472575689381E-2</v>
      </c>
      <c r="CC36" s="487">
        <f>IFERROR(CC32-CC33-CC35,"NA")</f>
        <v>6.9263928701136415E-2</v>
      </c>
      <c r="CD36" s="487">
        <f>IFERROR(CD32-CD33-CD35,"NA")</f>
        <v>6.9829387086041042E-2</v>
      </c>
      <c r="CE36" s="487">
        <f>IFERROR(CE32-CE33-CE35,"NA")</f>
        <v>6.835044137600689E-2</v>
      </c>
      <c r="CF36" s="347">
        <f>SUMPRODUCT(CB36:CE36,BW$31:BZ$31)/CA$31</f>
        <v>6.9376281566128004E-2</v>
      </c>
    </row>
    <row r="37" spans="1:97" ht="12.75" customHeight="1" x14ac:dyDescent="0.35">
      <c r="A37" s="41"/>
      <c r="B37" s="42" t="s">
        <v>265</v>
      </c>
      <c r="C37" s="42"/>
      <c r="D37" s="43"/>
      <c r="E37" s="43"/>
      <c r="F37" s="43"/>
      <c r="G37" s="43"/>
      <c r="H37" s="43"/>
      <c r="I37" s="191"/>
      <c r="J37" s="147"/>
      <c r="K37" s="147"/>
      <c r="L37" s="147"/>
      <c r="M37" s="147"/>
      <c r="N37" s="191"/>
      <c r="O37" s="153">
        <f>O31/M31-1</f>
        <v>5.893536121672982E-3</v>
      </c>
      <c r="P37" s="153">
        <f>P31/O31-1</f>
        <v>0.18125118125118123</v>
      </c>
      <c r="Q37" s="153">
        <f>Q31/P31-1</f>
        <v>-0.12544</v>
      </c>
      <c r="R37" s="153">
        <f>R31/Q31-1</f>
        <v>3.384559092572248E-2</v>
      </c>
      <c r="S37" s="191"/>
      <c r="T37" s="153">
        <f>T31/R31-1</f>
        <v>6.5829056804105557E-2</v>
      </c>
      <c r="U37" s="153">
        <f>U31/T31-1</f>
        <v>6.1265150257346912E-2</v>
      </c>
      <c r="V37" s="153">
        <f>V31/U31-1</f>
        <v>-0.14252190237797246</v>
      </c>
      <c r="W37" s="153">
        <f>W31/V31-1</f>
        <v>-6.3856960408684715E-3</v>
      </c>
      <c r="X37" s="191"/>
      <c r="Y37" s="153">
        <f>Y31/W31-1</f>
        <v>-3.5806096217407268E-2</v>
      </c>
      <c r="Z37" s="153">
        <f>Z31/Y31-1</f>
        <v>0.19139211578746895</v>
      </c>
      <c r="AA37" s="153">
        <f>AA31/Z31-1</f>
        <v>-2.1259590792839012E-2</v>
      </c>
      <c r="AB37" s="153">
        <f>AB31/AA31-1</f>
        <v>-7.3493385595296834E-3</v>
      </c>
      <c r="AC37" s="191"/>
      <c r="AD37" s="153">
        <f>AD31/AB31-1</f>
        <v>9.9374794340243655E-2</v>
      </c>
      <c r="AE37" s="153">
        <f>AE31/AD31-1</f>
        <v>2.7686321460640428E-2</v>
      </c>
      <c r="AF37" s="153">
        <f>AF31/AE31-1</f>
        <v>1.0921799912625652E-2</v>
      </c>
      <c r="AG37" s="153">
        <f>AG31/AF31-1</f>
        <v>4.3935465283779784E-2</v>
      </c>
      <c r="AH37" s="191"/>
      <c r="AI37" s="153">
        <f>AI31/AG31-1</f>
        <v>-6.623430384987028E-3</v>
      </c>
      <c r="AJ37" s="153">
        <f>AJ31/AI31-1</f>
        <v>4.5006250868176112E-2</v>
      </c>
      <c r="AK37" s="153">
        <f>AK31/AJ31-1</f>
        <v>-0.14289512162701046</v>
      </c>
      <c r="AL37" s="153">
        <f>AL31/AK31-1</f>
        <v>-7.6612903225806384E-2</v>
      </c>
      <c r="AM37" s="191"/>
      <c r="AN37" s="153">
        <f>AN31/AL31-1</f>
        <v>0.1254618743701712</v>
      </c>
      <c r="AO37" s="153">
        <f>AO31/AN31-1</f>
        <v>0.10192508580808868</v>
      </c>
      <c r="AP37" s="153">
        <f>AP31/AO31-1</f>
        <v>1.1105092091007407E-2</v>
      </c>
      <c r="AQ37" s="153">
        <f>AQ31/AP31-1</f>
        <v>-3.5628181087597022E-2</v>
      </c>
      <c r="AR37" s="191"/>
      <c r="AS37" s="153">
        <f>AS31/AQ31-1</f>
        <v>0.10277777777777786</v>
      </c>
      <c r="AT37" s="153">
        <f>AT31/AS31-1</f>
        <v>0.18136020151133492</v>
      </c>
      <c r="AU37" s="153">
        <f>AU31/AT31-1</f>
        <v>-0.1204690831556503</v>
      </c>
      <c r="AV37" s="153">
        <f>AV31/AU31-1</f>
        <v>-0.10909090909090913</v>
      </c>
      <c r="AW37" s="191"/>
      <c r="AX37" s="153">
        <f>AX31/AV31-1</f>
        <v>0.40952380952380962</v>
      </c>
      <c r="AY37" s="153">
        <f>AY31/AX31-1</f>
        <v>-5.4054054054054057E-2</v>
      </c>
      <c r="AZ37" s="153">
        <f>AZ31/AY31-1</f>
        <v>-5.6122448979591844E-2</v>
      </c>
      <c r="BA37" s="153">
        <f>BA31/AZ31-1</f>
        <v>-5.8378378378378337E-2</v>
      </c>
      <c r="BB37" s="191"/>
      <c r="BC37" s="153">
        <f>BC31/BA31-1</f>
        <v>-5.0516647531572922E-2</v>
      </c>
      <c r="BD37" s="153">
        <f>BD31/BC31-1</f>
        <v>-0.14631197097944382</v>
      </c>
      <c r="BE37" s="153">
        <f>BE31/BD31-1</f>
        <v>-0.1643059490084986</v>
      </c>
      <c r="BF37" s="153">
        <f>BF31/BE31-1</f>
        <v>-2.3728813559321993E-2</v>
      </c>
      <c r="BG37" s="191"/>
      <c r="BH37" s="153">
        <f>BH31/BF31-1</f>
        <v>0.27256944444444442</v>
      </c>
      <c r="BI37" s="153">
        <f>BI31/BH31-1</f>
        <v>1.9099590723056004E-2</v>
      </c>
      <c r="BJ37" s="153">
        <f>BJ31/BI31-1</f>
        <v>-6.8273092369477872E-2</v>
      </c>
      <c r="BK37" s="153">
        <f>BK31/BJ31-1</f>
        <v>-1.7241379310344862E-2</v>
      </c>
      <c r="BL37" s="191"/>
      <c r="BM37" s="153">
        <f>BM31/BK31-1</f>
        <v>0.44298245614035081</v>
      </c>
      <c r="BN37" s="153">
        <f>BN31/BM31-1</f>
        <v>2.8368794326241176E-2</v>
      </c>
      <c r="BO37" s="153">
        <f>BO31/BN31-1</f>
        <v>-3.251231527093601E-2</v>
      </c>
      <c r="BP37" s="153">
        <f>BP31/BO31-1</f>
        <v>-0.1761710794297352</v>
      </c>
      <c r="BQ37" s="191"/>
      <c r="BR37" s="153">
        <f>BR31/BP31-1</f>
        <v>0.31644004944375781</v>
      </c>
      <c r="BS37" s="153">
        <f>BS31/BR31-1</f>
        <v>-5.1643192488262879E-2</v>
      </c>
      <c r="BT37" s="153">
        <f>BT31/BS31-1</f>
        <v>8.4584158415841548E-2</v>
      </c>
      <c r="BU37" s="153">
        <f>BU31/BT31-1</f>
        <v>-0.17952310964644014</v>
      </c>
      <c r="BV37" s="191"/>
      <c r="BW37" s="153">
        <f>BW31/BU31-1</f>
        <v>0.29047314400155755</v>
      </c>
      <c r="BX37" s="153">
        <f>BX31/BW31-1</f>
        <v>-5.2584612599097302E-2</v>
      </c>
      <c r="BY37" s="153">
        <f>BY31/BX31-1</f>
        <v>6.8831897748110604E-2</v>
      </c>
      <c r="BZ37" s="153">
        <f>BZ31/BY31-1</f>
        <v>-0.18094793850214008</v>
      </c>
      <c r="CA37" s="191"/>
      <c r="CB37" s="153">
        <f>CB31/BZ31-1</f>
        <v>0.28875237208664095</v>
      </c>
      <c r="CC37" s="153">
        <f>CC31/CB31-1</f>
        <v>-5.312599800373552E-2</v>
      </c>
      <c r="CD37" s="153">
        <f>CD31/CC31-1</f>
        <v>6.9397651536240224E-2</v>
      </c>
      <c r="CE37" s="153">
        <f>CE31/CD31-1</f>
        <v>-0.18208125532603381</v>
      </c>
      <c r="CF37" s="191"/>
      <c r="CI37"/>
      <c r="CJ37"/>
      <c r="CK37"/>
      <c r="CL37"/>
      <c r="CM37"/>
      <c r="CN37"/>
      <c r="CO37"/>
      <c r="CP37"/>
      <c r="CQ37"/>
      <c r="CR37"/>
      <c r="CS37"/>
    </row>
    <row r="38" spans="1:97" s="1" customFormat="1" ht="12.75" customHeight="1" x14ac:dyDescent="0.4">
      <c r="A38" s="58"/>
      <c r="B38" s="53"/>
      <c r="C38" s="53"/>
      <c r="D38" s="54"/>
      <c r="E38" s="54"/>
      <c r="F38" s="54"/>
      <c r="G38" s="54"/>
      <c r="H38" s="54"/>
      <c r="I38" s="55"/>
      <c r="J38" s="56"/>
      <c r="K38" s="56"/>
      <c r="L38" s="56"/>
      <c r="M38" s="56"/>
      <c r="N38" s="55"/>
      <c r="O38" s="260"/>
      <c r="P38" s="260"/>
      <c r="Q38" s="260"/>
      <c r="R38" s="260"/>
      <c r="S38" s="261"/>
      <c r="T38" s="260"/>
      <c r="U38" s="260"/>
      <c r="V38" s="260"/>
      <c r="W38" s="260"/>
      <c r="X38" s="261"/>
      <c r="Y38" s="260"/>
      <c r="Z38" s="260"/>
      <c r="AA38" s="260"/>
      <c r="AB38" s="260"/>
      <c r="AC38" s="261"/>
      <c r="AD38" s="263"/>
      <c r="AE38" s="263"/>
      <c r="AF38" s="263"/>
      <c r="AG38" s="260"/>
      <c r="AH38" s="159"/>
      <c r="AI38" s="263"/>
      <c r="AJ38" s="263"/>
      <c r="AK38" s="340"/>
      <c r="AL38" s="263"/>
      <c r="AM38" s="159"/>
      <c r="AN38" s="37"/>
      <c r="AO38" s="37"/>
      <c r="AP38" s="37"/>
      <c r="AQ38" s="37"/>
      <c r="AR38" s="416"/>
      <c r="AS38" s="37">
        <f>AS31/$AW$31</f>
        <v>0.24119076549210205</v>
      </c>
      <c r="AT38" s="37">
        <f>AT31/$AW$31</f>
        <v>0.28493317132442286</v>
      </c>
      <c r="AU38" s="37">
        <f>AU31/$AW$31</f>
        <v>0.25060753341433778</v>
      </c>
      <c r="AV38" s="37"/>
      <c r="AW38" s="416"/>
      <c r="AX38" s="417"/>
      <c r="AY38" s="417"/>
      <c r="AZ38" s="488"/>
      <c r="BA38" s="488"/>
      <c r="BB38" s="416"/>
      <c r="BC38" s="37"/>
      <c r="BD38" s="37"/>
      <c r="BE38" s="37"/>
      <c r="BF38" s="37"/>
      <c r="BG38" s="416"/>
      <c r="BH38" s="37"/>
      <c r="BI38" s="37"/>
      <c r="BJ38" s="37"/>
      <c r="BK38" s="37"/>
      <c r="BL38" s="416"/>
      <c r="BM38" s="488"/>
      <c r="BN38" s="488"/>
      <c r="BO38" s="657"/>
      <c r="BP38" s="488"/>
      <c r="BQ38" s="416"/>
      <c r="BR38" s="488"/>
      <c r="BS38" s="488"/>
      <c r="BT38" s="488"/>
      <c r="BU38" s="62"/>
      <c r="BV38" s="416"/>
      <c r="BW38" s="488"/>
      <c r="BX38" s="488"/>
      <c r="BY38" s="488"/>
      <c r="BZ38" s="488"/>
      <c r="CA38" s="416"/>
      <c r="CB38" s="488"/>
      <c r="CC38" s="488"/>
      <c r="CD38" s="488"/>
      <c r="CE38" s="488"/>
      <c r="CF38" s="416"/>
    </row>
    <row r="39" spans="1:97" s="1" customFormat="1" ht="12.75" customHeight="1" x14ac:dyDescent="0.4">
      <c r="A39" s="58"/>
      <c r="B39" s="2" t="s">
        <v>163</v>
      </c>
      <c r="C39" s="53"/>
      <c r="D39" s="54"/>
      <c r="E39" s="54"/>
      <c r="F39" s="54"/>
      <c r="G39" s="54"/>
      <c r="H39" s="54"/>
      <c r="I39" s="55"/>
      <c r="J39" s="56"/>
      <c r="K39" s="56"/>
      <c r="L39" s="225">
        <v>235.6</v>
      </c>
      <c r="M39" s="225">
        <v>269.7</v>
      </c>
      <c r="N39" s="339">
        <v>1034</v>
      </c>
      <c r="O39" s="340">
        <v>248.6</v>
      </c>
      <c r="P39" s="340">
        <v>271.7</v>
      </c>
      <c r="Q39" s="340">
        <v>263.39999999999998</v>
      </c>
      <c r="R39" s="340">
        <v>292.60000000000002</v>
      </c>
      <c r="S39" s="341">
        <f>SUM(O39:R39)</f>
        <v>1076.3</v>
      </c>
      <c r="T39" s="340">
        <v>281.60000000000002</v>
      </c>
      <c r="U39" s="340">
        <v>287</v>
      </c>
      <c r="V39" s="340">
        <v>268.10000000000002</v>
      </c>
      <c r="W39" s="340">
        <v>283.89999999999998</v>
      </c>
      <c r="X39" s="341">
        <f>SUM(T39:W39)</f>
        <v>1120.5999999999999</v>
      </c>
      <c r="Y39" s="340">
        <v>278.60000000000002</v>
      </c>
      <c r="Z39" s="340">
        <v>281.3</v>
      </c>
      <c r="AA39" s="340">
        <v>272.8</v>
      </c>
      <c r="AB39" s="340">
        <v>285.5</v>
      </c>
      <c r="AC39" s="341">
        <f>SUM(Y39:AB39)</f>
        <v>1118.2</v>
      </c>
      <c r="AD39" s="340">
        <v>286.2</v>
      </c>
      <c r="AE39" s="340">
        <v>289.7</v>
      </c>
      <c r="AF39" s="340">
        <v>317.3</v>
      </c>
      <c r="AG39" s="340">
        <v>346.1</v>
      </c>
      <c r="AH39" s="341">
        <f>SUM(AD39:AG39)</f>
        <v>1239.3000000000002</v>
      </c>
      <c r="AI39" s="340">
        <v>310.39999999999998</v>
      </c>
      <c r="AJ39" s="340">
        <v>303.60000000000002</v>
      </c>
      <c r="AK39" s="340">
        <f>303.5-AK43</f>
        <v>287.7</v>
      </c>
      <c r="AL39" s="340">
        <v>277.3</v>
      </c>
      <c r="AM39" s="341">
        <f>SUM(AI39:AL39)</f>
        <v>1179</v>
      </c>
      <c r="AN39" s="340">
        <v>316.8</v>
      </c>
      <c r="AO39" s="340">
        <v>307</v>
      </c>
      <c r="AP39" s="340">
        <f>339.9-AP43-AP46</f>
        <v>312.59999999999997</v>
      </c>
      <c r="AQ39" s="340">
        <f>348-AQ43-AQ46</f>
        <v>328</v>
      </c>
      <c r="AR39" s="341">
        <f>SUM(AN39:AQ39)</f>
        <v>1264.3999999999999</v>
      </c>
      <c r="AS39" s="340">
        <f>343-AS43-AS46</f>
        <v>328</v>
      </c>
      <c r="AT39" s="340">
        <f>369-AT43-AT46</f>
        <v>350</v>
      </c>
      <c r="AU39" s="340">
        <f>339-AU43-AU46</f>
        <v>309</v>
      </c>
      <c r="AV39" s="340">
        <f>425-AV43-AV46</f>
        <v>400</v>
      </c>
      <c r="AW39" s="341">
        <f>SUM(AS39:AV39)</f>
        <v>1387</v>
      </c>
      <c r="AX39" s="340">
        <f>366-AX43-AX46</f>
        <v>348</v>
      </c>
      <c r="AY39" s="340">
        <f>362-AY43-AY46</f>
        <v>344</v>
      </c>
      <c r="AZ39" s="489">
        <f>404-AZ43-AZ46</f>
        <v>387</v>
      </c>
      <c r="BA39" s="489">
        <v>423</v>
      </c>
      <c r="BB39" s="341">
        <f>SUM(AX39:BA39)</f>
        <v>1502</v>
      </c>
      <c r="BC39" s="489">
        <v>360</v>
      </c>
      <c r="BD39" s="489">
        <v>334</v>
      </c>
      <c r="BE39" s="489">
        <v>344</v>
      </c>
      <c r="BF39" s="489">
        <v>347</v>
      </c>
      <c r="BG39" s="341">
        <f>SUM(BC39:BF39)</f>
        <v>1385</v>
      </c>
      <c r="BH39" s="489">
        <v>336</v>
      </c>
      <c r="BI39" s="489">
        <v>350</v>
      </c>
      <c r="BJ39" s="489">
        <v>348</v>
      </c>
      <c r="BK39" s="489">
        <v>352</v>
      </c>
      <c r="BL39" s="341">
        <f>SUM(BH39:BK39)</f>
        <v>1386</v>
      </c>
      <c r="BM39" s="489">
        <v>366</v>
      </c>
      <c r="BN39" s="489">
        <v>392</v>
      </c>
      <c r="BO39" s="489">
        <v>416</v>
      </c>
      <c r="BP39" s="489">
        <v>418</v>
      </c>
      <c r="BQ39" s="341">
        <f>SUM(BM39:BP39)</f>
        <v>1592</v>
      </c>
      <c r="BR39" s="489">
        <v>379</v>
      </c>
      <c r="BS39" s="489">
        <v>380</v>
      </c>
      <c r="BT39" s="490">
        <f>BT31-BT52</f>
        <v>392.84886262729117</v>
      </c>
      <c r="BU39" s="490">
        <f>BU31-BU52</f>
        <v>405.96522450556239</v>
      </c>
      <c r="BV39" s="341">
        <f>SUM(BR39:BU39)</f>
        <v>1557.8140871328535</v>
      </c>
      <c r="BW39" s="490">
        <f>BW31-BW52</f>
        <v>395.35467711267609</v>
      </c>
      <c r="BX39" s="490">
        <f>BX31-BX52</f>
        <v>396.94776905940591</v>
      </c>
      <c r="BY39" s="490">
        <f>BY31-BY52</f>
        <v>430.0109170642819</v>
      </c>
      <c r="BZ39" s="490">
        <f>BZ31-BZ52</f>
        <v>441.72414682787382</v>
      </c>
      <c r="CA39" s="341">
        <f>SUM(BW39:BZ39)</f>
        <v>1664.0375100642377</v>
      </c>
      <c r="CB39" s="490">
        <f>CB31-CB52</f>
        <v>407.09177545862678</v>
      </c>
      <c r="CC39" s="490">
        <f>CC31-CC52</f>
        <v>409.37543302537131</v>
      </c>
      <c r="CD39" s="490">
        <f>CD31-CD52</f>
        <v>447.05913290107856</v>
      </c>
      <c r="CE39" s="490">
        <f>CE31-CE52</f>
        <v>461.21115008637969</v>
      </c>
      <c r="CF39" s="341">
        <f>SUM(CB39:CE39)</f>
        <v>1724.7374914714565</v>
      </c>
    </row>
    <row r="40" spans="1:97" s="1" customFormat="1" ht="12.75" customHeight="1" x14ac:dyDescent="0.4">
      <c r="A40" s="58"/>
      <c r="B40" s="42" t="s">
        <v>56</v>
      </c>
      <c r="C40" s="53"/>
      <c r="D40" s="54"/>
      <c r="E40" s="54"/>
      <c r="F40" s="54"/>
      <c r="G40" s="54"/>
      <c r="H40" s="54"/>
      <c r="I40" s="55"/>
      <c r="J40" s="56"/>
      <c r="K40" s="56"/>
      <c r="L40" s="229" t="str">
        <f t="shared" ref="L40:AH40" si="35">IFERROR(L39/G39-1,"NA")</f>
        <v>NA</v>
      </c>
      <c r="M40" s="229" t="str">
        <f t="shared" si="35"/>
        <v>NA</v>
      </c>
      <c r="N40" s="52" t="str">
        <f t="shared" si="35"/>
        <v>NA</v>
      </c>
      <c r="O40" s="229" t="str">
        <f t="shared" si="35"/>
        <v>NA</v>
      </c>
      <c r="P40" s="229" t="str">
        <f t="shared" si="35"/>
        <v>NA</v>
      </c>
      <c r="Q40" s="229">
        <f t="shared" si="35"/>
        <v>0.1179966044142613</v>
      </c>
      <c r="R40" s="229">
        <f t="shared" si="35"/>
        <v>8.4909158324063982E-2</v>
      </c>
      <c r="S40" s="52">
        <f t="shared" si="35"/>
        <v>4.0909090909090784E-2</v>
      </c>
      <c r="T40" s="229">
        <f t="shared" si="35"/>
        <v>0.13274336283185861</v>
      </c>
      <c r="U40" s="229">
        <f t="shared" si="35"/>
        <v>5.6312108943687988E-2</v>
      </c>
      <c r="V40" s="229">
        <f t="shared" si="35"/>
        <v>1.784358390280949E-2</v>
      </c>
      <c r="W40" s="229">
        <f t="shared" si="35"/>
        <v>-2.9733424470266723E-2</v>
      </c>
      <c r="X40" s="52">
        <f t="shared" si="35"/>
        <v>4.1159528012635782E-2</v>
      </c>
      <c r="Y40" s="229">
        <f t="shared" si="35"/>
        <v>-1.0653409090909061E-2</v>
      </c>
      <c r="Z40" s="229">
        <f t="shared" si="35"/>
        <v>-1.9860627177700318E-2</v>
      </c>
      <c r="AA40" s="229">
        <f t="shared" si="35"/>
        <v>1.7530772099962677E-2</v>
      </c>
      <c r="AB40" s="229">
        <f t="shared" si="35"/>
        <v>5.6357872490313543E-3</v>
      </c>
      <c r="AC40" s="52">
        <f t="shared" si="35"/>
        <v>-2.1417097983221778E-3</v>
      </c>
      <c r="AD40" s="229">
        <f t="shared" si="35"/>
        <v>2.7279253409906445E-2</v>
      </c>
      <c r="AE40" s="229">
        <f t="shared" si="35"/>
        <v>2.986135798080336E-2</v>
      </c>
      <c r="AF40" s="229">
        <f t="shared" si="35"/>
        <v>0.16312316715542519</v>
      </c>
      <c r="AG40" s="229">
        <f t="shared" si="35"/>
        <v>0.21225919439579699</v>
      </c>
      <c r="AH40" s="52">
        <f t="shared" si="35"/>
        <v>0.10829905204793433</v>
      </c>
      <c r="AI40" s="229">
        <f>AI39/AD39-1</f>
        <v>8.4556254367575079E-2</v>
      </c>
      <c r="AJ40" s="229">
        <f>AJ39/AE39-1</f>
        <v>4.7980669658267194E-2</v>
      </c>
      <c r="AK40" s="229">
        <f>AK39/AF39-1</f>
        <v>-9.3287109990545347E-2</v>
      </c>
      <c r="AL40" s="229">
        <f>AL39/AG39-1</f>
        <v>-0.19878647789656168</v>
      </c>
      <c r="AM40" s="52">
        <f>IFERROR(AM39/AH39-1,"NA")</f>
        <v>-4.8656499636891892E-2</v>
      </c>
      <c r="AN40" s="229">
        <f>AN39/AI39-1</f>
        <v>2.0618556701031077E-2</v>
      </c>
      <c r="AO40" s="229">
        <f>AO39/AJ39-1</f>
        <v>1.1198945981554687E-2</v>
      </c>
      <c r="AP40" s="229">
        <f>AP39/AK39-1</f>
        <v>8.6548488008342028E-2</v>
      </c>
      <c r="AQ40" s="229">
        <f>AQ39/AL39-1</f>
        <v>0.18283447529751173</v>
      </c>
      <c r="AR40" s="52">
        <f>IFERROR(AR39/AM39-1,"NA")</f>
        <v>7.2434266327396024E-2</v>
      </c>
      <c r="AS40" s="229">
        <f>AS39/AN39-1</f>
        <v>3.5353535353535248E-2</v>
      </c>
      <c r="AT40" s="229">
        <f>AT39/AO39-1</f>
        <v>0.14006514657980462</v>
      </c>
      <c r="AU40" s="229">
        <f>AU39/AP39-1</f>
        <v>-1.1516314779270509E-2</v>
      </c>
      <c r="AV40" s="229">
        <f>AV39/AQ39-1</f>
        <v>0.21951219512195119</v>
      </c>
      <c r="AW40" s="52">
        <f>IFERROR(AW39/AR39-1,"NA")</f>
        <v>9.6962986396710082E-2</v>
      </c>
      <c r="AX40" s="229">
        <f>AX39/AS39-1</f>
        <v>6.0975609756097615E-2</v>
      </c>
      <c r="AY40" s="229">
        <f>AY39/AT39-1</f>
        <v>-1.7142857142857126E-2</v>
      </c>
      <c r="AZ40" s="491">
        <f>AZ39/AU39-1</f>
        <v>0.25242718446601953</v>
      </c>
      <c r="BA40" s="491">
        <f>BA39/AV39-1</f>
        <v>5.7500000000000107E-2</v>
      </c>
      <c r="BB40" s="52">
        <f>IFERROR(BB39/AW39-1,"NA")</f>
        <v>8.2912761355443454E-2</v>
      </c>
      <c r="BC40" s="491">
        <f>BC39/AX39-1</f>
        <v>3.4482758620689724E-2</v>
      </c>
      <c r="BD40" s="491">
        <f>BD39/AY39-1</f>
        <v>-2.9069767441860517E-2</v>
      </c>
      <c r="BE40" s="491">
        <f>BE39/AZ39-1</f>
        <v>-0.11111111111111116</v>
      </c>
      <c r="BF40" s="491">
        <f>BF39/BA39-1</f>
        <v>-0.17966903073286056</v>
      </c>
      <c r="BG40" s="52">
        <f>IFERROR(BG39/BB39-1,"NA")</f>
        <v>-7.7896138482023924E-2</v>
      </c>
      <c r="BH40" s="491">
        <f>BH39/BC39-1</f>
        <v>-6.6666666666666652E-2</v>
      </c>
      <c r="BI40" s="491">
        <f>BI39/BD39-1</f>
        <v>4.7904191616766401E-2</v>
      </c>
      <c r="BJ40" s="491">
        <f>BJ39/BE39-1</f>
        <v>1.1627906976744207E-2</v>
      </c>
      <c r="BK40" s="491">
        <f>BK39/BF39-1</f>
        <v>1.4409221902017322E-2</v>
      </c>
      <c r="BL40" s="52">
        <f>IFERROR(BL39/BG39-1,"NA")</f>
        <v>7.2202166064982976E-4</v>
      </c>
      <c r="BM40" s="491">
        <f>BM39/BH39-1</f>
        <v>8.9285714285714191E-2</v>
      </c>
      <c r="BN40" s="491">
        <f>BN39/BI39-1</f>
        <v>0.12000000000000011</v>
      </c>
      <c r="BO40" s="491">
        <f>BO39/BJ39-1</f>
        <v>0.19540229885057481</v>
      </c>
      <c r="BP40" s="491">
        <f>BP39/BK39-1</f>
        <v>0.1875</v>
      </c>
      <c r="BQ40" s="52">
        <f>IFERROR(BQ39/BL39-1,"NA")</f>
        <v>0.14862914862914867</v>
      </c>
      <c r="BR40" s="491">
        <f>BR39/BM39-1</f>
        <v>3.5519125683060038E-2</v>
      </c>
      <c r="BS40" s="491">
        <f>BS39/BN39-1</f>
        <v>-3.0612244897959218E-2</v>
      </c>
      <c r="BT40" s="491">
        <f>BT39/BO39-1</f>
        <v>-5.5651772530550092E-2</v>
      </c>
      <c r="BU40" s="491">
        <f>BU39/BP39-1</f>
        <v>-2.8791328934061222E-2</v>
      </c>
      <c r="BV40" s="52">
        <f>IFERROR(BV39/BQ39-1,"NA")</f>
        <v>-2.1473563358760384E-2</v>
      </c>
      <c r="BW40" s="491">
        <f>BW39/BR39-1</f>
        <v>4.3152182355345792E-2</v>
      </c>
      <c r="BX40" s="491">
        <f>BX39/BS39-1</f>
        <v>4.4599392261594595E-2</v>
      </c>
      <c r="BY40" s="491">
        <f>BY39/BT39-1</f>
        <v>9.4596314186729868E-2</v>
      </c>
      <c r="BZ40" s="491">
        <f>BZ39/BU39-1</f>
        <v>8.8083708070964217E-2</v>
      </c>
      <c r="CA40" s="52">
        <f>IFERROR(CA39/BV39-1,"NA")</f>
        <v>6.8187483865220333E-2</v>
      </c>
      <c r="CB40" s="491">
        <f>CB39/BW39-1</f>
        <v>2.9687516110010748E-2</v>
      </c>
      <c r="CC40" s="491">
        <f>CC39/BX39-1</f>
        <v>3.1308058476845924E-2</v>
      </c>
      <c r="CD40" s="491">
        <f>CD39/BY39-1</f>
        <v>3.9646007020440743E-2</v>
      </c>
      <c r="CE40" s="491">
        <f>CE39/BZ39-1</f>
        <v>4.4115775418769099E-2</v>
      </c>
      <c r="CF40" s="52">
        <f>IFERROR(CF39/CA39-1,"NA")</f>
        <v>3.6477531930680707E-2</v>
      </c>
    </row>
    <row r="41" spans="1:97" s="1" customFormat="1" ht="12.75" customHeight="1" x14ac:dyDescent="0.4">
      <c r="A41" s="58"/>
      <c r="B41" s="42" t="s">
        <v>30</v>
      </c>
      <c r="C41" s="53"/>
      <c r="D41" s="54"/>
      <c r="E41" s="54"/>
      <c r="F41" s="54"/>
      <c r="G41" s="54"/>
      <c r="H41" s="54"/>
      <c r="I41" s="55"/>
      <c r="J41" s="56"/>
      <c r="K41" s="56"/>
      <c r="L41" s="229">
        <f t="shared" ref="L41:AC41" si="36">L39/L$31</f>
        <v>0.49278393641497592</v>
      </c>
      <c r="M41" s="229">
        <f t="shared" si="36"/>
        <v>0.51273764258555132</v>
      </c>
      <c r="N41" s="52">
        <f t="shared" si="36"/>
        <v>0.50129687537876033</v>
      </c>
      <c r="O41" s="229">
        <f t="shared" si="36"/>
        <v>0.46985446985446983</v>
      </c>
      <c r="P41" s="229">
        <f t="shared" si="36"/>
        <v>0.43472</v>
      </c>
      <c r="Q41" s="229">
        <f t="shared" si="36"/>
        <v>0.48188803512623485</v>
      </c>
      <c r="R41" s="229">
        <f t="shared" si="36"/>
        <v>0.51778446292691571</v>
      </c>
      <c r="S41" s="52">
        <f t="shared" si="36"/>
        <v>0.47501986053491035</v>
      </c>
      <c r="T41" s="229">
        <f t="shared" si="36"/>
        <v>0.46754109247883124</v>
      </c>
      <c r="U41" s="229">
        <f t="shared" si="36"/>
        <v>0.44899874843554438</v>
      </c>
      <c r="V41" s="229">
        <f t="shared" si="36"/>
        <v>0.48914431673052367</v>
      </c>
      <c r="W41" s="229">
        <f t="shared" si="36"/>
        <v>0.52130003672420122</v>
      </c>
      <c r="X41" s="52">
        <f t="shared" si="36"/>
        <v>0.48007882786393624</v>
      </c>
      <c r="Y41" s="229">
        <f t="shared" si="36"/>
        <v>0.53056560655113316</v>
      </c>
      <c r="Z41" s="229">
        <f t="shared" si="36"/>
        <v>0.44964833759590794</v>
      </c>
      <c r="AA41" s="229">
        <f t="shared" si="36"/>
        <v>0.44553323534215261</v>
      </c>
      <c r="AB41" s="229">
        <f t="shared" si="36"/>
        <v>0.46972688384336958</v>
      </c>
      <c r="AC41" s="52">
        <f t="shared" si="36"/>
        <v>0.47165513750632698</v>
      </c>
      <c r="AD41" s="229">
        <f t="shared" ref="AD41:AM41" si="37">AD39/AD$31</f>
        <v>0.42831487578569288</v>
      </c>
      <c r="AE41" s="229">
        <f t="shared" si="37"/>
        <v>0.42187272462501818</v>
      </c>
      <c r="AF41" s="229">
        <f t="shared" si="37"/>
        <v>0.45707288965715931</v>
      </c>
      <c r="AG41" s="229">
        <f t="shared" si="37"/>
        <v>0.47757692838415894</v>
      </c>
      <c r="AH41" s="52">
        <f t="shared" si="37"/>
        <v>0.44678780012978592</v>
      </c>
      <c r="AI41" s="229">
        <f t="shared" si="37"/>
        <v>0.4311709959716627</v>
      </c>
      <c r="AJ41" s="229">
        <f t="shared" si="37"/>
        <v>0.40356240861358506</v>
      </c>
      <c r="AK41" s="229">
        <f t="shared" si="37"/>
        <v>0.44618486352357323</v>
      </c>
      <c r="AL41" s="229">
        <f t="shared" si="37"/>
        <v>0.4657373194491099</v>
      </c>
      <c r="AM41" s="52">
        <f t="shared" si="37"/>
        <v>0.43467040259548739</v>
      </c>
      <c r="AN41" s="229">
        <f t="shared" ref="AN41:AZ41" si="38">AN39/AN$31</f>
        <v>0.47276525891657972</v>
      </c>
      <c r="AO41" s="229">
        <f t="shared" si="38"/>
        <v>0.41576381365113757</v>
      </c>
      <c r="AP41" s="229">
        <f t="shared" si="38"/>
        <v>0.41869809804446828</v>
      </c>
      <c r="AQ41" s="229">
        <f t="shared" si="38"/>
        <v>0.45555555555555555</v>
      </c>
      <c r="AR41" s="52">
        <f t="shared" si="38"/>
        <v>0.43977600779103332</v>
      </c>
      <c r="AS41" s="229">
        <f t="shared" si="38"/>
        <v>0.41309823677581864</v>
      </c>
      <c r="AT41" s="229">
        <f t="shared" si="38"/>
        <v>0.37313432835820898</v>
      </c>
      <c r="AU41" s="229">
        <f t="shared" si="38"/>
        <v>0.37454545454545457</v>
      </c>
      <c r="AV41" s="229">
        <f t="shared" si="38"/>
        <v>0.54421768707482998</v>
      </c>
      <c r="AW41" s="52">
        <f t="shared" si="38"/>
        <v>0.42132442284325639</v>
      </c>
      <c r="AX41" s="229">
        <f t="shared" si="38"/>
        <v>0.3359073359073359</v>
      </c>
      <c r="AY41" s="229">
        <f t="shared" si="38"/>
        <v>0.3510204081632653</v>
      </c>
      <c r="AZ41" s="491">
        <f t="shared" si="38"/>
        <v>0.41837837837837838</v>
      </c>
      <c r="BA41" s="491">
        <f>BA39/BA31</f>
        <v>0.48564867967853043</v>
      </c>
      <c r="BB41" s="52">
        <f>BB39/BB$31</f>
        <v>0.39401888772298005</v>
      </c>
      <c r="BC41" s="491">
        <f>BC39/BC$31</f>
        <v>0.43530834340991537</v>
      </c>
      <c r="BD41" s="491">
        <f>BD39/BD$31</f>
        <v>0.47308781869688388</v>
      </c>
      <c r="BE41" s="491">
        <f>BE39/BE31</f>
        <v>0.58305084745762714</v>
      </c>
      <c r="BF41" s="491">
        <f>BF39/BF31</f>
        <v>0.60243055555555558</v>
      </c>
      <c r="BG41" s="52">
        <f t="shared" ref="BG41:BL41" si="39">BG39/BG$31</f>
        <v>0.51315301963690252</v>
      </c>
      <c r="BH41" s="491">
        <f t="shared" si="39"/>
        <v>0.45839017735334242</v>
      </c>
      <c r="BI41" s="491">
        <f t="shared" si="39"/>
        <v>0.46854082998661312</v>
      </c>
      <c r="BJ41" s="491">
        <f t="shared" si="39"/>
        <v>0.5</v>
      </c>
      <c r="BK41" s="491">
        <f t="shared" si="39"/>
        <v>0.51461988304093564</v>
      </c>
      <c r="BL41" s="52">
        <f t="shared" si="39"/>
        <v>0.48461538461538461</v>
      </c>
      <c r="BM41" s="491">
        <f>BM39/BM$31</f>
        <v>0.37082066869300911</v>
      </c>
      <c r="BN41" s="491">
        <f>BN39/BN$31</f>
        <v>0.38620689655172413</v>
      </c>
      <c r="BO41" s="491">
        <f>BO39/BO$31</f>
        <v>0.42362525458248473</v>
      </c>
      <c r="BP41" s="491">
        <f>BP39/BP31</f>
        <v>0.51668726823238564</v>
      </c>
      <c r="BQ41" s="52">
        <f>BQ39/BQ$31</f>
        <v>0.41972053783284996</v>
      </c>
      <c r="BR41" s="491">
        <f>BR39/BR31</f>
        <v>0.35586854460093897</v>
      </c>
      <c r="BS41" s="491">
        <f>BS39/BS31</f>
        <v>0.37623762376237624</v>
      </c>
      <c r="BT41" s="491">
        <f>BT39/BT31</f>
        <v>0.35862525458248462</v>
      </c>
      <c r="BU41" s="491">
        <f>BU39/BU31</f>
        <v>0.45168726823238559</v>
      </c>
      <c r="BV41" s="52">
        <f>BV39/BV$31</f>
        <v>0.38283008281294589</v>
      </c>
      <c r="BW41" s="491">
        <f>BW39/BW31</f>
        <v>0.34086854460093896</v>
      </c>
      <c r="BX41" s="491">
        <f>BX39/BX31</f>
        <v>0.36123762376237623</v>
      </c>
      <c r="BY41" s="491">
        <f>BY39/BY31</f>
        <v>0.36612525458248457</v>
      </c>
      <c r="BZ41" s="491">
        <f>BZ39/BZ31</f>
        <v>0.45918726823238554</v>
      </c>
      <c r="CA41" s="52">
        <f>CA39/CA$31</f>
        <v>0.37860674392832366</v>
      </c>
      <c r="CB41" s="491">
        <f>CB39/CB31</f>
        <v>0.32836854460093895</v>
      </c>
      <c r="CC41" s="491">
        <f>CC39/CC31</f>
        <v>0.34873762376237627</v>
      </c>
      <c r="CD41" s="491">
        <f>CD39/CD31</f>
        <v>0.35612525458248456</v>
      </c>
      <c r="CE41" s="491">
        <f>CE39/CE31</f>
        <v>0.44918726823238558</v>
      </c>
      <c r="CF41" s="52">
        <f>CF39/CF$31</f>
        <v>0.36729919821850504</v>
      </c>
    </row>
    <row r="42" spans="1:97" s="1" customFormat="1" ht="12.75" customHeight="1" x14ac:dyDescent="0.4">
      <c r="A42" s="58"/>
      <c r="B42" s="42" t="s">
        <v>266</v>
      </c>
      <c r="C42" s="53"/>
      <c r="D42" s="54"/>
      <c r="E42" s="54"/>
      <c r="F42" s="54"/>
      <c r="G42" s="54"/>
      <c r="H42" s="54"/>
      <c r="I42" s="55"/>
      <c r="J42" s="56"/>
      <c r="K42" s="56"/>
      <c r="L42" s="418"/>
      <c r="M42" s="418"/>
      <c r="N42" s="259"/>
      <c r="O42" s="418"/>
      <c r="P42" s="418"/>
      <c r="Q42" s="385">
        <f t="shared" ref="Q42:AH42" si="40">(Q41-L41)*10000</f>
        <v>-108.95901288741072</v>
      </c>
      <c r="R42" s="385">
        <f t="shared" si="40"/>
        <v>50.468203413643884</v>
      </c>
      <c r="S42" s="386">
        <f t="shared" si="40"/>
        <v>-262.77014843849975</v>
      </c>
      <c r="T42" s="385">
        <f t="shared" si="40"/>
        <v>-23.133773756385811</v>
      </c>
      <c r="U42" s="385">
        <f t="shared" si="40"/>
        <v>142.78748435544387</v>
      </c>
      <c r="V42" s="385">
        <f t="shared" si="40"/>
        <v>72.562816042888173</v>
      </c>
      <c r="W42" s="385">
        <f t="shared" si="40"/>
        <v>35.155737972855093</v>
      </c>
      <c r="X42" s="386">
        <f t="shared" si="40"/>
        <v>50.589673290258872</v>
      </c>
      <c r="Y42" s="385">
        <f t="shared" si="40"/>
        <v>630.24514072301918</v>
      </c>
      <c r="Z42" s="385">
        <f t="shared" si="40"/>
        <v>6.4958916036356174</v>
      </c>
      <c r="AA42" s="385">
        <f t="shared" si="40"/>
        <v>-436.11081388371053</v>
      </c>
      <c r="AB42" s="385">
        <f t="shared" si="40"/>
        <v>-515.7315288083164</v>
      </c>
      <c r="AC42" s="386">
        <f t="shared" si="40"/>
        <v>-84.236903576092587</v>
      </c>
      <c r="AD42" s="385">
        <f t="shared" si="40"/>
        <v>-1022.5073076544028</v>
      </c>
      <c r="AE42" s="385">
        <f t="shared" si="40"/>
        <v>-277.75612970889762</v>
      </c>
      <c r="AF42" s="385">
        <f t="shared" si="40"/>
        <v>115.39654315006698</v>
      </c>
      <c r="AG42" s="385">
        <f t="shared" si="40"/>
        <v>78.500445407893579</v>
      </c>
      <c r="AH42" s="386">
        <f t="shared" si="40"/>
        <v>-248.67337376541064</v>
      </c>
      <c r="AI42" s="385">
        <f>(AI41-AD41)*10000</f>
        <v>28.561201859698127</v>
      </c>
      <c r="AJ42" s="385">
        <f>(AJ41-AE41)*10000</f>
        <v>-183.10316011433125</v>
      </c>
      <c r="AK42" s="385">
        <f>(AK41-AF41)*10000</f>
        <v>-108.88026133586082</v>
      </c>
      <c r="AL42" s="385">
        <f>(AL41-AG41)*10000</f>
        <v>-118.3960893504904</v>
      </c>
      <c r="AM42" s="386">
        <f>(AM41-AH41)*10000</f>
        <v>-121.17397534298524</v>
      </c>
      <c r="AN42" s="385">
        <f t="shared" ref="AN42:AZ42" si="41">(AN41-AI41)*10000</f>
        <v>415.94262944917028</v>
      </c>
      <c r="AO42" s="385">
        <f t="shared" si="41"/>
        <v>122.01405037552516</v>
      </c>
      <c r="AP42" s="385">
        <f t="shared" si="41"/>
        <v>-274.86765479104946</v>
      </c>
      <c r="AQ42" s="385">
        <f t="shared" si="41"/>
        <v>-101.81763893554351</v>
      </c>
      <c r="AR42" s="386">
        <f>(AR41-AM41)*10000</f>
        <v>51.05605195545926</v>
      </c>
      <c r="AS42" s="385">
        <f t="shared" si="41"/>
        <v>-596.67022140761082</v>
      </c>
      <c r="AT42" s="385">
        <f t="shared" si="41"/>
        <v>-426.29485292928592</v>
      </c>
      <c r="AU42" s="385">
        <f t="shared" si="41"/>
        <v>-441.52643499013709</v>
      </c>
      <c r="AV42" s="385">
        <f t="shared" si="41"/>
        <v>886.62131519274431</v>
      </c>
      <c r="AW42" s="386">
        <f>(AW41-AR41)*10000</f>
        <v>-184.51584947776934</v>
      </c>
      <c r="AX42" s="385">
        <f t="shared" si="41"/>
        <v>-771.90900868482731</v>
      </c>
      <c r="AY42" s="385">
        <f t="shared" si="41"/>
        <v>-221.13920194943682</v>
      </c>
      <c r="AZ42" s="385">
        <f t="shared" si="41"/>
        <v>438.32923832923808</v>
      </c>
      <c r="BA42" s="148">
        <f t="shared" ref="BA42:BV42" si="42">(BA41-AV41)*10000</f>
        <v>-585.6900739629956</v>
      </c>
      <c r="BB42" s="386">
        <f t="shared" si="42"/>
        <v>-273.05535120276335</v>
      </c>
      <c r="BC42" s="385">
        <f t="shared" si="42"/>
        <v>994.01007502579466</v>
      </c>
      <c r="BD42" s="385">
        <f t="shared" si="42"/>
        <v>1220.6741053361859</v>
      </c>
      <c r="BE42" s="148">
        <f t="shared" si="42"/>
        <v>1646.7246907924875</v>
      </c>
      <c r="BF42" s="148">
        <f t="shared" si="42"/>
        <v>1167.8187587702516</v>
      </c>
      <c r="BG42" s="386">
        <f t="shared" si="42"/>
        <v>1191.3413191392247</v>
      </c>
      <c r="BH42" s="385">
        <f t="shared" si="42"/>
        <v>230.81833943427054</v>
      </c>
      <c r="BI42" s="385">
        <f t="shared" si="42"/>
        <v>-45.469887102707609</v>
      </c>
      <c r="BJ42" s="385">
        <f t="shared" si="42"/>
        <v>-830.5084745762714</v>
      </c>
      <c r="BK42" s="385">
        <f t="shared" si="42"/>
        <v>-878.10672514619932</v>
      </c>
      <c r="BL42" s="386">
        <f t="shared" si="42"/>
        <v>-285.37635021517906</v>
      </c>
      <c r="BM42" s="385">
        <f>(BM41-BH41)*10000</f>
        <v>-875.69508660333304</v>
      </c>
      <c r="BN42" s="385">
        <f>(BN41-BI41)*10000</f>
        <v>-823.33933434888979</v>
      </c>
      <c r="BO42" s="385">
        <f>(BO41-BJ41)*10000</f>
        <v>-763.74745417515271</v>
      </c>
      <c r="BP42" s="148">
        <f>(BP41-BK41)*10000</f>
        <v>20.673851914499998</v>
      </c>
      <c r="BQ42" s="386">
        <f t="shared" si="42"/>
        <v>-648.9484678253466</v>
      </c>
      <c r="BR42" s="148">
        <f t="shared" si="42"/>
        <v>-149.52124092070142</v>
      </c>
      <c r="BS42" s="148">
        <f t="shared" si="42"/>
        <v>-99.692727893478946</v>
      </c>
      <c r="BT42" s="148">
        <f t="shared" si="42"/>
        <v>-650.00000000000114</v>
      </c>
      <c r="BU42" s="148">
        <f t="shared" si="42"/>
        <v>-650.00000000000057</v>
      </c>
      <c r="BV42" s="386">
        <f t="shared" si="42"/>
        <v>-368.90455019904067</v>
      </c>
      <c r="BW42" s="148">
        <f t="shared" ref="BW42:CF42" si="43">(BW41-BR41)*10000</f>
        <v>-150.00000000000014</v>
      </c>
      <c r="BX42" s="148">
        <f t="shared" si="43"/>
        <v>-150.00000000000014</v>
      </c>
      <c r="BY42" s="148">
        <f t="shared" si="43"/>
        <v>74.999999999999517</v>
      </c>
      <c r="BZ42" s="148">
        <f t="shared" si="43"/>
        <v>74.999999999999517</v>
      </c>
      <c r="CA42" s="386">
        <f t="shared" si="43"/>
        <v>-42.233388846222297</v>
      </c>
      <c r="CB42" s="148">
        <f t="shared" si="43"/>
        <v>-125.00000000000011</v>
      </c>
      <c r="CC42" s="148">
        <f t="shared" si="43"/>
        <v>-124.99999999999956</v>
      </c>
      <c r="CD42" s="148">
        <f t="shared" si="43"/>
        <v>-100.00000000000009</v>
      </c>
      <c r="CE42" s="148">
        <f t="shared" si="43"/>
        <v>-99.999999999999531</v>
      </c>
      <c r="CF42" s="386">
        <f t="shared" si="43"/>
        <v>-113.07545709818623</v>
      </c>
    </row>
    <row r="43" spans="1:97" s="1" customFormat="1" ht="12.75" customHeight="1" x14ac:dyDescent="0.4">
      <c r="A43" s="58"/>
      <c r="B43" s="2" t="s">
        <v>44</v>
      </c>
      <c r="C43" s="53"/>
      <c r="D43" s="54"/>
      <c r="E43" s="54"/>
      <c r="F43" s="54"/>
      <c r="G43" s="54"/>
      <c r="H43" s="54"/>
      <c r="I43" s="55"/>
      <c r="J43" s="56"/>
      <c r="K43" s="56"/>
      <c r="L43" s="225">
        <v>12.1</v>
      </c>
      <c r="M43" s="225">
        <v>11.7</v>
      </c>
      <c r="N43" s="339">
        <v>46.7</v>
      </c>
      <c r="O43" s="340">
        <v>11.4</v>
      </c>
      <c r="P43" s="340">
        <v>11.4</v>
      </c>
      <c r="Q43" s="340">
        <v>11.6</v>
      </c>
      <c r="R43" s="340">
        <v>15</v>
      </c>
      <c r="S43" s="341">
        <f>SUM(O43:R43)</f>
        <v>49.4</v>
      </c>
      <c r="T43" s="340">
        <v>16</v>
      </c>
      <c r="U43" s="340">
        <v>15.8</v>
      </c>
      <c r="V43" s="340">
        <v>11.4</v>
      </c>
      <c r="W43" s="340">
        <v>17.3</v>
      </c>
      <c r="X43" s="341">
        <f>SUM(T43:W43)</f>
        <v>60.5</v>
      </c>
      <c r="Y43" s="340">
        <v>17.5</v>
      </c>
      <c r="Z43" s="340">
        <v>18.2</v>
      </c>
      <c r="AA43" s="340">
        <v>19.100000000000001</v>
      </c>
      <c r="AB43" s="340">
        <v>19</v>
      </c>
      <c r="AC43" s="341">
        <f>SUM(Y43:AB43)</f>
        <v>73.800000000000011</v>
      </c>
      <c r="AD43" s="340">
        <v>18.899999999999999</v>
      </c>
      <c r="AE43" s="340">
        <v>18.899999999999999</v>
      </c>
      <c r="AF43" s="340">
        <v>18.600000000000001</v>
      </c>
      <c r="AG43" s="340">
        <v>18.3</v>
      </c>
      <c r="AH43" s="341">
        <f>SUM(AD43:AG43)</f>
        <v>74.7</v>
      </c>
      <c r="AI43" s="340">
        <v>16.8</v>
      </c>
      <c r="AJ43" s="340">
        <v>16.7</v>
      </c>
      <c r="AK43" s="340">
        <v>15.8</v>
      </c>
      <c r="AL43" s="340">
        <v>15.6</v>
      </c>
      <c r="AM43" s="341">
        <f>SUM(AI43:AL43)</f>
        <v>64.899999999999991</v>
      </c>
      <c r="AN43" s="340">
        <v>17</v>
      </c>
      <c r="AO43" s="340">
        <v>18</v>
      </c>
      <c r="AP43" s="340">
        <v>18</v>
      </c>
      <c r="AQ43" s="340">
        <v>18</v>
      </c>
      <c r="AR43" s="341">
        <f>SUM(AN43:AQ43)</f>
        <v>71</v>
      </c>
      <c r="AS43" s="340">
        <v>16</v>
      </c>
      <c r="AT43" s="340">
        <v>19</v>
      </c>
      <c r="AU43" s="340">
        <v>17</v>
      </c>
      <c r="AV43" s="340">
        <v>18</v>
      </c>
      <c r="AW43" s="341">
        <f>SUM(AS43:AV43)</f>
        <v>70</v>
      </c>
      <c r="AX43" s="340">
        <v>18</v>
      </c>
      <c r="AY43" s="340">
        <v>18</v>
      </c>
      <c r="AZ43" s="489">
        <v>17</v>
      </c>
      <c r="BA43" s="489">
        <v>19</v>
      </c>
      <c r="BB43" s="341">
        <f>SUM(AX43:BA43)</f>
        <v>72</v>
      </c>
      <c r="BC43" s="489">
        <v>18</v>
      </c>
      <c r="BD43" s="489">
        <v>21</v>
      </c>
      <c r="BE43" s="489">
        <v>21</v>
      </c>
      <c r="BF43" s="489">
        <v>21</v>
      </c>
      <c r="BG43" s="341">
        <f>SUM(BC43:BF43)</f>
        <v>81</v>
      </c>
      <c r="BH43" s="489">
        <v>18</v>
      </c>
      <c r="BI43" s="489">
        <v>19</v>
      </c>
      <c r="BJ43" s="489">
        <v>19</v>
      </c>
      <c r="BK43" s="489">
        <v>19</v>
      </c>
      <c r="BL43" s="341">
        <f>SUM(BH43:BK43)</f>
        <v>75</v>
      </c>
      <c r="BM43" s="489">
        <v>18</v>
      </c>
      <c r="BN43" s="489">
        <v>20</v>
      </c>
      <c r="BO43" s="489">
        <v>20</v>
      </c>
      <c r="BP43" s="489">
        <v>20</v>
      </c>
      <c r="BQ43" s="341">
        <f>SUM(BM43:BP43)</f>
        <v>78</v>
      </c>
      <c r="BR43" s="489">
        <v>19</v>
      </c>
      <c r="BS43" s="489">
        <v>23</v>
      </c>
      <c r="BT43" s="489">
        <f>BO43+2</f>
        <v>22</v>
      </c>
      <c r="BU43" s="489">
        <f>BP43+2</f>
        <v>22</v>
      </c>
      <c r="BV43" s="341">
        <f>SUM(BR43:BU43)</f>
        <v>86</v>
      </c>
      <c r="BW43" s="489">
        <f>BR43+1</f>
        <v>20</v>
      </c>
      <c r="BX43" s="489">
        <f>BS43+1</f>
        <v>24</v>
      </c>
      <c r="BY43" s="489">
        <f>BT43</f>
        <v>22</v>
      </c>
      <c r="BZ43" s="489">
        <f>BU43</f>
        <v>22</v>
      </c>
      <c r="CA43" s="341">
        <f>SUM(BW43:BZ43)</f>
        <v>88</v>
      </c>
      <c r="CB43" s="489">
        <f>BZ43</f>
        <v>22</v>
      </c>
      <c r="CC43" s="489">
        <f>CB43</f>
        <v>22</v>
      </c>
      <c r="CD43" s="489">
        <f>CC43</f>
        <v>22</v>
      </c>
      <c r="CE43" s="489">
        <f>CD43</f>
        <v>22</v>
      </c>
      <c r="CF43" s="341">
        <f>SUM(CB43:CE43)</f>
        <v>88</v>
      </c>
    </row>
    <row r="44" spans="1:97" s="1" customFormat="1" ht="12.75" customHeight="1" x14ac:dyDescent="0.4">
      <c r="A44" s="58"/>
      <c r="B44" s="42" t="s">
        <v>56</v>
      </c>
      <c r="C44" s="53"/>
      <c r="D44" s="54"/>
      <c r="E44" s="54"/>
      <c r="F44" s="54"/>
      <c r="G44" s="54"/>
      <c r="H44" s="54"/>
      <c r="I44" s="55"/>
      <c r="J44" s="56"/>
      <c r="K44" s="56"/>
      <c r="L44" s="229" t="str">
        <f t="shared" ref="L44:AH44" si="44">IFERROR(L43/G43-1,"NA")</f>
        <v>NA</v>
      </c>
      <c r="M44" s="229" t="str">
        <f t="shared" si="44"/>
        <v>NA</v>
      </c>
      <c r="N44" s="52" t="str">
        <f t="shared" si="44"/>
        <v>NA</v>
      </c>
      <c r="O44" s="229" t="str">
        <f t="shared" si="44"/>
        <v>NA</v>
      </c>
      <c r="P44" s="229" t="str">
        <f t="shared" si="44"/>
        <v>NA</v>
      </c>
      <c r="Q44" s="229">
        <f t="shared" si="44"/>
        <v>-4.132231404958675E-2</v>
      </c>
      <c r="R44" s="229">
        <f t="shared" si="44"/>
        <v>0.28205128205128216</v>
      </c>
      <c r="S44" s="52">
        <f t="shared" si="44"/>
        <v>5.7815845824411127E-2</v>
      </c>
      <c r="T44" s="229">
        <f t="shared" si="44"/>
        <v>0.40350877192982448</v>
      </c>
      <c r="U44" s="229">
        <f t="shared" si="44"/>
        <v>0.38596491228070184</v>
      </c>
      <c r="V44" s="229">
        <f t="shared" si="44"/>
        <v>-1.7241379310344751E-2</v>
      </c>
      <c r="W44" s="229">
        <f t="shared" si="44"/>
        <v>0.15333333333333332</v>
      </c>
      <c r="X44" s="52">
        <f t="shared" si="44"/>
        <v>0.22469635627530371</v>
      </c>
      <c r="Y44" s="229">
        <f t="shared" si="44"/>
        <v>9.375E-2</v>
      </c>
      <c r="Z44" s="229">
        <f t="shared" si="44"/>
        <v>0.15189873417721511</v>
      </c>
      <c r="AA44" s="229">
        <f t="shared" si="44"/>
        <v>0.67543859649122817</v>
      </c>
      <c r="AB44" s="229">
        <f t="shared" si="44"/>
        <v>9.8265895953757232E-2</v>
      </c>
      <c r="AC44" s="52">
        <f t="shared" si="44"/>
        <v>0.2198347107438019</v>
      </c>
      <c r="AD44" s="229">
        <f t="shared" si="44"/>
        <v>7.9999999999999849E-2</v>
      </c>
      <c r="AE44" s="229">
        <f t="shared" si="44"/>
        <v>3.8461538461538325E-2</v>
      </c>
      <c r="AF44" s="229">
        <f t="shared" si="44"/>
        <v>-2.6178010471204161E-2</v>
      </c>
      <c r="AG44" s="229">
        <f t="shared" si="44"/>
        <v>-3.6842105263157898E-2</v>
      </c>
      <c r="AH44" s="52">
        <f t="shared" si="44"/>
        <v>1.2195121951219301E-2</v>
      </c>
      <c r="AI44" s="229">
        <f>AI43/AD43-1</f>
        <v>-0.11111111111111105</v>
      </c>
      <c r="AJ44" s="229">
        <f>AJ43/AE43-1</f>
        <v>-0.1164021164021164</v>
      </c>
      <c r="AK44" s="229">
        <f>AK43/AF43-1</f>
        <v>-0.15053763440860213</v>
      </c>
      <c r="AL44" s="229">
        <f>AL43/AG43-1</f>
        <v>-0.14754098360655743</v>
      </c>
      <c r="AM44" s="52">
        <f>IFERROR(AM43/AH43-1,"NA")</f>
        <v>-0.13119143239625186</v>
      </c>
      <c r="AN44" s="229">
        <f>AN43/AI43-1</f>
        <v>1.1904761904761862E-2</v>
      </c>
      <c r="AO44" s="229">
        <f>AO43/AJ43-1</f>
        <v>7.7844311377245567E-2</v>
      </c>
      <c r="AP44" s="229">
        <f>AP43/AK43-1</f>
        <v>0.13924050632911378</v>
      </c>
      <c r="AQ44" s="229">
        <f>AQ43/AL43-1</f>
        <v>0.15384615384615397</v>
      </c>
      <c r="AR44" s="52">
        <f>IFERROR(AR43/AM43-1,"NA")</f>
        <v>9.3990755007704374E-2</v>
      </c>
      <c r="AS44" s="229">
        <f>AS43/AN43-1</f>
        <v>-5.8823529411764719E-2</v>
      </c>
      <c r="AT44" s="229">
        <f>AT43/AO43-1</f>
        <v>5.555555555555558E-2</v>
      </c>
      <c r="AU44" s="229">
        <f>AU43/AP43-1</f>
        <v>-5.555555555555558E-2</v>
      </c>
      <c r="AV44" s="229">
        <f>AV43/AQ43-1</f>
        <v>0</v>
      </c>
      <c r="AW44" s="52">
        <f>IFERROR(AW43/AR43-1,"NA")</f>
        <v>-1.4084507042253502E-2</v>
      </c>
      <c r="AX44" s="229">
        <f>AX43/AS43-1</f>
        <v>0.125</v>
      </c>
      <c r="AY44" s="229">
        <f>AY43/AT43-1</f>
        <v>-5.2631578947368474E-2</v>
      </c>
      <c r="AZ44" s="491">
        <f>AZ43/AU43-1</f>
        <v>0</v>
      </c>
      <c r="BA44" s="491">
        <f>BA43/AV43-1</f>
        <v>5.555555555555558E-2</v>
      </c>
      <c r="BB44" s="52">
        <f>IFERROR(BB43/AW43-1,"NA")</f>
        <v>2.857142857142847E-2</v>
      </c>
      <c r="BC44" s="491">
        <f>BC43/AX43-1</f>
        <v>0</v>
      </c>
      <c r="BD44" s="491">
        <f>BD43/AY43-1</f>
        <v>0.16666666666666674</v>
      </c>
      <c r="BE44" s="491">
        <f>BE43/AZ43-1</f>
        <v>0.23529411764705888</v>
      </c>
      <c r="BF44" s="491">
        <f>BF43/BA43-1</f>
        <v>0.10526315789473695</v>
      </c>
      <c r="BG44" s="52">
        <f>IFERROR(BG43/BB43-1,"NA")</f>
        <v>0.125</v>
      </c>
      <c r="BH44" s="491">
        <f>BH43/BC43-1</f>
        <v>0</v>
      </c>
      <c r="BI44" s="491">
        <f>BI43/BD43-1</f>
        <v>-9.5238095238095233E-2</v>
      </c>
      <c r="BJ44" s="491">
        <f>BJ43/BE43-1</f>
        <v>-9.5238095238095233E-2</v>
      </c>
      <c r="BK44" s="491">
        <f>BK43/BF43-1</f>
        <v>-9.5238095238095233E-2</v>
      </c>
      <c r="BL44" s="52">
        <f>IFERROR(BL43/BG43-1,"NA")</f>
        <v>-7.407407407407407E-2</v>
      </c>
      <c r="BM44" s="491">
        <f>BM43/BH43-1</f>
        <v>0</v>
      </c>
      <c r="BN44" s="491">
        <f>BN43/BI43-1</f>
        <v>5.2631578947368363E-2</v>
      </c>
      <c r="BO44" s="491">
        <f>BO43/BJ43-1</f>
        <v>5.2631578947368363E-2</v>
      </c>
      <c r="BP44" s="491">
        <f>BP43/BK43-1</f>
        <v>5.2631578947368363E-2</v>
      </c>
      <c r="BQ44" s="52">
        <f>IFERROR(BQ43/BL43-1,"NA")</f>
        <v>4.0000000000000036E-2</v>
      </c>
      <c r="BR44" s="491">
        <f>BR43/BM43-1</f>
        <v>5.555555555555558E-2</v>
      </c>
      <c r="BS44" s="491">
        <f>BS43/BN43-1</f>
        <v>0.14999999999999991</v>
      </c>
      <c r="BT44" s="491">
        <f>BT43/BO43-1</f>
        <v>0.10000000000000009</v>
      </c>
      <c r="BU44" s="491">
        <f>BU43/BP43-1</f>
        <v>0.10000000000000009</v>
      </c>
      <c r="BV44" s="52">
        <f>IFERROR(BV43/BQ43-1,"NA")</f>
        <v>0.10256410256410264</v>
      </c>
      <c r="BW44" s="491">
        <f>BW43/BR43-1</f>
        <v>5.2631578947368363E-2</v>
      </c>
      <c r="BX44" s="491">
        <f>BX43/BS43-1</f>
        <v>4.3478260869565188E-2</v>
      </c>
      <c r="BY44" s="491">
        <f>BY43/BT43-1</f>
        <v>0</v>
      </c>
      <c r="BZ44" s="491">
        <f>BZ43/BU43-1</f>
        <v>0</v>
      </c>
      <c r="CA44" s="52">
        <f>IFERROR(CA43/BV43-1,"NA")</f>
        <v>2.3255813953488413E-2</v>
      </c>
      <c r="CB44" s="491">
        <f>CB43/BW43-1</f>
        <v>0.10000000000000009</v>
      </c>
      <c r="CC44" s="491">
        <f>CC43/BX43-1</f>
        <v>-8.333333333333337E-2</v>
      </c>
      <c r="CD44" s="491">
        <f>CD43/BY43-1</f>
        <v>0</v>
      </c>
      <c r="CE44" s="491">
        <f>CE43/BZ43-1</f>
        <v>0</v>
      </c>
      <c r="CF44" s="52">
        <f>IFERROR(CF43/CA43-1,"NA")</f>
        <v>0</v>
      </c>
    </row>
    <row r="45" spans="1:97" s="1" customFormat="1" ht="12.75" customHeight="1" x14ac:dyDescent="0.4">
      <c r="A45" s="58"/>
      <c r="B45" s="42" t="s">
        <v>30</v>
      </c>
      <c r="C45" s="53"/>
      <c r="D45" s="54"/>
      <c r="E45" s="54"/>
      <c r="F45" s="54"/>
      <c r="G45" s="54"/>
      <c r="H45" s="54"/>
      <c r="I45" s="55"/>
      <c r="J45" s="56"/>
      <c r="K45" s="56"/>
      <c r="L45" s="229">
        <f t="shared" ref="L45:AC45" si="45">L43/L$31</f>
        <v>2.5308512863417693E-2</v>
      </c>
      <c r="M45" s="229">
        <f t="shared" si="45"/>
        <v>2.224334600760456E-2</v>
      </c>
      <c r="N45" s="52">
        <f t="shared" si="45"/>
        <v>2.2640777640414032E-2</v>
      </c>
      <c r="O45" s="229">
        <f t="shared" si="45"/>
        <v>2.1546021546021546E-2</v>
      </c>
      <c r="P45" s="229">
        <f t="shared" si="45"/>
        <v>1.8239999999999999E-2</v>
      </c>
      <c r="Q45" s="229">
        <f t="shared" si="45"/>
        <v>2.1222100256128796E-2</v>
      </c>
      <c r="R45" s="229">
        <f t="shared" si="45"/>
        <v>2.6543974517784466E-2</v>
      </c>
      <c r="S45" s="52">
        <f t="shared" si="45"/>
        <v>2.1802453879424484E-2</v>
      </c>
      <c r="T45" s="229">
        <f t="shared" si="45"/>
        <v>2.6564834799933591E-2</v>
      </c>
      <c r="U45" s="229">
        <f t="shared" si="45"/>
        <v>2.4718397997496869E-2</v>
      </c>
      <c r="V45" s="229">
        <f t="shared" si="45"/>
        <v>2.079912424740011E-2</v>
      </c>
      <c r="W45" s="229">
        <f t="shared" si="45"/>
        <v>3.1766434080058761E-2</v>
      </c>
      <c r="X45" s="52">
        <f t="shared" si="45"/>
        <v>2.5918944392082942E-2</v>
      </c>
      <c r="Y45" s="229">
        <f t="shared" si="45"/>
        <v>3.332698533612645E-2</v>
      </c>
      <c r="Z45" s="229">
        <f t="shared" si="45"/>
        <v>2.9092071611253194E-2</v>
      </c>
      <c r="AA45" s="229">
        <f t="shared" si="45"/>
        <v>3.1193859219336931E-2</v>
      </c>
      <c r="AB45" s="229">
        <f t="shared" si="45"/>
        <v>3.1260282987824947E-2</v>
      </c>
      <c r="AC45" s="52">
        <f t="shared" si="45"/>
        <v>3.1128732917158768E-2</v>
      </c>
      <c r="AD45" s="229">
        <f t="shared" ref="AD45:AO45" si="46">AD43/AD$31</f>
        <v>2.8284944627357075E-2</v>
      </c>
      <c r="AE45" s="229">
        <f t="shared" si="46"/>
        <v>2.7522935779816508E-2</v>
      </c>
      <c r="AF45" s="229">
        <f t="shared" si="46"/>
        <v>2.6793431287813311E-2</v>
      </c>
      <c r="AG45" s="229">
        <f t="shared" si="46"/>
        <v>2.525182834276252E-2</v>
      </c>
      <c r="AH45" s="52">
        <f t="shared" si="46"/>
        <v>2.6930564568462038E-2</v>
      </c>
      <c r="AI45" s="229">
        <f t="shared" si="46"/>
        <v>2.3336574524239481E-2</v>
      </c>
      <c r="AJ45" s="229">
        <f t="shared" si="46"/>
        <v>2.219859098763791E-2</v>
      </c>
      <c r="AK45" s="229">
        <f t="shared" si="46"/>
        <v>2.4503722084367248E-2</v>
      </c>
      <c r="AL45" s="229">
        <f t="shared" si="46"/>
        <v>2.6200873362445417E-2</v>
      </c>
      <c r="AM45" s="52">
        <f t="shared" si="46"/>
        <v>2.3927149387995866E-2</v>
      </c>
      <c r="AN45" s="229">
        <f t="shared" si="46"/>
        <v>2.5369347858528582E-2</v>
      </c>
      <c r="AO45" s="229">
        <f t="shared" si="46"/>
        <v>2.4377031419284937E-2</v>
      </c>
      <c r="AP45" s="229">
        <f t="shared" ref="AP45:BV45" si="47">AP43/AP$31</f>
        <v>2.4109295472810075E-2</v>
      </c>
      <c r="AQ45" s="229">
        <f t="shared" si="47"/>
        <v>2.5000000000000001E-2</v>
      </c>
      <c r="AR45" s="52">
        <f t="shared" si="47"/>
        <v>2.4694793224583494E-2</v>
      </c>
      <c r="AS45" s="229">
        <f t="shared" si="47"/>
        <v>2.0151133501259445E-2</v>
      </c>
      <c r="AT45" s="229">
        <f t="shared" si="47"/>
        <v>2.0255863539445629E-2</v>
      </c>
      <c r="AU45" s="229">
        <f t="shared" si="47"/>
        <v>2.0606060606060607E-2</v>
      </c>
      <c r="AV45" s="229">
        <f t="shared" si="47"/>
        <v>2.4489795918367346E-2</v>
      </c>
      <c r="AW45" s="52">
        <f t="shared" si="47"/>
        <v>2.12636695018226E-2</v>
      </c>
      <c r="AX45" s="229">
        <f t="shared" si="47"/>
        <v>1.7374517374517374E-2</v>
      </c>
      <c r="AY45" s="229">
        <f t="shared" si="47"/>
        <v>1.8367346938775512E-2</v>
      </c>
      <c r="AZ45" s="491">
        <f t="shared" si="47"/>
        <v>1.8378378378378378E-2</v>
      </c>
      <c r="BA45" s="491">
        <f t="shared" si="47"/>
        <v>2.1814006888633754E-2</v>
      </c>
      <c r="BB45" s="52">
        <f t="shared" si="47"/>
        <v>1.888772298006296E-2</v>
      </c>
      <c r="BC45" s="491">
        <f t="shared" si="47"/>
        <v>2.1765417170495769E-2</v>
      </c>
      <c r="BD45" s="491">
        <f t="shared" si="47"/>
        <v>2.9745042492917848E-2</v>
      </c>
      <c r="BE45" s="491">
        <f t="shared" si="47"/>
        <v>3.5593220338983052E-2</v>
      </c>
      <c r="BF45" s="491">
        <f t="shared" si="47"/>
        <v>3.6458333333333336E-2</v>
      </c>
      <c r="BG45" s="52">
        <f t="shared" si="47"/>
        <v>3.0011115227862172E-2</v>
      </c>
      <c r="BH45" s="491">
        <f t="shared" si="47"/>
        <v>2.4556616643929059E-2</v>
      </c>
      <c r="BI45" s="491">
        <f t="shared" si="47"/>
        <v>2.5435073627844713E-2</v>
      </c>
      <c r="BJ45" s="491">
        <f t="shared" si="47"/>
        <v>2.7298850574712645E-2</v>
      </c>
      <c r="BK45" s="491">
        <f t="shared" si="47"/>
        <v>2.7777777777777776E-2</v>
      </c>
      <c r="BL45" s="52">
        <f t="shared" si="47"/>
        <v>2.6223776223776224E-2</v>
      </c>
      <c r="BM45" s="491">
        <f>BM43/BM$31</f>
        <v>1.82370820668693E-2</v>
      </c>
      <c r="BN45" s="491">
        <f>BN43/BN$31</f>
        <v>1.9704433497536946E-2</v>
      </c>
      <c r="BO45" s="491">
        <f>BO43/BO$31</f>
        <v>2.0366598778004074E-2</v>
      </c>
      <c r="BP45" s="491">
        <f t="shared" si="47"/>
        <v>2.4721878862793572E-2</v>
      </c>
      <c r="BQ45" s="52">
        <f t="shared" si="47"/>
        <v>2.0564197205378328E-2</v>
      </c>
      <c r="BR45" s="491">
        <f t="shared" si="47"/>
        <v>1.7840375586854459E-2</v>
      </c>
      <c r="BS45" s="491">
        <f>BS43/BS$31</f>
        <v>2.2772277227722772E-2</v>
      </c>
      <c r="BT45" s="491">
        <f t="shared" ref="BT45" si="48">BT43/BT$31</f>
        <v>2.0083437554202457E-2</v>
      </c>
      <c r="BU45" s="491">
        <f t="shared" si="47"/>
        <v>2.4477761397457647E-2</v>
      </c>
      <c r="BV45" s="52">
        <f t="shared" si="47"/>
        <v>2.1134349338507153E-2</v>
      </c>
      <c r="BW45" s="491">
        <f t="shared" ref="BW45:CF45" si="49">BW43/BW$31</f>
        <v>1.7243683423216034E-2</v>
      </c>
      <c r="BX45" s="491">
        <f t="shared" si="49"/>
        <v>2.1840916226435698E-2</v>
      </c>
      <c r="BY45" s="491">
        <f t="shared" si="49"/>
        <v>1.873151420388372E-2</v>
      </c>
      <c r="BZ45" s="491">
        <f t="shared" si="49"/>
        <v>2.2869747949389247E-2</v>
      </c>
      <c r="CA45" s="52">
        <f t="shared" si="49"/>
        <v>2.0022020696159857E-2</v>
      </c>
      <c r="CB45" s="491">
        <f t="shared" si="49"/>
        <v>1.7745649548144341E-2</v>
      </c>
      <c r="CC45" s="491">
        <f t="shared" si="49"/>
        <v>1.8741299804125731E-2</v>
      </c>
      <c r="CD45" s="491">
        <f t="shared" si="49"/>
        <v>1.7525099084707143E-2</v>
      </c>
      <c r="CE45" s="491">
        <f t="shared" si="49"/>
        <v>2.1426454887878733E-2</v>
      </c>
      <c r="CF45" s="52">
        <f t="shared" si="49"/>
        <v>1.8740434183785678E-2</v>
      </c>
    </row>
    <row r="46" spans="1:97" s="1" customFormat="1" ht="12.75" customHeight="1" x14ac:dyDescent="0.4">
      <c r="A46" s="58"/>
      <c r="B46" s="2" t="s">
        <v>128</v>
      </c>
      <c r="C46" s="53"/>
      <c r="D46" s="54"/>
      <c r="E46" s="54"/>
      <c r="F46" s="54"/>
      <c r="G46" s="54"/>
      <c r="H46" s="54"/>
      <c r="I46" s="55"/>
      <c r="J46" s="56"/>
      <c r="K46" s="56"/>
      <c r="L46" s="225">
        <v>0</v>
      </c>
      <c r="M46" s="225">
        <v>0</v>
      </c>
      <c r="N46" s="339">
        <v>0</v>
      </c>
      <c r="O46" s="340">
        <v>0</v>
      </c>
      <c r="P46" s="340">
        <v>0</v>
      </c>
      <c r="Q46" s="340">
        <v>0</v>
      </c>
      <c r="R46" s="340">
        <v>0</v>
      </c>
      <c r="S46" s="341">
        <f>SUM(O46:R46)</f>
        <v>0</v>
      </c>
      <c r="T46" s="340">
        <v>0</v>
      </c>
      <c r="U46" s="340">
        <v>0</v>
      </c>
      <c r="V46" s="340">
        <v>0</v>
      </c>
      <c r="W46" s="340">
        <v>0</v>
      </c>
      <c r="X46" s="341">
        <f>SUM(T46:W46)</f>
        <v>0</v>
      </c>
      <c r="Y46" s="340">
        <v>0</v>
      </c>
      <c r="Z46" s="340">
        <v>0</v>
      </c>
      <c r="AA46" s="340">
        <v>7.6</v>
      </c>
      <c r="AB46" s="340">
        <v>863.8</v>
      </c>
      <c r="AC46" s="341">
        <f>SUM(Y46:AB46)</f>
        <v>871.4</v>
      </c>
      <c r="AD46" s="340">
        <v>0</v>
      </c>
      <c r="AE46" s="340">
        <v>0</v>
      </c>
      <c r="AF46" s="340">
        <v>0</v>
      </c>
      <c r="AG46" s="340">
        <v>0</v>
      </c>
      <c r="AH46" s="341">
        <f>SUM(AD46:AG46)</f>
        <v>0</v>
      </c>
      <c r="AI46" s="340">
        <v>0</v>
      </c>
      <c r="AJ46" s="340">
        <v>0</v>
      </c>
      <c r="AK46" s="340">
        <v>0</v>
      </c>
      <c r="AL46" s="340">
        <v>32.200000000000003</v>
      </c>
      <c r="AM46" s="341">
        <f>SUM(AI46:AL46)</f>
        <v>32.200000000000003</v>
      </c>
      <c r="AN46" s="340">
        <v>2.7</v>
      </c>
      <c r="AO46" s="340">
        <v>26.5</v>
      </c>
      <c r="AP46" s="340">
        <f>9.4-0.1</f>
        <v>9.3000000000000007</v>
      </c>
      <c r="AQ46" s="340">
        <v>2</v>
      </c>
      <c r="AR46" s="341">
        <f>SUM(AN46:AQ46)</f>
        <v>40.5</v>
      </c>
      <c r="AS46" s="340">
        <v>-1</v>
      </c>
      <c r="AT46" s="340">
        <v>0</v>
      </c>
      <c r="AU46" s="340">
        <v>13</v>
      </c>
      <c r="AV46" s="340">
        <v>7</v>
      </c>
      <c r="AW46" s="341">
        <f>SUM(AS46:AV46)</f>
        <v>19</v>
      </c>
      <c r="AX46" s="340">
        <v>0</v>
      </c>
      <c r="AY46" s="340">
        <v>0</v>
      </c>
      <c r="AZ46" s="489">
        <v>0</v>
      </c>
      <c r="BA46" s="489">
        <v>-1</v>
      </c>
      <c r="BB46" s="341">
        <f>SUM(AX46:BA46)</f>
        <v>-1</v>
      </c>
      <c r="BC46" s="489">
        <v>0</v>
      </c>
      <c r="BD46" s="489">
        <v>15</v>
      </c>
      <c r="BE46" s="489">
        <v>0</v>
      </c>
      <c r="BF46" s="489">
        <v>50</v>
      </c>
      <c r="BG46" s="341">
        <f>SUM(BC46:BF46)</f>
        <v>65</v>
      </c>
      <c r="BH46" s="489">
        <v>6</v>
      </c>
      <c r="BI46" s="489">
        <v>2</v>
      </c>
      <c r="BJ46" s="489">
        <v>5</v>
      </c>
      <c r="BK46" s="489">
        <v>15</v>
      </c>
      <c r="BL46" s="341">
        <f>SUM(BH46:BK46)</f>
        <v>28</v>
      </c>
      <c r="BM46" s="489">
        <v>2</v>
      </c>
      <c r="BN46" s="489">
        <v>1</v>
      </c>
      <c r="BO46" s="489">
        <v>2</v>
      </c>
      <c r="BP46" s="489">
        <v>11</v>
      </c>
      <c r="BQ46" s="341">
        <f>SUM(BM46:BP46)</f>
        <v>16</v>
      </c>
      <c r="BR46" s="489">
        <v>7</v>
      </c>
      <c r="BS46" s="489">
        <v>9</v>
      </c>
      <c r="BT46" s="489">
        <v>4</v>
      </c>
      <c r="BU46" s="489">
        <v>4</v>
      </c>
      <c r="BV46" s="341">
        <f>SUM(BR46:BU46)</f>
        <v>24</v>
      </c>
      <c r="BW46" s="489">
        <v>9</v>
      </c>
      <c r="BX46" s="489">
        <v>9</v>
      </c>
      <c r="BY46" s="489">
        <v>9</v>
      </c>
      <c r="BZ46" s="489">
        <v>9</v>
      </c>
      <c r="CA46" s="341">
        <f>SUM(BW46:BZ46)</f>
        <v>36</v>
      </c>
      <c r="CB46" s="489">
        <v>0</v>
      </c>
      <c r="CC46" s="489">
        <v>0</v>
      </c>
      <c r="CD46" s="489">
        <v>0</v>
      </c>
      <c r="CE46" s="489">
        <v>0</v>
      </c>
      <c r="CF46" s="341">
        <f>SUM(CB46:CE46)</f>
        <v>0</v>
      </c>
    </row>
    <row r="47" spans="1:97" s="1" customFormat="1" ht="12.75" customHeight="1" x14ac:dyDescent="0.4">
      <c r="A47" s="58"/>
      <c r="B47" s="42" t="s">
        <v>30</v>
      </c>
      <c r="C47" s="53"/>
      <c r="D47" s="54"/>
      <c r="E47" s="54"/>
      <c r="F47" s="54"/>
      <c r="G47" s="54"/>
      <c r="H47" s="54"/>
      <c r="I47" s="55"/>
      <c r="J47" s="56"/>
      <c r="K47" s="56"/>
      <c r="L47" s="229">
        <f t="shared" ref="L47:AC47" si="50">L46/L$31</f>
        <v>0</v>
      </c>
      <c r="M47" s="229">
        <f t="shared" si="50"/>
        <v>0</v>
      </c>
      <c r="N47" s="52">
        <f t="shared" si="50"/>
        <v>0</v>
      </c>
      <c r="O47" s="229">
        <f t="shared" si="50"/>
        <v>0</v>
      </c>
      <c r="P47" s="229">
        <f t="shared" si="50"/>
        <v>0</v>
      </c>
      <c r="Q47" s="229">
        <f t="shared" si="50"/>
        <v>0</v>
      </c>
      <c r="R47" s="229">
        <f t="shared" si="50"/>
        <v>0</v>
      </c>
      <c r="S47" s="52">
        <f t="shared" si="50"/>
        <v>0</v>
      </c>
      <c r="T47" s="229">
        <f t="shared" si="50"/>
        <v>0</v>
      </c>
      <c r="U47" s="229">
        <f t="shared" si="50"/>
        <v>0</v>
      </c>
      <c r="V47" s="229">
        <f t="shared" si="50"/>
        <v>0</v>
      </c>
      <c r="W47" s="229">
        <f t="shared" si="50"/>
        <v>0</v>
      </c>
      <c r="X47" s="52">
        <f t="shared" si="50"/>
        <v>0</v>
      </c>
      <c r="Y47" s="229">
        <f t="shared" si="50"/>
        <v>0</v>
      </c>
      <c r="Z47" s="229">
        <f t="shared" si="50"/>
        <v>0</v>
      </c>
      <c r="AA47" s="229">
        <f t="shared" si="50"/>
        <v>1.2412216233872285E-2</v>
      </c>
      <c r="AB47" s="229">
        <f t="shared" si="50"/>
        <v>1.4211911813096414</v>
      </c>
      <c r="AC47" s="52">
        <f t="shared" si="50"/>
        <v>0.36755525560992064</v>
      </c>
      <c r="AD47" s="229">
        <f t="shared" ref="AD47:AS47" si="51">AD46/AD$31</f>
        <v>0</v>
      </c>
      <c r="AE47" s="229">
        <f t="shared" si="51"/>
        <v>0</v>
      </c>
      <c r="AF47" s="229">
        <f t="shared" si="51"/>
        <v>0</v>
      </c>
      <c r="AG47" s="229">
        <f t="shared" si="51"/>
        <v>0</v>
      </c>
      <c r="AH47" s="52">
        <f t="shared" si="51"/>
        <v>0</v>
      </c>
      <c r="AI47" s="229">
        <f t="shared" si="51"/>
        <v>0</v>
      </c>
      <c r="AJ47" s="229">
        <f t="shared" si="51"/>
        <v>0</v>
      </c>
      <c r="AK47" s="229">
        <f t="shared" si="51"/>
        <v>0</v>
      </c>
      <c r="AL47" s="229">
        <f t="shared" si="51"/>
        <v>5.4081289889150161E-2</v>
      </c>
      <c r="AM47" s="52">
        <f t="shared" si="51"/>
        <v>1.1871405397434007E-2</v>
      </c>
      <c r="AN47" s="229">
        <f t="shared" si="51"/>
        <v>4.0292493657663048E-3</v>
      </c>
      <c r="AO47" s="229">
        <f t="shared" si="51"/>
        <v>3.5888407367280599E-2</v>
      </c>
      <c r="AP47" s="229">
        <f t="shared" si="51"/>
        <v>1.2456469327618539E-2</v>
      </c>
      <c r="AQ47" s="229">
        <f t="shared" si="51"/>
        <v>2.7777777777777779E-3</v>
      </c>
      <c r="AR47" s="52">
        <f>AR46/AR$31</f>
        <v>1.4086466557684951E-2</v>
      </c>
      <c r="AS47" s="229">
        <f t="shared" si="51"/>
        <v>-1.2594458438287153E-3</v>
      </c>
      <c r="AT47" s="229">
        <f t="shared" ref="AT47:BB47" si="52">AT46/AT$31</f>
        <v>0</v>
      </c>
      <c r="AU47" s="229">
        <f t="shared" si="52"/>
        <v>1.5757575757575758E-2</v>
      </c>
      <c r="AV47" s="229">
        <f t="shared" si="52"/>
        <v>9.5238095238095247E-3</v>
      </c>
      <c r="AW47" s="52">
        <f t="shared" si="52"/>
        <v>5.7715674362089917E-3</v>
      </c>
      <c r="AX47" s="229">
        <f t="shared" si="52"/>
        <v>0</v>
      </c>
      <c r="AY47" s="229">
        <f t="shared" si="52"/>
        <v>0</v>
      </c>
      <c r="AZ47" s="491">
        <f t="shared" si="52"/>
        <v>0</v>
      </c>
      <c r="BA47" s="491">
        <f t="shared" si="52"/>
        <v>-1.148105625717566E-3</v>
      </c>
      <c r="BB47" s="52">
        <f t="shared" si="52"/>
        <v>-2.6232948583420777E-4</v>
      </c>
      <c r="BC47" s="491">
        <f>BC46/BC$31</f>
        <v>0</v>
      </c>
      <c r="BD47" s="491">
        <f>BD46/BD$31</f>
        <v>2.1246458923512748E-2</v>
      </c>
      <c r="BE47" s="491">
        <f t="shared" ref="BE47:BK47" si="53">BE46/BE$31</f>
        <v>0</v>
      </c>
      <c r="BF47" s="491">
        <f t="shared" si="53"/>
        <v>8.6805555555555552E-2</v>
      </c>
      <c r="BG47" s="52">
        <f t="shared" si="53"/>
        <v>2.4082993701370878E-2</v>
      </c>
      <c r="BH47" s="491">
        <f t="shared" si="53"/>
        <v>8.1855388813096858E-3</v>
      </c>
      <c r="BI47" s="491">
        <f t="shared" si="53"/>
        <v>2.6773761713520749E-3</v>
      </c>
      <c r="BJ47" s="491">
        <f t="shared" si="53"/>
        <v>7.1839080459770114E-3</v>
      </c>
      <c r="BK47" s="491">
        <f t="shared" si="53"/>
        <v>2.1929824561403508E-2</v>
      </c>
      <c r="BL47" s="52">
        <f t="shared" ref="BL47:BV47" si="54">BL46/BL$31</f>
        <v>9.7902097902097911E-3</v>
      </c>
      <c r="BM47" s="491">
        <f t="shared" si="54"/>
        <v>2.0263424518743669E-3</v>
      </c>
      <c r="BN47" s="491">
        <f t="shared" si="54"/>
        <v>9.8522167487684722E-4</v>
      </c>
      <c r="BO47" s="491">
        <f t="shared" si="54"/>
        <v>2.0366598778004071E-3</v>
      </c>
      <c r="BP47" s="491">
        <f>BP46/BP$31</f>
        <v>1.3597033374536464E-2</v>
      </c>
      <c r="BQ47" s="52">
        <f t="shared" si="54"/>
        <v>4.2182968626417088E-3</v>
      </c>
      <c r="BR47" s="491">
        <f t="shared" si="54"/>
        <v>6.5727699530516428E-3</v>
      </c>
      <c r="BS47" s="491">
        <f>BS46/BS$31</f>
        <v>8.9108910891089101E-3</v>
      </c>
      <c r="BT47" s="491">
        <f t="shared" ref="BT47" si="55">BT46/BT$31</f>
        <v>3.6515341007640834E-3</v>
      </c>
      <c r="BU47" s="491">
        <f t="shared" si="54"/>
        <v>4.4505020722650267E-3</v>
      </c>
      <c r="BV47" s="52">
        <f t="shared" si="54"/>
        <v>5.8979579549322285E-3</v>
      </c>
      <c r="BW47" s="491">
        <f t="shared" ref="BW47:CF47" si="56">BW46/BW$31</f>
        <v>7.7596575404472144E-3</v>
      </c>
      <c r="BX47" s="491">
        <f t="shared" si="56"/>
        <v>8.1903435849133878E-3</v>
      </c>
      <c r="BY47" s="491">
        <f t="shared" si="56"/>
        <v>7.6628921743160669E-3</v>
      </c>
      <c r="BZ47" s="491">
        <f t="shared" si="56"/>
        <v>9.3558059792956012E-3</v>
      </c>
      <c r="CA47" s="52">
        <f t="shared" si="56"/>
        <v>8.1908266484290327E-3</v>
      </c>
      <c r="CB47" s="491">
        <f t="shared" si="56"/>
        <v>0</v>
      </c>
      <c r="CC47" s="491">
        <f t="shared" si="56"/>
        <v>0</v>
      </c>
      <c r="CD47" s="491">
        <f t="shared" si="56"/>
        <v>0</v>
      </c>
      <c r="CE47" s="491">
        <f t="shared" si="56"/>
        <v>0</v>
      </c>
      <c r="CF47" s="52">
        <f t="shared" si="56"/>
        <v>0</v>
      </c>
    </row>
    <row r="48" spans="1:97" ht="12.75" customHeight="1" x14ac:dyDescent="0.35">
      <c r="A48" s="58"/>
      <c r="B48" s="24" t="s">
        <v>141</v>
      </c>
      <c r="C48" s="53"/>
      <c r="D48" s="54"/>
      <c r="E48" s="54"/>
      <c r="F48" s="54"/>
      <c r="G48" s="54"/>
      <c r="H48" s="54"/>
      <c r="I48" s="419"/>
      <c r="J48" s="358"/>
      <c r="K48" s="358"/>
      <c r="L48" s="170">
        <f>L39+L43+L46</f>
        <v>247.7</v>
      </c>
      <c r="M48" s="170">
        <f t="shared" ref="M48:R48" si="57">M39+M43+M46</f>
        <v>281.39999999999998</v>
      </c>
      <c r="N48" s="194">
        <f t="shared" si="57"/>
        <v>1080.7</v>
      </c>
      <c r="O48" s="170">
        <f t="shared" si="57"/>
        <v>260</v>
      </c>
      <c r="P48" s="170">
        <f t="shared" si="57"/>
        <v>283.09999999999997</v>
      </c>
      <c r="Q48" s="170">
        <f t="shared" si="57"/>
        <v>275</v>
      </c>
      <c r="R48" s="170">
        <f t="shared" si="57"/>
        <v>307.60000000000002</v>
      </c>
      <c r="S48" s="183">
        <f>SUM(O48:R48)</f>
        <v>1125.6999999999998</v>
      </c>
      <c r="T48" s="170">
        <f>T39+T43+T46</f>
        <v>297.60000000000002</v>
      </c>
      <c r="U48" s="170">
        <f>U39+U43+U46</f>
        <v>302.8</v>
      </c>
      <c r="V48" s="170">
        <f>V39+V43+V46</f>
        <v>279.5</v>
      </c>
      <c r="W48" s="170">
        <f>W39+W43+W46</f>
        <v>301.2</v>
      </c>
      <c r="X48" s="183">
        <f>SUM(T48:W48)</f>
        <v>1181.1000000000001</v>
      </c>
      <c r="Y48" s="170">
        <f>Y39+Y43+Y46</f>
        <v>296.10000000000002</v>
      </c>
      <c r="Z48" s="170">
        <f>Z39+Z43+Z46</f>
        <v>299.5</v>
      </c>
      <c r="AA48" s="170">
        <f>AA39+AA43+AA46</f>
        <v>299.50000000000006</v>
      </c>
      <c r="AB48" s="170">
        <f>AB39+AB43+AB46</f>
        <v>1168.3</v>
      </c>
      <c r="AC48" s="183">
        <f>SUM(Y48:AB48)</f>
        <v>2063.4</v>
      </c>
      <c r="AD48" s="170">
        <f>AD39+AD43+AD46</f>
        <v>305.09999999999997</v>
      </c>
      <c r="AE48" s="170">
        <f>AE39+AE43+AE46</f>
        <v>308.59999999999997</v>
      </c>
      <c r="AF48" s="170">
        <f>AF39+AF43+AF46</f>
        <v>335.90000000000003</v>
      </c>
      <c r="AG48" s="170">
        <f>AG39+AG43+AG46</f>
        <v>364.40000000000003</v>
      </c>
      <c r="AH48" s="183">
        <f>SUM(AD48:AG48)</f>
        <v>1314</v>
      </c>
      <c r="AI48" s="170">
        <f>AI39+AI43+AI46</f>
        <v>327.2</v>
      </c>
      <c r="AJ48" s="170">
        <f>AJ39+AJ43+AJ46</f>
        <v>320.3</v>
      </c>
      <c r="AK48" s="170">
        <f>AK39+AK43+AK46</f>
        <v>303.5</v>
      </c>
      <c r="AL48" s="170">
        <f>AL39+AL43+AL46</f>
        <v>325.10000000000002</v>
      </c>
      <c r="AM48" s="183">
        <f>SUM(AI48:AL48)</f>
        <v>1276.0999999999999</v>
      </c>
      <c r="AN48" s="170">
        <f>AN39+AN43+AN46</f>
        <v>336.5</v>
      </c>
      <c r="AO48" s="170">
        <f>AO39+AO43+AO46</f>
        <v>351.5</v>
      </c>
      <c r="AP48" s="170">
        <f>AP39+AP43+AP46</f>
        <v>339.9</v>
      </c>
      <c r="AQ48" s="170">
        <f>AQ39+AQ43+AQ46</f>
        <v>348</v>
      </c>
      <c r="AR48" s="183">
        <f>SUM(AN48:AQ48)</f>
        <v>1375.9</v>
      </c>
      <c r="AS48" s="170">
        <f>AS39+AS43+AS46</f>
        <v>343</v>
      </c>
      <c r="AT48" s="170">
        <f>AT39+AT43+AT46</f>
        <v>369</v>
      </c>
      <c r="AU48" s="170">
        <f>AU39+AU43+AU46</f>
        <v>339</v>
      </c>
      <c r="AV48" s="170">
        <f>AV39+AV43+AV46</f>
        <v>425</v>
      </c>
      <c r="AW48" s="183">
        <f>SUM(AS48:AV48)</f>
        <v>1476</v>
      </c>
      <c r="AX48" s="170">
        <f>AX39+AX43+AX46</f>
        <v>366</v>
      </c>
      <c r="AY48" s="170">
        <f>AY39+AY43+AY46</f>
        <v>362</v>
      </c>
      <c r="AZ48" s="163">
        <f>AZ39+AZ43+AZ46</f>
        <v>404</v>
      </c>
      <c r="BA48" s="163">
        <f>BA39+BA43+BA46</f>
        <v>441</v>
      </c>
      <c r="BB48" s="183">
        <f>SUM(AX48:BA48)</f>
        <v>1573</v>
      </c>
      <c r="BC48" s="163">
        <f>BC39+BC43+BC46</f>
        <v>378</v>
      </c>
      <c r="BD48" s="163">
        <f>BD39+BD43+BD46</f>
        <v>370</v>
      </c>
      <c r="BE48" s="163">
        <f>BE39+BE43+BE46</f>
        <v>365</v>
      </c>
      <c r="BF48" s="163">
        <f>BF39+BF43+BF46</f>
        <v>418</v>
      </c>
      <c r="BG48" s="183">
        <f>SUM(BC48:BF48)</f>
        <v>1531</v>
      </c>
      <c r="BH48" s="163">
        <f>BH39+BH43+BH46</f>
        <v>360</v>
      </c>
      <c r="BI48" s="163">
        <f>BI39+BI43+BI46</f>
        <v>371</v>
      </c>
      <c r="BJ48" s="163">
        <f>BJ39+BJ43+BJ46</f>
        <v>372</v>
      </c>
      <c r="BK48" s="163">
        <f>BK39+BK43+BK46</f>
        <v>386</v>
      </c>
      <c r="BL48" s="183">
        <f>SUM(BH48:BK48)</f>
        <v>1489</v>
      </c>
      <c r="BM48" s="163">
        <f>BM39+BM43+BM46</f>
        <v>386</v>
      </c>
      <c r="BN48" s="163">
        <f>BN39+BN43+BN46</f>
        <v>413</v>
      </c>
      <c r="BO48" s="163">
        <f>BO39+BO43+BO46</f>
        <v>438</v>
      </c>
      <c r="BP48" s="163">
        <f>BP39+BP43+BP46</f>
        <v>449</v>
      </c>
      <c r="BQ48" s="183">
        <f>SUM(BM48:BP48)</f>
        <v>1686</v>
      </c>
      <c r="BR48" s="163">
        <f>BR39+BR43+BR46</f>
        <v>405</v>
      </c>
      <c r="BS48" s="163">
        <f>BS39+BS43+BS46</f>
        <v>412</v>
      </c>
      <c r="BT48" s="163">
        <f>BT39+BT43+BT46</f>
        <v>418.84886262729117</v>
      </c>
      <c r="BU48" s="163">
        <f>BU39+BU43+BU46</f>
        <v>431.96522450556239</v>
      </c>
      <c r="BV48" s="183">
        <f>SUM(BR48:BU48)</f>
        <v>1667.8140871328535</v>
      </c>
      <c r="BW48" s="163">
        <f>BW39+BW43+BW46</f>
        <v>424.35467711267609</v>
      </c>
      <c r="BX48" s="163">
        <f>BX39+BX43+BX46</f>
        <v>429.94776905940591</v>
      </c>
      <c r="BY48" s="163">
        <f>BY39+BY43+BY46</f>
        <v>461.0109170642819</v>
      </c>
      <c r="BZ48" s="163">
        <f>BZ39+BZ43+BZ46</f>
        <v>472.72414682787382</v>
      </c>
      <c r="CA48" s="183">
        <f>SUM(BW48:BZ48)</f>
        <v>1788.0375100642377</v>
      </c>
      <c r="CB48" s="163">
        <f>CB39+CB43+CB46</f>
        <v>429.09177545862678</v>
      </c>
      <c r="CC48" s="163">
        <f>CC39+CC43+CC46</f>
        <v>431.37543302537131</v>
      </c>
      <c r="CD48" s="163">
        <f>CD39+CD43+CD46</f>
        <v>469.05913290107856</v>
      </c>
      <c r="CE48" s="163">
        <f>CE39+CE43+CE46</f>
        <v>483.21115008637969</v>
      </c>
      <c r="CF48" s="183">
        <f>SUM(CB48:CE48)</f>
        <v>1812.7374914714565</v>
      </c>
      <c r="CI48"/>
      <c r="CJ48"/>
      <c r="CK48"/>
      <c r="CL48"/>
      <c r="CM48"/>
      <c r="CN48"/>
      <c r="CO48"/>
      <c r="CP48"/>
      <c r="CQ48"/>
      <c r="CR48"/>
      <c r="CS48"/>
    </row>
    <row r="49" spans="1:97" ht="12.75" customHeight="1" x14ac:dyDescent="0.35">
      <c r="A49" s="41"/>
      <c r="B49" s="42" t="s">
        <v>56</v>
      </c>
      <c r="C49" s="42"/>
      <c r="D49" s="43"/>
      <c r="E49" s="43"/>
      <c r="F49" s="43"/>
      <c r="G49" s="43"/>
      <c r="H49" s="43"/>
      <c r="I49" s="159"/>
      <c r="J49" s="147"/>
      <c r="K49" s="147"/>
      <c r="L49" s="153" t="str">
        <f t="shared" ref="L49:AC49" si="58">IFERROR( L48/G48-1, "NA")</f>
        <v>NA</v>
      </c>
      <c r="M49" s="153" t="str">
        <f t="shared" si="58"/>
        <v>NA</v>
      </c>
      <c r="N49" s="184" t="str">
        <f t="shared" si="58"/>
        <v>NA</v>
      </c>
      <c r="O49" s="153" t="str">
        <f t="shared" si="58"/>
        <v>NA</v>
      </c>
      <c r="P49" s="153" t="str">
        <f t="shared" si="58"/>
        <v>NA</v>
      </c>
      <c r="Q49" s="153">
        <f t="shared" si="58"/>
        <v>0.11021396851029475</v>
      </c>
      <c r="R49" s="153">
        <f t="shared" si="58"/>
        <v>9.3105899076048493E-2</v>
      </c>
      <c r="S49" s="184">
        <f t="shared" si="58"/>
        <v>4.1639677986490042E-2</v>
      </c>
      <c r="T49" s="153">
        <f t="shared" si="58"/>
        <v>0.14461538461538481</v>
      </c>
      <c r="U49" s="153">
        <f t="shared" si="58"/>
        <v>6.9586718474037523E-2</v>
      </c>
      <c r="V49" s="153">
        <f t="shared" si="58"/>
        <v>1.6363636363636358E-2</v>
      </c>
      <c r="W49" s="153">
        <f t="shared" si="58"/>
        <v>-2.0806241872561859E-2</v>
      </c>
      <c r="X49" s="184">
        <f t="shared" si="58"/>
        <v>4.9213822510438154E-2</v>
      </c>
      <c r="Y49" s="153">
        <f t="shared" si="58"/>
        <v>-5.0403225806451291E-3</v>
      </c>
      <c r="Z49" s="153">
        <f t="shared" si="58"/>
        <v>-1.089828269484816E-2</v>
      </c>
      <c r="AA49" s="153">
        <f t="shared" si="58"/>
        <v>7.1556350626118315E-2</v>
      </c>
      <c r="AB49" s="153">
        <f t="shared" si="58"/>
        <v>2.8788180610889773</v>
      </c>
      <c r="AC49" s="184">
        <f t="shared" si="58"/>
        <v>0.74701549403098788</v>
      </c>
      <c r="AD49" s="153">
        <f t="shared" ref="AD49:AN49" si="59">IFERROR( AD48/Y48-1, "NA")</f>
        <v>3.0395136778115228E-2</v>
      </c>
      <c r="AE49" s="153">
        <f t="shared" si="59"/>
        <v>3.0383973288814481E-2</v>
      </c>
      <c r="AF49" s="153">
        <f t="shared" si="59"/>
        <v>0.12153589315525859</v>
      </c>
      <c r="AG49" s="153">
        <f t="shared" si="59"/>
        <v>-0.68809381152101334</v>
      </c>
      <c r="AH49" s="184">
        <f t="shared" si="59"/>
        <v>-0.36318697295725499</v>
      </c>
      <c r="AI49" s="153">
        <f>IFERROR( AI48/AD48-1, "NA")</f>
        <v>7.243526712553261E-2</v>
      </c>
      <c r="AJ49" s="153">
        <f>IFERROR( AJ48/AE48-1, "NA")</f>
        <v>3.7913156189241848E-2</v>
      </c>
      <c r="AK49" s="153">
        <f>IFERROR( AK48/AF48-1, "NA")</f>
        <v>-9.6457278952069125E-2</v>
      </c>
      <c r="AL49" s="153">
        <f>IFERROR( AL48/AG48-1, "NA")</f>
        <v>-0.10784851811196494</v>
      </c>
      <c r="AM49" s="184">
        <f>IFERROR( AM48/AH48-1, "NA")</f>
        <v>-2.8843226788432319E-2</v>
      </c>
      <c r="AN49" s="153">
        <f t="shared" si="59"/>
        <v>2.8422982885085712E-2</v>
      </c>
      <c r="AO49" s="153">
        <f t="shared" ref="AO49:AZ49" si="60">IFERROR( AO48/AJ48-1, "NA")</f>
        <v>9.740867936309705E-2</v>
      </c>
      <c r="AP49" s="153">
        <f t="shared" si="60"/>
        <v>0.11993410214168021</v>
      </c>
      <c r="AQ49" s="153">
        <f t="shared" si="60"/>
        <v>7.0439864657028561E-2</v>
      </c>
      <c r="AR49" s="184">
        <f t="shared" si="60"/>
        <v>7.8207037066060803E-2</v>
      </c>
      <c r="AS49" s="153">
        <f t="shared" si="60"/>
        <v>1.9316493313521477E-2</v>
      </c>
      <c r="AT49" s="153">
        <f t="shared" si="60"/>
        <v>4.9786628733997196E-2</v>
      </c>
      <c r="AU49" s="153">
        <f t="shared" si="60"/>
        <v>-2.6478375992938785E-3</v>
      </c>
      <c r="AV49" s="153">
        <f t="shared" si="60"/>
        <v>0.22126436781609193</v>
      </c>
      <c r="AW49" s="184">
        <f t="shared" si="60"/>
        <v>7.2752380260193261E-2</v>
      </c>
      <c r="AX49" s="153">
        <f t="shared" si="60"/>
        <v>6.7055393586005874E-2</v>
      </c>
      <c r="AY49" s="153">
        <f t="shared" si="60"/>
        <v>-1.8970189701897011E-2</v>
      </c>
      <c r="AZ49" s="153">
        <f t="shared" si="60"/>
        <v>0.19174041297935096</v>
      </c>
      <c r="BA49" s="153">
        <f>IFERROR( BA48/AV48-1, "NA")</f>
        <v>3.7647058823529367E-2</v>
      </c>
      <c r="BB49" s="184">
        <f t="shared" ref="BB49:BO49" si="61">IFERROR( BB48/AW48-1, "NA")</f>
        <v>6.5718157181571923E-2</v>
      </c>
      <c r="BC49" s="153">
        <f t="shared" si="61"/>
        <v>3.2786885245901676E-2</v>
      </c>
      <c r="BD49" s="153">
        <f t="shared" si="61"/>
        <v>2.2099447513812098E-2</v>
      </c>
      <c r="BE49" s="153">
        <f t="shared" si="61"/>
        <v>-9.6534653465346509E-2</v>
      </c>
      <c r="BF49" s="153">
        <f t="shared" si="61"/>
        <v>-5.2154195011337889E-2</v>
      </c>
      <c r="BG49" s="184">
        <f>IFERROR( BG48/BB48-1, "NA")</f>
        <v>-2.6700572155117563E-2</v>
      </c>
      <c r="BH49" s="153">
        <f t="shared" si="61"/>
        <v>-4.7619047619047672E-2</v>
      </c>
      <c r="BI49" s="153">
        <f t="shared" si="61"/>
        <v>2.7027027027026751E-3</v>
      </c>
      <c r="BJ49" s="153">
        <f t="shared" si="61"/>
        <v>1.9178082191780854E-2</v>
      </c>
      <c r="BK49" s="153">
        <f t="shared" si="61"/>
        <v>-7.6555023923444931E-2</v>
      </c>
      <c r="BL49" s="184">
        <f t="shared" ref="BL49:BV49" si="62">IFERROR( BL48/BG48-1, "NA")</f>
        <v>-2.7433050293925509E-2</v>
      </c>
      <c r="BM49" s="153">
        <f t="shared" si="61"/>
        <v>7.2222222222222188E-2</v>
      </c>
      <c r="BN49" s="153">
        <f t="shared" si="61"/>
        <v>0.1132075471698113</v>
      </c>
      <c r="BO49" s="153">
        <f t="shared" si="61"/>
        <v>0.17741935483870974</v>
      </c>
      <c r="BP49" s="153">
        <f>IFERROR( BP48/BK48-1, "NA")</f>
        <v>0.16321243523316054</v>
      </c>
      <c r="BQ49" s="184">
        <f t="shared" si="62"/>
        <v>0.13230355943586303</v>
      </c>
      <c r="BR49" s="153">
        <f t="shared" si="62"/>
        <v>4.9222797927461093E-2</v>
      </c>
      <c r="BS49" s="153">
        <f>IFERROR( BS48/BN48-1, "NA")</f>
        <v>-2.421307506053294E-3</v>
      </c>
      <c r="BT49" s="153">
        <f t="shared" si="62"/>
        <v>-4.3724057928558935E-2</v>
      </c>
      <c r="BU49" s="153">
        <f t="shared" si="62"/>
        <v>-3.7939366357322091E-2</v>
      </c>
      <c r="BV49" s="184">
        <f t="shared" si="62"/>
        <v>-1.0786425188105908E-2</v>
      </c>
      <c r="BW49" s="153">
        <f t="shared" ref="BW49:CF49" si="63">IFERROR( BW48/BR48-1, "NA")</f>
        <v>4.7789326204138449E-2</v>
      </c>
      <c r="BX49" s="153">
        <f t="shared" si="63"/>
        <v>4.3562546260693891E-2</v>
      </c>
      <c r="BY49" s="153">
        <f t="shared" si="63"/>
        <v>0.10066173791788047</v>
      </c>
      <c r="BZ49" s="153">
        <f t="shared" si="63"/>
        <v>9.4356952851853082E-2</v>
      </c>
      <c r="CA49" s="184">
        <f t="shared" si="63"/>
        <v>7.2084427070681967E-2</v>
      </c>
      <c r="CB49" s="153">
        <f t="shared" si="63"/>
        <v>1.1163063827131836E-2</v>
      </c>
      <c r="CC49" s="153">
        <f t="shared" si="63"/>
        <v>3.3205520965691182E-3</v>
      </c>
      <c r="CD49" s="153">
        <f t="shared" si="63"/>
        <v>1.7457755421601995E-2</v>
      </c>
      <c r="CE49" s="153">
        <f t="shared" si="63"/>
        <v>2.2184192047046691E-2</v>
      </c>
      <c r="CF49" s="184">
        <f t="shared" si="63"/>
        <v>1.381401747345401E-2</v>
      </c>
      <c r="CI49"/>
      <c r="CJ49"/>
      <c r="CK49"/>
      <c r="CL49"/>
      <c r="CM49"/>
      <c r="CN49"/>
      <c r="CO49"/>
      <c r="CP49"/>
      <c r="CQ49"/>
      <c r="CR49"/>
      <c r="CS49"/>
    </row>
    <row r="50" spans="1:97" ht="12.75" customHeight="1" x14ac:dyDescent="0.35">
      <c r="A50" s="41"/>
      <c r="B50" s="42" t="s">
        <v>59</v>
      </c>
      <c r="C50" s="42"/>
      <c r="D50" s="43"/>
      <c r="E50" s="43"/>
      <c r="F50" s="43"/>
      <c r="G50" s="43"/>
      <c r="H50" s="43"/>
      <c r="I50" s="159"/>
      <c r="J50" s="147"/>
      <c r="K50" s="147"/>
      <c r="L50" s="153">
        <f t="shared" ref="L50:BG50" si="64">L48/L31</f>
        <v>0.5180924492783936</v>
      </c>
      <c r="M50" s="153">
        <f t="shared" si="64"/>
        <v>0.5349809885931559</v>
      </c>
      <c r="N50" s="184">
        <f t="shared" si="64"/>
        <v>0.52393765301917439</v>
      </c>
      <c r="O50" s="153">
        <f t="shared" si="64"/>
        <v>0.49140049140049136</v>
      </c>
      <c r="P50" s="153">
        <f t="shared" si="64"/>
        <v>0.45295999999999992</v>
      </c>
      <c r="Q50" s="153">
        <f t="shared" si="64"/>
        <v>0.50311013538236371</v>
      </c>
      <c r="R50" s="153">
        <f t="shared" si="64"/>
        <v>0.54432843744470016</v>
      </c>
      <c r="S50" s="184">
        <f t="shared" si="64"/>
        <v>0.49682231441433478</v>
      </c>
      <c r="T50" s="153">
        <f t="shared" si="64"/>
        <v>0.49410592727876479</v>
      </c>
      <c r="U50" s="153">
        <f t="shared" si="64"/>
        <v>0.4737171464330413</v>
      </c>
      <c r="V50" s="153">
        <f t="shared" si="64"/>
        <v>0.50994344097792377</v>
      </c>
      <c r="W50" s="153">
        <f t="shared" si="64"/>
        <v>0.55306647080425997</v>
      </c>
      <c r="X50" s="184">
        <f t="shared" si="64"/>
        <v>0.50599777225601927</v>
      </c>
      <c r="Y50" s="153">
        <f t="shared" si="64"/>
        <v>0.5638925918872596</v>
      </c>
      <c r="Z50" s="153">
        <f t="shared" si="64"/>
        <v>0.4787404092071611</v>
      </c>
      <c r="AA50" s="153">
        <f t="shared" si="64"/>
        <v>0.48913931079536188</v>
      </c>
      <c r="AB50" s="153">
        <f t="shared" si="64"/>
        <v>1.9221783481408359</v>
      </c>
      <c r="AC50" s="184">
        <f t="shared" si="64"/>
        <v>0.87033912603340646</v>
      </c>
      <c r="AD50" s="153">
        <f t="shared" si="64"/>
        <v>0.45659982041304992</v>
      </c>
      <c r="AE50" s="153">
        <f t="shared" si="64"/>
        <v>0.44939566040483464</v>
      </c>
      <c r="AF50" s="153">
        <f t="shared" si="64"/>
        <v>0.48386632094497267</v>
      </c>
      <c r="AG50" s="153">
        <f t="shared" si="64"/>
        <v>0.50282875672692151</v>
      </c>
      <c r="AH50" s="184">
        <f t="shared" si="64"/>
        <v>0.47371836469824785</v>
      </c>
      <c r="AI50" s="153">
        <f t="shared" si="64"/>
        <v>0.45450757049590218</v>
      </c>
      <c r="AJ50" s="153">
        <f t="shared" si="64"/>
        <v>0.42576099960122293</v>
      </c>
      <c r="AK50" s="153">
        <f t="shared" si="64"/>
        <v>0.47068858560794047</v>
      </c>
      <c r="AL50" s="153">
        <f t="shared" si="64"/>
        <v>0.54601948270070544</v>
      </c>
      <c r="AM50" s="184">
        <f t="shared" si="64"/>
        <v>0.47046895738091721</v>
      </c>
      <c r="AN50" s="153">
        <f t="shared" si="64"/>
        <v>0.50216385614087455</v>
      </c>
      <c r="AO50" s="153">
        <f t="shared" si="64"/>
        <v>0.47602925243770311</v>
      </c>
      <c r="AP50" s="153">
        <f t="shared" si="64"/>
        <v>0.45526386284489689</v>
      </c>
      <c r="AQ50" s="153">
        <f t="shared" si="64"/>
        <v>0.48333333333333334</v>
      </c>
      <c r="AR50" s="184">
        <f t="shared" si="64"/>
        <v>0.47855726757330186</v>
      </c>
      <c r="AS50" s="153">
        <f t="shared" si="64"/>
        <v>0.43198992443324935</v>
      </c>
      <c r="AT50" s="153">
        <f t="shared" si="64"/>
        <v>0.39339019189765456</v>
      </c>
      <c r="AU50" s="153">
        <f t="shared" si="64"/>
        <v>0.41090909090909089</v>
      </c>
      <c r="AV50" s="153">
        <f t="shared" si="64"/>
        <v>0.57823129251700678</v>
      </c>
      <c r="AW50" s="184">
        <f t="shared" si="64"/>
        <v>0.44835965978128794</v>
      </c>
      <c r="AX50" s="153">
        <f>AX48/AX31</f>
        <v>0.3532818532818533</v>
      </c>
      <c r="AY50" s="153">
        <f>AY48/AY31</f>
        <v>0.3693877551020408</v>
      </c>
      <c r="AZ50" s="153">
        <f>AZ48/AZ31</f>
        <v>0.43675675675675674</v>
      </c>
      <c r="BA50" s="153">
        <f t="shared" si="64"/>
        <v>0.50631458094144666</v>
      </c>
      <c r="BB50" s="184">
        <f t="shared" si="64"/>
        <v>0.41264428121720881</v>
      </c>
      <c r="BC50" s="153">
        <f t="shared" si="64"/>
        <v>0.4570737605804111</v>
      </c>
      <c r="BD50" s="153">
        <f t="shared" si="64"/>
        <v>0.52407932011331448</v>
      </c>
      <c r="BE50" s="153">
        <f t="shared" si="64"/>
        <v>0.61864406779661019</v>
      </c>
      <c r="BF50" s="153">
        <f>BF48/BF31</f>
        <v>0.72569444444444442</v>
      </c>
      <c r="BG50" s="184">
        <f t="shared" si="64"/>
        <v>0.56724712856613557</v>
      </c>
      <c r="BH50" s="153">
        <f t="shared" ref="BH50:BV50" si="65">BH48/BH31</f>
        <v>0.49113233287858116</v>
      </c>
      <c r="BI50" s="153">
        <f t="shared" si="65"/>
        <v>0.49665327978580992</v>
      </c>
      <c r="BJ50" s="153">
        <f>BJ48/BJ31</f>
        <v>0.53448275862068961</v>
      </c>
      <c r="BK50" s="153">
        <f>BK48/BK31</f>
        <v>0.56432748538011701</v>
      </c>
      <c r="BL50" s="184">
        <f t="shared" si="65"/>
        <v>0.52062937062937065</v>
      </c>
      <c r="BM50" s="153">
        <f>BM48/BM31</f>
        <v>0.3910840932117528</v>
      </c>
      <c r="BN50" s="153">
        <f>BN48/BN31</f>
        <v>0.40689655172413791</v>
      </c>
      <c r="BO50" s="153">
        <f>BO48/BO31</f>
        <v>0.44602851323828918</v>
      </c>
      <c r="BP50" s="153">
        <f>BP48/BP31</f>
        <v>0.55500618046971573</v>
      </c>
      <c r="BQ50" s="184">
        <f t="shared" si="65"/>
        <v>0.44450303190087004</v>
      </c>
      <c r="BR50" s="153">
        <f t="shared" si="65"/>
        <v>0.38028169014084506</v>
      </c>
      <c r="BS50" s="153">
        <f>BS48/BS31</f>
        <v>0.40792079207920789</v>
      </c>
      <c r="BT50" s="153">
        <f t="shared" ref="BT50" si="66">BT48/BT31</f>
        <v>0.3823602262374512</v>
      </c>
      <c r="BU50" s="153">
        <f t="shared" si="65"/>
        <v>0.48061553170210825</v>
      </c>
      <c r="BV50" s="184">
        <f t="shared" si="65"/>
        <v>0.40986239010638531</v>
      </c>
      <c r="BW50" s="153">
        <f t="shared" ref="BW50:CF50" si="67">BW48/BW31</f>
        <v>0.36587188556460221</v>
      </c>
      <c r="BX50" s="153">
        <f t="shared" si="67"/>
        <v>0.3912688835737253</v>
      </c>
      <c r="BY50" s="153">
        <f t="shared" si="67"/>
        <v>0.39251966096068436</v>
      </c>
      <c r="BZ50" s="153">
        <f t="shared" si="67"/>
        <v>0.49141282216107041</v>
      </c>
      <c r="CA50" s="184">
        <f t="shared" si="67"/>
        <v>0.40681959127291256</v>
      </c>
      <c r="CB50" s="153">
        <f t="shared" si="67"/>
        <v>0.34611419414908329</v>
      </c>
      <c r="CC50" s="153">
        <f t="shared" si="67"/>
        <v>0.36747892356650197</v>
      </c>
      <c r="CD50" s="153">
        <f t="shared" si="67"/>
        <v>0.37365035366719168</v>
      </c>
      <c r="CE50" s="153">
        <f t="shared" si="67"/>
        <v>0.47061372312026428</v>
      </c>
      <c r="CF50" s="184">
        <f t="shared" si="67"/>
        <v>0.38603963240229072</v>
      </c>
      <c r="CI50"/>
      <c r="CJ50"/>
      <c r="CK50"/>
      <c r="CL50"/>
      <c r="CM50"/>
      <c r="CN50"/>
      <c r="CO50"/>
      <c r="CP50"/>
      <c r="CQ50"/>
      <c r="CR50"/>
      <c r="CS50"/>
    </row>
    <row r="51" spans="1:97" ht="12.75" customHeight="1" x14ac:dyDescent="0.35">
      <c r="A51" s="41"/>
      <c r="B51" s="42"/>
      <c r="C51" s="42"/>
      <c r="D51" s="43"/>
      <c r="E51" s="43"/>
      <c r="F51" s="43"/>
      <c r="G51" s="43"/>
      <c r="H51" s="43"/>
      <c r="I51" s="49"/>
      <c r="J51" s="362"/>
      <c r="K51" s="362"/>
      <c r="L51" s="362"/>
      <c r="M51" s="362"/>
      <c r="N51" s="44"/>
      <c r="O51" s="362"/>
      <c r="P51" s="362"/>
      <c r="Q51" s="362"/>
      <c r="R51" s="362"/>
      <c r="S51" s="49"/>
      <c r="T51" s="362"/>
      <c r="U51" s="362"/>
      <c r="V51" s="362"/>
      <c r="W51" s="362"/>
      <c r="X51" s="49"/>
      <c r="Y51" s="362"/>
      <c r="Z51" s="362"/>
      <c r="AA51" s="362"/>
      <c r="AB51" s="362"/>
      <c r="AC51" s="49"/>
      <c r="AD51" s="362"/>
      <c r="AE51" s="362"/>
      <c r="AF51" s="362"/>
      <c r="AG51" s="362"/>
      <c r="AH51" s="49"/>
      <c r="AI51" s="362"/>
      <c r="AJ51" s="362"/>
      <c r="AK51" s="362"/>
      <c r="AL51" s="362"/>
      <c r="AM51" s="49"/>
      <c r="AN51" s="362"/>
      <c r="AO51" s="362"/>
      <c r="AP51" s="362"/>
      <c r="AQ51" s="362"/>
      <c r="AR51" s="49"/>
      <c r="AS51" s="362"/>
      <c r="AT51" s="362"/>
      <c r="AU51" s="362"/>
      <c r="AV51" s="362"/>
      <c r="AW51" s="49"/>
      <c r="AX51" s="362"/>
      <c r="AY51" s="362"/>
      <c r="AZ51" s="37"/>
      <c r="BA51" s="37"/>
      <c r="BB51" s="49"/>
      <c r="BC51" s="37"/>
      <c r="BD51" s="499"/>
      <c r="BE51" s="37"/>
      <c r="BF51" s="37"/>
      <c r="BG51" s="49"/>
      <c r="BH51" s="37"/>
      <c r="BI51" s="37"/>
      <c r="BJ51" s="37"/>
      <c r="BK51" s="37"/>
      <c r="BL51" s="573"/>
      <c r="BM51" s="37"/>
      <c r="BN51" s="37"/>
      <c r="BO51" s="37"/>
      <c r="BP51" s="37"/>
      <c r="BQ51" s="49"/>
      <c r="BR51" s="37"/>
      <c r="BS51" s="37"/>
      <c r="BT51" s="37"/>
      <c r="BU51" s="37"/>
      <c r="BV51" s="49"/>
      <c r="BW51" s="37"/>
      <c r="BX51" s="37"/>
      <c r="BY51" s="37"/>
      <c r="BZ51" s="37"/>
      <c r="CA51" s="49"/>
      <c r="CB51" s="37"/>
      <c r="CC51" s="37"/>
      <c r="CD51" s="37"/>
      <c r="CE51" s="37"/>
      <c r="CF51" s="49"/>
      <c r="CI51"/>
      <c r="CJ51"/>
      <c r="CK51"/>
      <c r="CL51"/>
      <c r="CM51"/>
      <c r="CN51"/>
      <c r="CO51"/>
      <c r="CP51"/>
      <c r="CQ51"/>
      <c r="CR51"/>
      <c r="CS51"/>
    </row>
    <row r="52" spans="1:97" ht="12.75" customHeight="1" x14ac:dyDescent="0.35">
      <c r="A52" s="58"/>
      <c r="B52" s="24" t="s">
        <v>137</v>
      </c>
      <c r="C52" s="53"/>
      <c r="D52" s="54"/>
      <c r="E52" s="54"/>
      <c r="F52" s="54"/>
      <c r="G52" s="54"/>
      <c r="H52" s="54"/>
      <c r="I52" s="419"/>
      <c r="J52" s="300"/>
      <c r="K52" s="300"/>
      <c r="L52" s="157">
        <f t="shared" ref="L52:R52" si="68">L31-L39</f>
        <v>242.50000000000003</v>
      </c>
      <c r="M52" s="157">
        <f t="shared" si="68"/>
        <v>256.3</v>
      </c>
      <c r="N52" s="281">
        <f t="shared" si="68"/>
        <v>1028.6500000000001</v>
      </c>
      <c r="O52" s="157">
        <f t="shared" si="68"/>
        <v>280.5</v>
      </c>
      <c r="P52" s="157">
        <f t="shared" si="68"/>
        <v>353.3</v>
      </c>
      <c r="Q52" s="157">
        <f t="shared" si="68"/>
        <v>283.20000000000005</v>
      </c>
      <c r="R52" s="157">
        <f t="shared" si="68"/>
        <v>272.49999999999989</v>
      </c>
      <c r="S52" s="183">
        <f>SUM(O52:R52)</f>
        <v>1189.5</v>
      </c>
      <c r="T52" s="157">
        <f>T31-T39</f>
        <v>320.69999999999993</v>
      </c>
      <c r="U52" s="157">
        <f>U31-U39</f>
        <v>352.20000000000005</v>
      </c>
      <c r="V52" s="157">
        <f>V31-V39</f>
        <v>280</v>
      </c>
      <c r="W52" s="157">
        <f>W31-W39</f>
        <v>260.70000000000005</v>
      </c>
      <c r="X52" s="183">
        <f>SUM(T52:W52)</f>
        <v>1213.5999999999999</v>
      </c>
      <c r="Y52" s="157">
        <f>Y31-Y39</f>
        <v>246.5</v>
      </c>
      <c r="Z52" s="157">
        <f>Z31-Z39</f>
        <v>344.3</v>
      </c>
      <c r="AA52" s="157">
        <f>AA31-AA39</f>
        <v>339.49999999999994</v>
      </c>
      <c r="AB52" s="157">
        <f>AB31-AB39</f>
        <v>322.29999999999995</v>
      </c>
      <c r="AC52" s="183">
        <f>SUM(Y52:AB52)</f>
        <v>1252.5999999999999</v>
      </c>
      <c r="AD52" s="157">
        <f>AD31-AD39</f>
        <v>382.00000000000006</v>
      </c>
      <c r="AE52" s="157">
        <f>AE31-AE39</f>
        <v>397.00000000000006</v>
      </c>
      <c r="AF52" s="157">
        <f>AF31-AF39</f>
        <v>376.90000000000003</v>
      </c>
      <c r="AG52" s="157">
        <f>AG31-AG39</f>
        <v>378.6</v>
      </c>
      <c r="AH52" s="183">
        <f>SUM(AD52:AG52)</f>
        <v>1534.5</v>
      </c>
      <c r="AI52" s="157">
        <f>AI31-AI39</f>
        <v>409.5</v>
      </c>
      <c r="AJ52" s="157">
        <f>AJ31-AJ39</f>
        <v>448.69999999999993</v>
      </c>
      <c r="AK52" s="157">
        <f>AK31-AK39</f>
        <v>357.09999999999997</v>
      </c>
      <c r="AL52" s="157">
        <f>AL31-AL39</f>
        <v>318.09999999999997</v>
      </c>
      <c r="AM52" s="183">
        <f>SUM(AI52:AL52)</f>
        <v>1533.3999999999999</v>
      </c>
      <c r="AN52" s="157">
        <f>AN31-AN39</f>
        <v>353.2999999999999</v>
      </c>
      <c r="AO52" s="157">
        <f>AO31-AO39</f>
        <v>431.40000000000009</v>
      </c>
      <c r="AP52" s="157">
        <f>AP31-AP39</f>
        <v>433.99999999999994</v>
      </c>
      <c r="AQ52" s="157">
        <f>AQ31-AQ39</f>
        <v>392</v>
      </c>
      <c r="AR52" s="183">
        <f>SUM(AN52:AQ52)</f>
        <v>1610.7</v>
      </c>
      <c r="AS52" s="157">
        <f>AS31-AS39</f>
        <v>466</v>
      </c>
      <c r="AT52" s="157">
        <f>AT31-AT39</f>
        <v>588</v>
      </c>
      <c r="AU52" s="157">
        <f>AU31-AU39</f>
        <v>516</v>
      </c>
      <c r="AV52" s="157">
        <f>AV31-AV39</f>
        <v>335</v>
      </c>
      <c r="AW52" s="183">
        <f>SUM(AS52:AV52)</f>
        <v>1905</v>
      </c>
      <c r="AX52" s="157">
        <f>AX31-AX39</f>
        <v>688</v>
      </c>
      <c r="AY52" s="157">
        <f>AY31-AY39</f>
        <v>636</v>
      </c>
      <c r="AZ52" s="157">
        <f>AZ31-AZ39</f>
        <v>538</v>
      </c>
      <c r="BA52" s="157">
        <f>BA31-BA39</f>
        <v>448</v>
      </c>
      <c r="BB52" s="183">
        <f>SUM(AX52:BA52)</f>
        <v>2310</v>
      </c>
      <c r="BC52" s="157">
        <f>BC31-BC39</f>
        <v>467</v>
      </c>
      <c r="BD52" s="157">
        <f>BD31-BD39</f>
        <v>372</v>
      </c>
      <c r="BE52" s="157">
        <f>BE31-BE39</f>
        <v>246</v>
      </c>
      <c r="BF52" s="157">
        <f>BF31-BF39</f>
        <v>229</v>
      </c>
      <c r="BG52" s="183">
        <f>SUM(BC52:BF52)</f>
        <v>1314</v>
      </c>
      <c r="BH52" s="157">
        <f>BH31-BH39</f>
        <v>397</v>
      </c>
      <c r="BI52" s="157">
        <f>BI31-BI39</f>
        <v>397</v>
      </c>
      <c r="BJ52" s="157">
        <f>BJ31-BJ39</f>
        <v>348</v>
      </c>
      <c r="BK52" s="157">
        <f>BK31-BK39</f>
        <v>332</v>
      </c>
      <c r="BL52" s="183">
        <f>SUM(BH52:BK52)</f>
        <v>1474</v>
      </c>
      <c r="BM52" s="157">
        <f>BM31-BM39</f>
        <v>621</v>
      </c>
      <c r="BN52" s="157">
        <f>BN31-BN39</f>
        <v>623</v>
      </c>
      <c r="BO52" s="157">
        <f>BO31-BO39</f>
        <v>566</v>
      </c>
      <c r="BP52" s="157">
        <f>BP31-BP39</f>
        <v>391</v>
      </c>
      <c r="BQ52" s="183">
        <f>SUM(BM52:BP52)</f>
        <v>2201</v>
      </c>
      <c r="BR52" s="157">
        <f>BR31-BR39</f>
        <v>686</v>
      </c>
      <c r="BS52" s="157">
        <f>BS31-BS39</f>
        <v>630</v>
      </c>
      <c r="BT52" s="157">
        <f>BT54*BT31</f>
        <v>702.58113737270889</v>
      </c>
      <c r="BU52" s="157">
        <f>BU54*BU31</f>
        <v>492.8097754944377</v>
      </c>
      <c r="BV52" s="183">
        <f>SUM(BR52:BU52)</f>
        <v>2511.3909128671467</v>
      </c>
      <c r="BW52" s="157">
        <f>BW54*BW31</f>
        <v>764.49032288732394</v>
      </c>
      <c r="BX52" s="157">
        <f>BX54*BX31</f>
        <v>701.9072309405941</v>
      </c>
      <c r="BY52" s="157">
        <f>BY54*BY31</f>
        <v>744.48035793571819</v>
      </c>
      <c r="BZ52" s="157">
        <f>BZ54*BZ31</f>
        <v>520.24535317212622</v>
      </c>
      <c r="CA52" s="183">
        <f>SUM(BW52:BZ52)</f>
        <v>2731.1232649357626</v>
      </c>
      <c r="CB52" s="157">
        <f>CB54*CB31</f>
        <v>832.64869954137328</v>
      </c>
      <c r="CC52" s="157">
        <f>CC54*CC31</f>
        <v>764.50259197462867</v>
      </c>
      <c r="CD52" s="157">
        <f>CD54*CD31</f>
        <v>808.28327022392136</v>
      </c>
      <c r="CE52" s="157">
        <f>CE54*CE31</f>
        <v>565.5569324136203</v>
      </c>
      <c r="CF52" s="183">
        <f>SUM(CB52:CE52)</f>
        <v>2970.9914941535435</v>
      </c>
      <c r="CI52"/>
      <c r="CJ52"/>
      <c r="CK52"/>
      <c r="CL52"/>
      <c r="CM52"/>
      <c r="CN52"/>
      <c r="CO52"/>
      <c r="CP52"/>
      <c r="CQ52"/>
      <c r="CR52"/>
      <c r="CS52"/>
    </row>
    <row r="53" spans="1:97" ht="12.75" customHeight="1" x14ac:dyDescent="0.35">
      <c r="A53" s="41"/>
      <c r="B53" s="42" t="s">
        <v>62</v>
      </c>
      <c r="C53" s="42"/>
      <c r="D53" s="43"/>
      <c r="E53" s="43"/>
      <c r="F53" s="43"/>
      <c r="G53" s="43"/>
      <c r="H53" s="43"/>
      <c r="I53" s="159"/>
      <c r="J53" s="147"/>
      <c r="K53" s="147"/>
      <c r="L53" s="153" t="str">
        <f t="shared" ref="L53:AC53" si="69">IFERROR( L52/G52-1, "NA")</f>
        <v>NA</v>
      </c>
      <c r="M53" s="153" t="str">
        <f t="shared" si="69"/>
        <v>NA</v>
      </c>
      <c r="N53" s="184" t="str">
        <f t="shared" si="69"/>
        <v>NA</v>
      </c>
      <c r="O53" s="153" t="str">
        <f t="shared" si="69"/>
        <v>NA</v>
      </c>
      <c r="P53" s="153" t="str">
        <f t="shared" si="69"/>
        <v>NA</v>
      </c>
      <c r="Q53" s="153">
        <f t="shared" si="69"/>
        <v>0.16783505154639178</v>
      </c>
      <c r="R53" s="153">
        <f t="shared" si="69"/>
        <v>6.3207179087007015E-2</v>
      </c>
      <c r="S53" s="184">
        <f t="shared" si="69"/>
        <v>0.15636999951392583</v>
      </c>
      <c r="T53" s="153">
        <f t="shared" si="69"/>
        <v>0.14331550802139015</v>
      </c>
      <c r="U53" s="153">
        <f t="shared" si="69"/>
        <v>-3.1135012737050216E-3</v>
      </c>
      <c r="V53" s="153">
        <f t="shared" si="69"/>
        <v>-1.1299435028248705E-2</v>
      </c>
      <c r="W53" s="153">
        <f t="shared" si="69"/>
        <v>-4.3302752293577385E-2</v>
      </c>
      <c r="X53" s="184">
        <f t="shared" si="69"/>
        <v>2.0260613703236618E-2</v>
      </c>
      <c r="Y53" s="153">
        <f t="shared" si="69"/>
        <v>-0.23136888057374472</v>
      </c>
      <c r="Z53" s="153">
        <f t="shared" si="69"/>
        <v>-2.2430437251561686E-2</v>
      </c>
      <c r="AA53" s="153">
        <f t="shared" si="69"/>
        <v>0.21249999999999969</v>
      </c>
      <c r="AB53" s="153">
        <f t="shared" si="69"/>
        <v>0.23628691983122319</v>
      </c>
      <c r="AC53" s="184">
        <f t="shared" si="69"/>
        <v>3.2135794330916179E-2</v>
      </c>
      <c r="AD53" s="153">
        <f t="shared" ref="AD53:AN53" si="70">IFERROR( AD52/Y52-1, "NA")</f>
        <v>0.54969574036511171</v>
      </c>
      <c r="AE53" s="153">
        <f t="shared" si="70"/>
        <v>0.1530641882079582</v>
      </c>
      <c r="AF53" s="153">
        <f t="shared" si="70"/>
        <v>0.11016200294550837</v>
      </c>
      <c r="AG53" s="153">
        <f t="shared" si="70"/>
        <v>0.17468197331678592</v>
      </c>
      <c r="AH53" s="184">
        <f t="shared" si="70"/>
        <v>0.22505189206450593</v>
      </c>
      <c r="AI53" s="153">
        <f>IFERROR( AI52/AD52-1, "NA")</f>
        <v>7.1989528795811442E-2</v>
      </c>
      <c r="AJ53" s="153">
        <f>IFERROR( AJ52/AE52-1, "NA")</f>
        <v>0.13022670025188887</v>
      </c>
      <c r="AK53" s="153">
        <f>IFERROR( AK52/AF52-1, "NA")</f>
        <v>-5.2533828601751265E-2</v>
      </c>
      <c r="AL53" s="153">
        <f>IFERROR( AL52/AG52-1, "NA")</f>
        <v>-0.15979926043317505</v>
      </c>
      <c r="AM53" s="184">
        <f>IFERROR( AM52/AH52-1, "NA")</f>
        <v>-7.1684587813625189E-4</v>
      </c>
      <c r="AN53" s="153">
        <f t="shared" si="70"/>
        <v>-0.13724053724053753</v>
      </c>
      <c r="AO53" s="153">
        <f t="shared" ref="AO53:BD53" si="71">IFERROR( AO52/AJ52-1, "NA")</f>
        <v>-3.8555827947403309E-2</v>
      </c>
      <c r="AP53" s="153">
        <f t="shared" si="71"/>
        <v>0.21534584150098013</v>
      </c>
      <c r="AQ53" s="153">
        <f t="shared" si="71"/>
        <v>0.23231688148381036</v>
      </c>
      <c r="AR53" s="184">
        <f t="shared" si="71"/>
        <v>5.0410851702100024E-2</v>
      </c>
      <c r="AS53" s="153">
        <f t="shared" si="71"/>
        <v>0.31899235776960122</v>
      </c>
      <c r="AT53" s="153">
        <f t="shared" si="71"/>
        <v>0.36300417246175209</v>
      </c>
      <c r="AU53" s="153">
        <f t="shared" si="71"/>
        <v>0.1889400921658988</v>
      </c>
      <c r="AV53" s="153">
        <f t="shared" si="71"/>
        <v>-0.14540816326530615</v>
      </c>
      <c r="AW53" s="184">
        <f t="shared" si="71"/>
        <v>0.18271558949525057</v>
      </c>
      <c r="AX53" s="153">
        <f t="shared" si="71"/>
        <v>0.4763948497854078</v>
      </c>
      <c r="AY53" s="153">
        <f t="shared" si="71"/>
        <v>8.163265306122458E-2</v>
      </c>
      <c r="AZ53" s="153">
        <f t="shared" si="71"/>
        <v>4.2635658914728758E-2</v>
      </c>
      <c r="BA53" s="153">
        <f t="shared" si="71"/>
        <v>0.33731343283582094</v>
      </c>
      <c r="BB53" s="184">
        <f>IFERROR( BB52/AW52-1, "NA")</f>
        <v>0.21259842519685046</v>
      </c>
      <c r="BC53" s="153">
        <f t="shared" si="71"/>
        <v>-0.32122093023255816</v>
      </c>
      <c r="BD53" s="153">
        <f t="shared" si="71"/>
        <v>-0.41509433962264153</v>
      </c>
      <c r="BE53" s="153">
        <f t="shared" ref="BE53:BV53" si="72">IFERROR( BE52/AZ52-1, "NA")</f>
        <v>-0.54275092936802971</v>
      </c>
      <c r="BF53" s="153">
        <f t="shared" si="72"/>
        <v>-0.4888392857142857</v>
      </c>
      <c r="BG53" s="184">
        <f t="shared" si="72"/>
        <v>-0.4311688311688312</v>
      </c>
      <c r="BH53" s="153">
        <f t="shared" si="72"/>
        <v>-0.1498929336188437</v>
      </c>
      <c r="BI53" s="153">
        <f t="shared" si="72"/>
        <v>6.7204301075268758E-2</v>
      </c>
      <c r="BJ53" s="153">
        <f t="shared" si="72"/>
        <v>0.41463414634146334</v>
      </c>
      <c r="BK53" s="153">
        <f t="shared" si="72"/>
        <v>0.44978165938864634</v>
      </c>
      <c r="BL53" s="184">
        <f t="shared" si="72"/>
        <v>0.12176560121765601</v>
      </c>
      <c r="BM53" s="153">
        <f t="shared" si="72"/>
        <v>0.56423173803526439</v>
      </c>
      <c r="BN53" s="153">
        <f t="shared" si="72"/>
        <v>0.5692695214105794</v>
      </c>
      <c r="BO53" s="153">
        <f t="shared" si="72"/>
        <v>0.62643678160919536</v>
      </c>
      <c r="BP53" s="153">
        <f t="shared" si="72"/>
        <v>0.17771084337349397</v>
      </c>
      <c r="BQ53" s="184">
        <f t="shared" si="72"/>
        <v>0.49321573948439612</v>
      </c>
      <c r="BR53" s="153">
        <f t="shared" si="72"/>
        <v>0.10466988727858295</v>
      </c>
      <c r="BS53" s="153">
        <f t="shared" si="72"/>
        <v>1.1235955056179803E-2</v>
      </c>
      <c r="BT53" s="153">
        <f t="shared" si="72"/>
        <v>0.24130942998711813</v>
      </c>
      <c r="BU53" s="153">
        <f t="shared" si="72"/>
        <v>0.26038305753053126</v>
      </c>
      <c r="BV53" s="184">
        <f t="shared" si="72"/>
        <v>0.14102267735899443</v>
      </c>
      <c r="BW53" s="153">
        <f t="shared" ref="BW53:CF53" si="73">IFERROR( BW52/BR52-1, "NA")</f>
        <v>0.11441738030222148</v>
      </c>
      <c r="BX53" s="153">
        <f t="shared" si="73"/>
        <v>0.11413846181046683</v>
      </c>
      <c r="BY53" s="153">
        <f t="shared" si="73"/>
        <v>5.9636130738850657E-2</v>
      </c>
      <c r="BZ53" s="153">
        <f t="shared" si="73"/>
        <v>5.5671739973425449E-2</v>
      </c>
      <c r="CA53" s="184">
        <f t="shared" si="73"/>
        <v>8.7494284917100762E-2</v>
      </c>
      <c r="CB53" s="153">
        <f t="shared" si="73"/>
        <v>8.9155316442239618E-2</v>
      </c>
      <c r="CC53" s="153">
        <f t="shared" si="73"/>
        <v>8.9178965929946896E-2</v>
      </c>
      <c r="CD53" s="153">
        <f t="shared" si="73"/>
        <v>8.5701270165293275E-2</v>
      </c>
      <c r="CE53" s="153">
        <f t="shared" si="73"/>
        <v>8.7096557355510917E-2</v>
      </c>
      <c r="CF53" s="184">
        <f t="shared" si="73"/>
        <v>8.782768331894486E-2</v>
      </c>
      <c r="CI53"/>
      <c r="CJ53"/>
      <c r="CK53"/>
      <c r="CL53"/>
      <c r="CM53"/>
      <c r="CN53"/>
      <c r="CO53"/>
      <c r="CP53"/>
      <c r="CQ53"/>
      <c r="CR53"/>
      <c r="CS53"/>
    </row>
    <row r="54" spans="1:97" ht="12.75" customHeight="1" x14ac:dyDescent="0.35">
      <c r="A54" s="41"/>
      <c r="B54" s="42" t="s">
        <v>31</v>
      </c>
      <c r="C54" s="42"/>
      <c r="D54" s="43"/>
      <c r="E54" s="43"/>
      <c r="F54" s="43"/>
      <c r="G54" s="43"/>
      <c r="H54" s="43"/>
      <c r="I54" s="159"/>
      <c r="J54" s="147"/>
      <c r="K54" s="147"/>
      <c r="L54" s="153">
        <f t="shared" ref="L54:AW54" si="74">L52/(L31)</f>
        <v>0.50721606358502414</v>
      </c>
      <c r="M54" s="153">
        <f t="shared" si="74"/>
        <v>0.48726235741444868</v>
      </c>
      <c r="N54" s="184">
        <f t="shared" si="74"/>
        <v>0.49870312462123967</v>
      </c>
      <c r="O54" s="153">
        <f t="shared" si="74"/>
        <v>0.53014553014553012</v>
      </c>
      <c r="P54" s="153">
        <f t="shared" si="74"/>
        <v>0.56528</v>
      </c>
      <c r="Q54" s="153">
        <f t="shared" si="74"/>
        <v>0.51811196487376521</v>
      </c>
      <c r="R54" s="153">
        <f t="shared" si="74"/>
        <v>0.48221553707308429</v>
      </c>
      <c r="S54" s="184">
        <f t="shared" si="74"/>
        <v>0.52498013946508959</v>
      </c>
      <c r="T54" s="153">
        <f t="shared" si="74"/>
        <v>0.53245890752116876</v>
      </c>
      <c r="U54" s="153">
        <f t="shared" si="74"/>
        <v>0.55100125156445556</v>
      </c>
      <c r="V54" s="153">
        <f t="shared" si="74"/>
        <v>0.51085568326947639</v>
      </c>
      <c r="W54" s="153">
        <f t="shared" si="74"/>
        <v>0.47869996327579883</v>
      </c>
      <c r="X54" s="184">
        <f t="shared" si="74"/>
        <v>0.5199211721360637</v>
      </c>
      <c r="Y54" s="153">
        <f t="shared" si="74"/>
        <v>0.46943439344886684</v>
      </c>
      <c r="Z54" s="153">
        <f t="shared" si="74"/>
        <v>0.55035166240409206</v>
      </c>
      <c r="AA54" s="153">
        <f t="shared" si="74"/>
        <v>0.55446676465784739</v>
      </c>
      <c r="AB54" s="153">
        <f t="shared" si="74"/>
        <v>0.53027311615663042</v>
      </c>
      <c r="AC54" s="184">
        <f t="shared" si="74"/>
        <v>0.52834486249367296</v>
      </c>
      <c r="AD54" s="153">
        <f t="shared" si="74"/>
        <v>0.57168512421430717</v>
      </c>
      <c r="AE54" s="153">
        <f t="shared" si="74"/>
        <v>0.57812727537498187</v>
      </c>
      <c r="AF54" s="153">
        <f t="shared" si="74"/>
        <v>0.54292711034284069</v>
      </c>
      <c r="AG54" s="153">
        <f t="shared" si="74"/>
        <v>0.52242307161584101</v>
      </c>
      <c r="AH54" s="184">
        <f t="shared" si="74"/>
        <v>0.55321219987021408</v>
      </c>
      <c r="AI54" s="153">
        <f t="shared" si="74"/>
        <v>0.56882900402833725</v>
      </c>
      <c r="AJ54" s="153">
        <f t="shared" si="74"/>
        <v>0.59643759138641494</v>
      </c>
      <c r="AK54" s="153">
        <f t="shared" si="74"/>
        <v>0.55381513647642677</v>
      </c>
      <c r="AL54" s="153">
        <f t="shared" si="74"/>
        <v>0.5342626805508901</v>
      </c>
      <c r="AM54" s="184">
        <f t="shared" si="74"/>
        <v>0.5653295974045125</v>
      </c>
      <c r="AN54" s="153">
        <f t="shared" si="74"/>
        <v>0.52723474108342028</v>
      </c>
      <c r="AO54" s="153">
        <f t="shared" si="74"/>
        <v>0.58423618634886243</v>
      </c>
      <c r="AP54" s="153">
        <f t="shared" si="74"/>
        <v>0.58130190195553177</v>
      </c>
      <c r="AQ54" s="153">
        <f t="shared" si="74"/>
        <v>0.5444444444444444</v>
      </c>
      <c r="AR54" s="184">
        <f t="shared" si="74"/>
        <v>0.56022399220896668</v>
      </c>
      <c r="AS54" s="153">
        <f t="shared" si="74"/>
        <v>0.58690176322418131</v>
      </c>
      <c r="AT54" s="153">
        <f t="shared" si="74"/>
        <v>0.62686567164179108</v>
      </c>
      <c r="AU54" s="153">
        <f t="shared" si="74"/>
        <v>0.62545454545454549</v>
      </c>
      <c r="AV54" s="153">
        <f t="shared" si="74"/>
        <v>0.45578231292517007</v>
      </c>
      <c r="AW54" s="184">
        <f t="shared" si="74"/>
        <v>0.57867557715674367</v>
      </c>
      <c r="AX54" s="153">
        <f t="shared" ref="AX54:BJ54" si="75">AX52/(AX31)</f>
        <v>0.6640926640926641</v>
      </c>
      <c r="AY54" s="153">
        <f t="shared" si="75"/>
        <v>0.6489795918367347</v>
      </c>
      <c r="AZ54" s="153">
        <f t="shared" si="75"/>
        <v>0.58162162162162168</v>
      </c>
      <c r="BA54" s="153">
        <f t="shared" si="75"/>
        <v>0.51435132032146957</v>
      </c>
      <c r="BB54" s="184">
        <f t="shared" si="75"/>
        <v>0.6059811122770199</v>
      </c>
      <c r="BC54" s="153">
        <f t="shared" si="75"/>
        <v>0.56469165659008469</v>
      </c>
      <c r="BD54" s="153">
        <f t="shared" si="75"/>
        <v>0.52691218130311612</v>
      </c>
      <c r="BE54" s="153">
        <f t="shared" si="75"/>
        <v>0.41694915254237286</v>
      </c>
      <c r="BF54" s="153">
        <f t="shared" si="75"/>
        <v>0.39756944444444442</v>
      </c>
      <c r="BG54" s="184">
        <f t="shared" si="75"/>
        <v>0.48684698036309743</v>
      </c>
      <c r="BH54" s="153">
        <f t="shared" si="75"/>
        <v>0.54160982264665758</v>
      </c>
      <c r="BI54" s="153">
        <f t="shared" si="75"/>
        <v>0.53145917001338683</v>
      </c>
      <c r="BJ54" s="153">
        <f t="shared" si="75"/>
        <v>0.5</v>
      </c>
      <c r="BK54" s="153">
        <f t="shared" ref="BK54:BQ54" si="76">BK52/(BK31)</f>
        <v>0.4853801169590643</v>
      </c>
      <c r="BL54" s="184">
        <f t="shared" si="76"/>
        <v>0.51538461538461533</v>
      </c>
      <c r="BM54" s="153">
        <f t="shared" si="76"/>
        <v>0.62917933130699089</v>
      </c>
      <c r="BN54" s="153">
        <f t="shared" si="76"/>
        <v>0.61379310344827587</v>
      </c>
      <c r="BO54" s="153">
        <f t="shared" si="76"/>
        <v>0.57637474541751532</v>
      </c>
      <c r="BP54" s="153">
        <f t="shared" si="76"/>
        <v>0.48331273176761436</v>
      </c>
      <c r="BQ54" s="184">
        <f t="shared" si="76"/>
        <v>0.58027946216714998</v>
      </c>
      <c r="BR54" s="153">
        <f>BR52/(BR31)</f>
        <v>0.64413145539906103</v>
      </c>
      <c r="BS54" s="153">
        <f>BS52/(BS31)</f>
        <v>0.62376237623762376</v>
      </c>
      <c r="BT54" s="153">
        <f>BO54+(BT55/10000)</f>
        <v>0.64137474541751538</v>
      </c>
      <c r="BU54" s="153">
        <f>BP54+(BU55/10000)</f>
        <v>0.54831273176761441</v>
      </c>
      <c r="BV54" s="184">
        <f>BV52/(BV31)</f>
        <v>0.61716991718705416</v>
      </c>
      <c r="BW54" s="153">
        <f>BR54+(BW55/10000)</f>
        <v>0.65913145539906104</v>
      </c>
      <c r="BX54" s="153">
        <f>BS54+(BX55/10000)</f>
        <v>0.63876237623762377</v>
      </c>
      <c r="BY54" s="153">
        <f>BT54+(BY55/10000)</f>
        <v>0.63387474541751543</v>
      </c>
      <c r="BZ54" s="153">
        <f>BU54+(BZ55/10000)</f>
        <v>0.54081273176761446</v>
      </c>
      <c r="CA54" s="184">
        <f>CA52/(CA31)</f>
        <v>0.62139325607167628</v>
      </c>
      <c r="CB54" s="153">
        <f>BW54+(CB55/10000)</f>
        <v>0.67163145539906099</v>
      </c>
      <c r="CC54" s="153">
        <f>BX54+(CC55/10000)</f>
        <v>0.65126237623762373</v>
      </c>
      <c r="CD54" s="153">
        <f>BY54+(CD55/10000)</f>
        <v>0.64387474541751544</v>
      </c>
      <c r="CE54" s="153">
        <f>BZ54+(CE55/10000)</f>
        <v>0.55081273176761447</v>
      </c>
      <c r="CF54" s="184">
        <f>CF52/(CF31)</f>
        <v>0.63270080178149501</v>
      </c>
      <c r="CI54"/>
      <c r="CJ54"/>
      <c r="CK54"/>
      <c r="CL54"/>
      <c r="CM54"/>
      <c r="CN54"/>
      <c r="CO54"/>
      <c r="CP54"/>
      <c r="CQ54"/>
      <c r="CR54"/>
      <c r="CS54"/>
    </row>
    <row r="55" spans="1:97" ht="12.75" customHeight="1" x14ac:dyDescent="0.35">
      <c r="A55" s="41"/>
      <c r="B55" s="42" t="s">
        <v>60</v>
      </c>
      <c r="C55" s="42"/>
      <c r="D55" s="43"/>
      <c r="E55" s="43"/>
      <c r="F55" s="43"/>
      <c r="G55" s="43"/>
      <c r="H55" s="43"/>
      <c r="I55" s="44"/>
      <c r="J55" s="148"/>
      <c r="K55" s="148"/>
      <c r="L55" s="385">
        <f t="shared" ref="L55:AC55" si="77">(L54-G54)*10000</f>
        <v>5072.1606358502413</v>
      </c>
      <c r="M55" s="385">
        <f t="shared" si="77"/>
        <v>4872.6235741444871</v>
      </c>
      <c r="N55" s="386">
        <f t="shared" si="77"/>
        <v>4987.0312462123966</v>
      </c>
      <c r="O55" s="385">
        <f t="shared" si="77"/>
        <v>5301.4553014553012</v>
      </c>
      <c r="P55" s="385">
        <f t="shared" si="77"/>
        <v>5652.8</v>
      </c>
      <c r="Q55" s="385">
        <f t="shared" si="77"/>
        <v>108.95901288741072</v>
      </c>
      <c r="R55" s="385">
        <f t="shared" si="77"/>
        <v>-50.468203413643884</v>
      </c>
      <c r="S55" s="386">
        <f t="shared" si="77"/>
        <v>262.77014843849923</v>
      </c>
      <c r="T55" s="385">
        <f t="shared" si="77"/>
        <v>23.133773756386368</v>
      </c>
      <c r="U55" s="385">
        <f t="shared" si="77"/>
        <v>-142.78748435544441</v>
      </c>
      <c r="V55" s="385">
        <f t="shared" si="77"/>
        <v>-72.562816042888173</v>
      </c>
      <c r="W55" s="385">
        <f t="shared" si="77"/>
        <v>-35.155737972854538</v>
      </c>
      <c r="X55" s="386">
        <f t="shared" si="77"/>
        <v>-50.589673290258872</v>
      </c>
      <c r="Y55" s="385">
        <f t="shared" si="77"/>
        <v>-630.24514072301918</v>
      </c>
      <c r="Z55" s="385">
        <f t="shared" si="77"/>
        <v>-6.4958916036350622</v>
      </c>
      <c r="AA55" s="385">
        <f t="shared" si="77"/>
        <v>436.11081388370997</v>
      </c>
      <c r="AB55" s="385">
        <f t="shared" si="77"/>
        <v>515.73152880831583</v>
      </c>
      <c r="AC55" s="386">
        <f t="shared" si="77"/>
        <v>84.236903576092587</v>
      </c>
      <c r="AD55" s="385">
        <f t="shared" ref="AD55:AN55" si="78">(AD54-Y54)*10000</f>
        <v>1022.5073076544033</v>
      </c>
      <c r="AE55" s="385">
        <f t="shared" si="78"/>
        <v>277.75612970889819</v>
      </c>
      <c r="AF55" s="385">
        <f t="shared" si="78"/>
        <v>-115.39654315006698</v>
      </c>
      <c r="AG55" s="385">
        <f t="shared" si="78"/>
        <v>-78.500445407894134</v>
      </c>
      <c r="AH55" s="386">
        <f t="shared" ref="AH55:AM55" si="79">(AH54-AC54)*10000</f>
        <v>248.67337376541121</v>
      </c>
      <c r="AI55" s="385">
        <f t="shared" si="79"/>
        <v>-28.561201859699239</v>
      </c>
      <c r="AJ55" s="385">
        <f t="shared" si="79"/>
        <v>183.10316011433071</v>
      </c>
      <c r="AK55" s="385">
        <f t="shared" si="79"/>
        <v>108.88026133586082</v>
      </c>
      <c r="AL55" s="385">
        <f t="shared" si="79"/>
        <v>118.39608935049095</v>
      </c>
      <c r="AM55" s="386">
        <f t="shared" si="79"/>
        <v>121.17397534298414</v>
      </c>
      <c r="AN55" s="385">
        <f t="shared" si="78"/>
        <v>-415.94262944916971</v>
      </c>
      <c r="AO55" s="385">
        <f t="shared" ref="AO55:BD55" si="80">(AO54-AJ54)*10000</f>
        <v>-122.01405037552516</v>
      </c>
      <c r="AP55" s="385">
        <f t="shared" si="80"/>
        <v>274.86765479105003</v>
      </c>
      <c r="AQ55" s="385">
        <f t="shared" si="80"/>
        <v>101.81763893554296</v>
      </c>
      <c r="AR55" s="386">
        <f t="shared" si="80"/>
        <v>-51.056051955458145</v>
      </c>
      <c r="AS55" s="385">
        <f t="shared" si="80"/>
        <v>596.67022140761026</v>
      </c>
      <c r="AT55" s="385">
        <f t="shared" si="80"/>
        <v>426.29485292928649</v>
      </c>
      <c r="AU55" s="385">
        <f t="shared" si="80"/>
        <v>441.52643499013709</v>
      </c>
      <c r="AV55" s="385">
        <f t="shared" si="80"/>
        <v>-886.62131519274328</v>
      </c>
      <c r="AW55" s="386">
        <f t="shared" si="80"/>
        <v>184.51584947776988</v>
      </c>
      <c r="AX55" s="385">
        <f t="shared" si="80"/>
        <v>771.90900868482788</v>
      </c>
      <c r="AY55" s="385">
        <f t="shared" si="80"/>
        <v>221.13920194943626</v>
      </c>
      <c r="AZ55" s="385">
        <f t="shared" si="80"/>
        <v>-438.32923832923808</v>
      </c>
      <c r="BA55" s="385">
        <f t="shared" si="80"/>
        <v>585.69007396299503</v>
      </c>
      <c r="BB55" s="386">
        <f>(BB54-AW54)*10000</f>
        <v>273.05535120276227</v>
      </c>
      <c r="BC55" s="385">
        <f t="shared" si="80"/>
        <v>-994.01007502579409</v>
      </c>
      <c r="BD55" s="385">
        <f t="shared" si="80"/>
        <v>-1220.6741053361859</v>
      </c>
      <c r="BE55" s="385">
        <f t="shared" ref="BE55:BT55" si="81">(BE54-AZ54)*10000</f>
        <v>-1646.7246907924882</v>
      </c>
      <c r="BF55" s="385">
        <f t="shared" si="81"/>
        <v>-1167.8187587702516</v>
      </c>
      <c r="BG55" s="386">
        <f t="shared" si="81"/>
        <v>-1191.3413191392247</v>
      </c>
      <c r="BH55" s="385">
        <f t="shared" si="81"/>
        <v>-230.81833943427111</v>
      </c>
      <c r="BI55" s="385">
        <f t="shared" si="81"/>
        <v>45.469887102707048</v>
      </c>
      <c r="BJ55" s="385">
        <f t="shared" si="81"/>
        <v>830.5084745762714</v>
      </c>
      <c r="BK55" s="385">
        <f t="shared" si="81"/>
        <v>878.10672514619876</v>
      </c>
      <c r="BL55" s="386">
        <f>(BL54-BG54)*10000</f>
        <v>285.37635021517906</v>
      </c>
      <c r="BM55" s="385">
        <f t="shared" si="81"/>
        <v>875.69508660333304</v>
      </c>
      <c r="BN55" s="385">
        <f t="shared" si="81"/>
        <v>823.33933434889036</v>
      </c>
      <c r="BO55" s="385">
        <f t="shared" si="81"/>
        <v>763.74745417515317</v>
      </c>
      <c r="BP55" s="385">
        <f t="shared" si="81"/>
        <v>-20.673851914499441</v>
      </c>
      <c r="BQ55" s="386">
        <f>(BQ54-BL54)*10000</f>
        <v>648.9484678253466</v>
      </c>
      <c r="BR55" s="148">
        <f t="shared" si="81"/>
        <v>149.52124092070142</v>
      </c>
      <c r="BS55" s="148">
        <f t="shared" si="81"/>
        <v>99.692727893478946</v>
      </c>
      <c r="BT55" s="623">
        <v>650</v>
      </c>
      <c r="BU55" s="623">
        <v>650</v>
      </c>
      <c r="BV55" s="386">
        <f>(BV54-BQ54)*10000</f>
        <v>368.90455019904181</v>
      </c>
      <c r="BW55" s="623">
        <v>150</v>
      </c>
      <c r="BX55" s="623">
        <v>150</v>
      </c>
      <c r="BY55" s="623">
        <v>-75</v>
      </c>
      <c r="BZ55" s="623">
        <v>-75</v>
      </c>
      <c r="CA55" s="386">
        <f>(CA54-BV54)*10000</f>
        <v>42.233388846221189</v>
      </c>
      <c r="CB55" s="623">
        <v>125</v>
      </c>
      <c r="CC55" s="623">
        <v>125</v>
      </c>
      <c r="CD55" s="623">
        <v>100</v>
      </c>
      <c r="CE55" s="623">
        <v>100</v>
      </c>
      <c r="CF55" s="386">
        <f>(CF54-CA54)*10000</f>
        <v>113.07545709818734</v>
      </c>
      <c r="CI55"/>
      <c r="CJ55"/>
      <c r="CK55"/>
      <c r="CL55"/>
      <c r="CM55"/>
      <c r="CN55"/>
      <c r="CO55"/>
      <c r="CP55"/>
      <c r="CQ55"/>
      <c r="CR55"/>
      <c r="CS55"/>
    </row>
    <row r="56" spans="1:97" ht="12.75" customHeight="1" x14ac:dyDescent="0.35">
      <c r="A56" s="41"/>
      <c r="B56" s="42" t="s">
        <v>61</v>
      </c>
      <c r="C56" s="42"/>
      <c r="D56" s="43"/>
      <c r="E56" s="43"/>
      <c r="F56" s="43"/>
      <c r="G56" s="43"/>
      <c r="H56" s="43"/>
      <c r="I56" s="44"/>
      <c r="J56" s="395"/>
      <c r="K56" s="395"/>
      <c r="L56" s="73">
        <f>(L54-J54)*10000</f>
        <v>5072.1606358502413</v>
      </c>
      <c r="M56" s="73">
        <f>(M54-K54)*10000</f>
        <v>4872.6235741444871</v>
      </c>
      <c r="N56" s="74">
        <f>(N54-L54)*10000</f>
        <v>-85.129389637844668</v>
      </c>
      <c r="O56" s="73">
        <f>(O54-M54)*10000</f>
        <v>428.83172731081441</v>
      </c>
      <c r="P56" s="73">
        <f>(P54-O54)*10000</f>
        <v>351.34469854469887</v>
      </c>
      <c r="Q56" s="73">
        <f>(Q54-P54)*10000</f>
        <v>-471.68035126234798</v>
      </c>
      <c r="R56" s="73">
        <f>(R54-Q54)*10000</f>
        <v>-358.9642780068092</v>
      </c>
      <c r="S56" s="420"/>
      <c r="T56" s="73">
        <f>(T54-R54)*10000</f>
        <v>502.43370448084465</v>
      </c>
      <c r="U56" s="73">
        <f>(U54-T54)*10000</f>
        <v>185.42344043286806</v>
      </c>
      <c r="V56" s="73">
        <f>(V54-U54)*10000</f>
        <v>-401.45568294979171</v>
      </c>
      <c r="W56" s="73">
        <f>(W54-V54)*10000</f>
        <v>-321.55719993677559</v>
      </c>
      <c r="X56" s="420"/>
      <c r="Y56" s="73">
        <f>(Y54-W54)*10000</f>
        <v>-92.65569826931997</v>
      </c>
      <c r="Z56" s="73">
        <f>(Z54-Y54)*10000</f>
        <v>809.17268955225222</v>
      </c>
      <c r="AA56" s="73">
        <f>(AA54-Z54)*10000</f>
        <v>41.151022537553317</v>
      </c>
      <c r="AB56" s="73">
        <f>(AB54-AA54)*10000</f>
        <v>-241.9364850121697</v>
      </c>
      <c r="AC56" s="420"/>
      <c r="AD56" s="73">
        <f>(AD54-AB54)*10000</f>
        <v>414.12008057676752</v>
      </c>
      <c r="AE56" s="73">
        <f>(AE54-AD54)*10000</f>
        <v>64.421511606747032</v>
      </c>
      <c r="AF56" s="73">
        <f>(AF54-AE54)*10000</f>
        <v>-352.00165032141183</v>
      </c>
      <c r="AG56" s="73">
        <f>(AG54-AF54)*10000</f>
        <v>-205.04038726999684</v>
      </c>
      <c r="AH56" s="420"/>
      <c r="AI56" s="73">
        <f>(AI54-AG54)*10000</f>
        <v>464.05932412496242</v>
      </c>
      <c r="AJ56" s="73">
        <f>(AJ54-AI54)*10000</f>
        <v>276.08587358077699</v>
      </c>
      <c r="AK56" s="73">
        <f>(AK54-AJ54)*10000</f>
        <v>-426.2245490998817</v>
      </c>
      <c r="AL56" s="73">
        <f>(AL54-AK54)*10000</f>
        <v>-195.52455925536671</v>
      </c>
      <c r="AM56" s="420"/>
      <c r="AN56" s="73">
        <f>(AN54-AL54)*10000</f>
        <v>-70.279394674698239</v>
      </c>
      <c r="AO56" s="73">
        <f>(AO54-AN54)*10000</f>
        <v>570.01445265442158</v>
      </c>
      <c r="AP56" s="73">
        <f>(AP54-AO54)*10000</f>
        <v>-29.34284393330655</v>
      </c>
      <c r="AQ56" s="73">
        <f>(AQ54-AP54)*10000</f>
        <v>-368.57457511087375</v>
      </c>
      <c r="AR56" s="420"/>
      <c r="AS56" s="73">
        <f>(AS54-AQ54)*10000</f>
        <v>424.57318779736909</v>
      </c>
      <c r="AT56" s="73">
        <f>(AT54-AS54)*10000</f>
        <v>399.63908417609775</v>
      </c>
      <c r="AU56" s="73">
        <f>(AU54-AT54)*10000</f>
        <v>-14.111261872455927</v>
      </c>
      <c r="AV56" s="73">
        <f>(AV54-AU54)*10000</f>
        <v>-1696.722325293754</v>
      </c>
      <c r="AW56" s="420"/>
      <c r="AX56" s="73">
        <f>(AX54-AV54)*10000</f>
        <v>2083.1035116749404</v>
      </c>
      <c r="AY56" s="73">
        <f>(AY54-AX54)*10000</f>
        <v>-151.13072255929393</v>
      </c>
      <c r="AZ56" s="73">
        <f>(AZ54-AY54)*10000</f>
        <v>-673.57970215113028</v>
      </c>
      <c r="BA56" s="73">
        <f>(BA54-AZ54)*10000</f>
        <v>-672.70301300152107</v>
      </c>
      <c r="BB56" s="420"/>
      <c r="BC56" s="73">
        <f>(BC54-BA54)*10000</f>
        <v>503.40336268615118</v>
      </c>
      <c r="BD56" s="73">
        <f>(BD54-BC54)*10000</f>
        <v>-377.79475286968568</v>
      </c>
      <c r="BE56" s="73">
        <f>(BE54-BD54)*10000</f>
        <v>-1099.6302876074326</v>
      </c>
      <c r="BF56" s="73">
        <f>(BF54-BE54)*10000</f>
        <v>-193.79708097928437</v>
      </c>
      <c r="BG56" s="420"/>
      <c r="BH56" s="73">
        <f>(BH54-BF54)*10000</f>
        <v>1440.4037820221315</v>
      </c>
      <c r="BI56" s="73">
        <f>(BI54-BH54)*10000</f>
        <v>-101.50652633270751</v>
      </c>
      <c r="BJ56" s="73">
        <f>(BJ54-BI54)*10000</f>
        <v>-314.5917001338683</v>
      </c>
      <c r="BK56" s="73">
        <f>(BK54-BJ54)*10000</f>
        <v>-146.19883040935699</v>
      </c>
      <c r="BL56" s="420"/>
      <c r="BM56" s="73">
        <f>(BM54-BK54)*10000</f>
        <v>1437.9921434792659</v>
      </c>
      <c r="BN56" s="73">
        <f>(BN54-BM54)*10000</f>
        <v>-153.86227858715017</v>
      </c>
      <c r="BO56" s="73">
        <f>(BO54-BN54)*10000</f>
        <v>-374.18358030760544</v>
      </c>
      <c r="BP56" s="73">
        <f>(BP54-BO54)*10000</f>
        <v>-930.62013649900962</v>
      </c>
      <c r="BQ56" s="420"/>
      <c r="BR56" s="73">
        <f>(BR54-BP54)*10000</f>
        <v>1608.1872363144666</v>
      </c>
      <c r="BS56" s="73">
        <f>(BS54-BR54)*10000</f>
        <v>-203.69079161437264</v>
      </c>
      <c r="BT56" s="73">
        <f>(BT54-BS54)*10000</f>
        <v>176.12369179891618</v>
      </c>
      <c r="BU56" s="73">
        <f>(BU54-BT54)*10000</f>
        <v>-930.62013649900962</v>
      </c>
      <c r="BV56" s="420"/>
      <c r="BW56" s="73">
        <f>(BW54-BU54)*10000</f>
        <v>1108.1872363144662</v>
      </c>
      <c r="BX56" s="73">
        <f>(BX54-BW54)*10000</f>
        <v>-203.69079161437264</v>
      </c>
      <c r="BY56" s="73">
        <f>(BY54-BX54)*10000</f>
        <v>-48.876308201083461</v>
      </c>
      <c r="BZ56" s="73">
        <f>(BZ54-BY54)*10000</f>
        <v>-930.62013649900962</v>
      </c>
      <c r="CA56" s="420"/>
      <c r="CB56" s="73">
        <f>(CB54-BZ54)*10000</f>
        <v>1308.1872363144653</v>
      </c>
      <c r="CC56" s="73">
        <f>(CC54-CB54)*10000</f>
        <v>-203.69079161437264</v>
      </c>
      <c r="CD56" s="73">
        <f>(CD54-CC54)*10000</f>
        <v>-73.876308201082935</v>
      </c>
      <c r="CE56" s="73">
        <f>(CE54-CD54)*10000</f>
        <v>-930.62013649900962</v>
      </c>
      <c r="CF56" s="420"/>
      <c r="CI56"/>
      <c r="CJ56"/>
      <c r="CK56"/>
      <c r="CL56"/>
      <c r="CM56"/>
      <c r="CN56"/>
      <c r="CO56"/>
      <c r="CP56"/>
      <c r="CQ56"/>
      <c r="CR56"/>
      <c r="CS56"/>
    </row>
    <row r="57" spans="1:97" ht="12.75" customHeight="1" x14ac:dyDescent="0.35">
      <c r="A57" s="41"/>
      <c r="B57" s="42"/>
      <c r="C57" s="42"/>
      <c r="D57" s="43"/>
      <c r="E57" s="43"/>
      <c r="F57" s="43"/>
      <c r="G57" s="43"/>
      <c r="H57" s="43"/>
      <c r="I57" s="44"/>
      <c r="J57" s="395"/>
      <c r="K57" s="395"/>
      <c r="L57" s="395"/>
      <c r="M57" s="395"/>
      <c r="N57" s="44"/>
      <c r="O57" s="395"/>
      <c r="P57" s="395"/>
      <c r="Q57" s="395"/>
      <c r="R57" s="395"/>
      <c r="S57" s="44"/>
      <c r="T57" s="395"/>
      <c r="U57" s="395"/>
      <c r="V57" s="395"/>
      <c r="W57" s="395"/>
      <c r="X57" s="44"/>
      <c r="Y57" s="395"/>
      <c r="Z57" s="395"/>
      <c r="AA57" s="395"/>
      <c r="AB57" s="395"/>
      <c r="AC57" s="420"/>
      <c r="AD57" s="395"/>
      <c r="AE57" s="395"/>
      <c r="AF57" s="395"/>
      <c r="AG57" s="395"/>
      <c r="AH57" s="420"/>
      <c r="AI57" s="395"/>
      <c r="AJ57" s="395"/>
      <c r="AK57" s="395"/>
      <c r="AL57" s="395"/>
      <c r="AM57" s="420"/>
      <c r="AN57" s="395"/>
      <c r="AO57" s="395"/>
      <c r="AP57" s="395"/>
      <c r="AQ57" s="395"/>
      <c r="AR57" s="420"/>
      <c r="AS57" s="395"/>
      <c r="AT57" s="395"/>
      <c r="AU57" s="395"/>
      <c r="AV57" s="395"/>
      <c r="AW57" s="420"/>
      <c r="AX57" s="395"/>
      <c r="AY57" s="395"/>
      <c r="AZ57" s="395"/>
      <c r="BA57" s="395"/>
      <c r="BB57" s="420"/>
      <c r="BC57" s="395"/>
      <c r="BD57" s="395"/>
      <c r="BE57" s="395"/>
      <c r="BF57" s="395"/>
      <c r="BG57" s="420"/>
      <c r="BH57" s="395"/>
      <c r="BI57" s="395"/>
      <c r="BJ57" s="395"/>
      <c r="BK57" s="395"/>
      <c r="BL57" s="420"/>
      <c r="BM57" s="395"/>
      <c r="BN57" s="395"/>
      <c r="BO57" s="395"/>
      <c r="BP57" s="395"/>
      <c r="BQ57" s="420"/>
      <c r="BR57" s="395"/>
      <c r="BS57" s="395"/>
      <c r="BT57" s="395"/>
      <c r="BU57" s="395"/>
      <c r="BV57" s="420"/>
      <c r="BW57" s="395"/>
      <c r="BX57" s="395"/>
      <c r="BY57" s="395"/>
      <c r="BZ57" s="395"/>
      <c r="CA57" s="420"/>
      <c r="CB57" s="395"/>
      <c r="CC57" s="395"/>
      <c r="CD57" s="395"/>
      <c r="CE57" s="395"/>
      <c r="CF57" s="420"/>
      <c r="CI57"/>
      <c r="CJ57"/>
      <c r="CK57"/>
      <c r="CL57"/>
      <c r="CM57"/>
      <c r="CN57"/>
      <c r="CO57"/>
      <c r="CP57"/>
      <c r="CQ57"/>
      <c r="CR57"/>
      <c r="CS57"/>
    </row>
    <row r="58" spans="1:97" ht="12.75" customHeight="1" x14ac:dyDescent="0.35">
      <c r="A58" s="41"/>
      <c r="B58" s="218" t="s">
        <v>263</v>
      </c>
      <c r="C58" s="42"/>
      <c r="D58" s="43"/>
      <c r="E58" s="43"/>
      <c r="F58" s="43"/>
      <c r="G58" s="43"/>
      <c r="H58" s="43"/>
      <c r="I58" s="44"/>
      <c r="J58" s="395"/>
      <c r="K58" s="395"/>
      <c r="L58" s="395"/>
      <c r="M58" s="395"/>
      <c r="N58" s="44"/>
      <c r="O58" s="395"/>
      <c r="P58" s="395"/>
      <c r="Q58" s="395"/>
      <c r="R58" s="395"/>
      <c r="S58" s="44"/>
      <c r="T58" s="395"/>
      <c r="U58" s="395"/>
      <c r="V58" s="395"/>
      <c r="W58" s="395"/>
      <c r="X58" s="44"/>
      <c r="Y58" s="395"/>
      <c r="Z58" s="395"/>
      <c r="AA58" s="395"/>
      <c r="AB58" s="395"/>
      <c r="AC58" s="420"/>
      <c r="AD58" s="395"/>
      <c r="AE58" s="395"/>
      <c r="AF58" s="395"/>
      <c r="AG58" s="395"/>
      <c r="AH58" s="420"/>
      <c r="AI58" s="395"/>
      <c r="AJ58" s="395"/>
      <c r="AK58" s="395"/>
      <c r="AL58" s="395"/>
      <c r="AM58" s="420"/>
      <c r="AN58" s="395"/>
      <c r="AO58" s="395"/>
      <c r="AP58" s="395"/>
      <c r="AQ58" s="395"/>
      <c r="AR58" s="420"/>
      <c r="AS58" s="395"/>
      <c r="AT58" s="395"/>
      <c r="AU58" s="395"/>
      <c r="AV58" s="395"/>
      <c r="AW58" s="420"/>
      <c r="AX58" s="395"/>
      <c r="AY58" s="395"/>
      <c r="AZ58" s="395"/>
      <c r="BA58" s="395"/>
      <c r="BB58" s="420"/>
      <c r="BC58" s="531"/>
      <c r="BD58" s="562"/>
      <c r="BE58" s="395"/>
      <c r="BF58" s="562"/>
      <c r="BG58" s="582"/>
      <c r="BH58" s="608"/>
      <c r="BI58" s="395"/>
      <c r="BJ58" s="395"/>
      <c r="BK58" s="395"/>
      <c r="BL58" s="420"/>
      <c r="BM58" s="395"/>
      <c r="BN58" s="395"/>
      <c r="BO58" s="395"/>
      <c r="BP58" s="395"/>
      <c r="BQ58" s="420"/>
      <c r="BR58" s="395"/>
      <c r="BS58" s="562"/>
      <c r="BT58" s="395"/>
      <c r="BU58" s="395"/>
      <c r="BV58" s="420"/>
      <c r="BW58" s="395"/>
      <c r="BX58" s="395"/>
      <c r="BY58" s="395"/>
      <c r="BZ58" s="395"/>
      <c r="CA58" s="420"/>
      <c r="CB58" s="395"/>
      <c r="CC58" s="395"/>
      <c r="CD58" s="395"/>
      <c r="CE58" s="395"/>
      <c r="CF58" s="420"/>
      <c r="CI58"/>
      <c r="CJ58"/>
      <c r="CK58"/>
      <c r="CL58"/>
      <c r="CM58"/>
      <c r="CN58"/>
      <c r="CO58"/>
      <c r="CP58"/>
      <c r="CQ58"/>
      <c r="CR58"/>
      <c r="CS58"/>
    </row>
    <row r="59" spans="1:97" s="128" customFormat="1" ht="12.75" customHeight="1" x14ac:dyDescent="0.35">
      <c r="A59" s="41"/>
      <c r="B59" s="41" t="s">
        <v>138</v>
      </c>
      <c r="C59" s="53"/>
      <c r="D59" s="54"/>
      <c r="E59" s="54"/>
      <c r="F59" s="54"/>
      <c r="G59" s="54"/>
      <c r="H59" s="54"/>
      <c r="I59" s="421"/>
      <c r="J59" s="422"/>
      <c r="K59" s="422"/>
      <c r="L59" s="249">
        <v>19.600000000000001</v>
      </c>
      <c r="M59" s="249">
        <v>21.1</v>
      </c>
      <c r="N59" s="280">
        <v>78.599999999999994</v>
      </c>
      <c r="O59" s="249">
        <v>21.5</v>
      </c>
      <c r="P59" s="249">
        <v>21.9</v>
      </c>
      <c r="Q59" s="249">
        <v>22.2</v>
      </c>
      <c r="R59" s="249">
        <v>21.9</v>
      </c>
      <c r="S59" s="250">
        <f>SUM(O59:R59)</f>
        <v>87.5</v>
      </c>
      <c r="T59" s="249">
        <v>22.3</v>
      </c>
      <c r="U59" s="249">
        <v>23.7</v>
      </c>
      <c r="V59" s="249">
        <v>23.5</v>
      </c>
      <c r="W59" s="249">
        <v>24</v>
      </c>
      <c r="X59" s="250">
        <f>SUM(T59:W59)</f>
        <v>93.5</v>
      </c>
      <c r="Y59" s="249">
        <v>24</v>
      </c>
      <c r="Z59" s="249">
        <v>24.6</v>
      </c>
      <c r="AA59" s="249">
        <v>23.5</v>
      </c>
      <c r="AB59" s="249">
        <v>26.3</v>
      </c>
      <c r="AC59" s="250">
        <f>SUM(Y59:AB59)</f>
        <v>98.399999999999991</v>
      </c>
      <c r="AD59" s="249">
        <v>26</v>
      </c>
      <c r="AE59" s="249">
        <v>27</v>
      </c>
      <c r="AF59" s="249">
        <v>29</v>
      </c>
      <c r="AG59" s="249">
        <v>29.7</v>
      </c>
      <c r="AH59" s="251">
        <f>SUM(AD59:AG59)</f>
        <v>111.7</v>
      </c>
      <c r="AI59" s="249">
        <v>29.8</v>
      </c>
      <c r="AJ59" s="249">
        <v>30.6</v>
      </c>
      <c r="AK59" s="249">
        <v>31.6</v>
      </c>
      <c r="AL59" s="249">
        <v>32</v>
      </c>
      <c r="AM59" s="251">
        <f>SUM(AI59:AL59)</f>
        <v>124</v>
      </c>
      <c r="AN59" s="249">
        <v>32.299999999999997</v>
      </c>
      <c r="AO59" s="249">
        <v>33</v>
      </c>
      <c r="AP59" s="249">
        <v>34.299999999999997</v>
      </c>
      <c r="AQ59" s="249">
        <v>35</v>
      </c>
      <c r="AR59" s="251">
        <f>SUM(AN59:AQ59)</f>
        <v>134.6</v>
      </c>
      <c r="AS59" s="249">
        <v>37</v>
      </c>
      <c r="AT59" s="249">
        <v>35</v>
      </c>
      <c r="AU59" s="249">
        <v>37</v>
      </c>
      <c r="AV59" s="249">
        <v>38</v>
      </c>
      <c r="AW59" s="251">
        <f>SUM(AS59:AV59)</f>
        <v>147</v>
      </c>
      <c r="AX59" s="249">
        <v>40</v>
      </c>
      <c r="AY59" s="249">
        <v>42</v>
      </c>
      <c r="AZ59" s="249">
        <v>42</v>
      </c>
      <c r="BA59" s="249">
        <v>41</v>
      </c>
      <c r="BB59" s="251">
        <f>SUM(AX59:BA59)</f>
        <v>165</v>
      </c>
      <c r="BC59" s="537">
        <v>43</v>
      </c>
      <c r="BD59" s="537">
        <v>43</v>
      </c>
      <c r="BE59" s="537">
        <v>43</v>
      </c>
      <c r="BF59" s="537">
        <v>45</v>
      </c>
      <c r="BG59" s="251">
        <f>SUM(BC59:BF59)</f>
        <v>174</v>
      </c>
      <c r="BH59" s="537">
        <v>45</v>
      </c>
      <c r="BI59" s="537">
        <v>46</v>
      </c>
      <c r="BJ59" s="537">
        <v>47</v>
      </c>
      <c r="BK59" s="537">
        <v>48</v>
      </c>
      <c r="BL59" s="251">
        <f>SUM(BH59:BK59)</f>
        <v>186</v>
      </c>
      <c r="BM59" s="537">
        <v>47</v>
      </c>
      <c r="BN59" s="537">
        <v>49</v>
      </c>
      <c r="BO59" s="537">
        <v>48</v>
      </c>
      <c r="BP59" s="537">
        <v>49</v>
      </c>
      <c r="BQ59" s="251">
        <f>SUM(BM59:BP59)</f>
        <v>193</v>
      </c>
      <c r="BR59" s="537">
        <v>49</v>
      </c>
      <c r="BS59" s="537">
        <v>50</v>
      </c>
      <c r="BT59" s="537">
        <f>BO59+1</f>
        <v>49</v>
      </c>
      <c r="BU59" s="537">
        <f>BP59+1</f>
        <v>50</v>
      </c>
      <c r="BV59" s="251">
        <f>SUM(BR59:BU59)</f>
        <v>198</v>
      </c>
      <c r="BW59" s="537">
        <f>BR59+1</f>
        <v>50</v>
      </c>
      <c r="BX59" s="537">
        <f>BS59+1</f>
        <v>51</v>
      </c>
      <c r="BY59" s="537">
        <f>BT59+1</f>
        <v>50</v>
      </c>
      <c r="BZ59" s="537">
        <f>BU59+1</f>
        <v>51</v>
      </c>
      <c r="CA59" s="251">
        <f>SUM(BW59:BZ59)</f>
        <v>202</v>
      </c>
      <c r="CB59" s="537">
        <f>BW59+1</f>
        <v>51</v>
      </c>
      <c r="CC59" s="537">
        <f>BX59+1</f>
        <v>52</v>
      </c>
      <c r="CD59" s="537">
        <f>BY59+1</f>
        <v>51</v>
      </c>
      <c r="CE59" s="537">
        <f>BZ59+1</f>
        <v>52</v>
      </c>
      <c r="CF59" s="251">
        <f>SUM(CB59:CE59)</f>
        <v>206</v>
      </c>
    </row>
    <row r="60" spans="1:97" s="129" customFormat="1" ht="12.75" customHeight="1" x14ac:dyDescent="0.35">
      <c r="A60" s="58"/>
      <c r="B60" s="58" t="s">
        <v>167</v>
      </c>
      <c r="C60" s="53"/>
      <c r="D60" s="54"/>
      <c r="E60" s="54"/>
      <c r="F60" s="54"/>
      <c r="G60" s="54"/>
      <c r="H60" s="54"/>
      <c r="I60" s="423"/>
      <c r="J60" s="424"/>
      <c r="K60" s="424"/>
      <c r="L60" s="334">
        <f t="shared" ref="L60:R60" si="82">L59+L31</f>
        <v>497.70000000000005</v>
      </c>
      <c r="M60" s="334">
        <f t="shared" si="82"/>
        <v>547.1</v>
      </c>
      <c r="N60" s="330">
        <f t="shared" si="82"/>
        <v>2141.25</v>
      </c>
      <c r="O60" s="334">
        <f t="shared" si="82"/>
        <v>550.6</v>
      </c>
      <c r="P60" s="334">
        <f t="shared" si="82"/>
        <v>646.9</v>
      </c>
      <c r="Q60" s="334">
        <f t="shared" si="82"/>
        <v>568.80000000000007</v>
      </c>
      <c r="R60" s="334">
        <f t="shared" si="82"/>
        <v>586.99999999999989</v>
      </c>
      <c r="S60" s="330">
        <f>SUM(O60:R60)</f>
        <v>2353.3000000000002</v>
      </c>
      <c r="T60" s="334">
        <f>T59+T31</f>
        <v>624.59999999999991</v>
      </c>
      <c r="U60" s="334">
        <f>U59+U31</f>
        <v>662.90000000000009</v>
      </c>
      <c r="V60" s="334">
        <f>V59+V31</f>
        <v>571.6</v>
      </c>
      <c r="W60" s="334">
        <f>W59+W31</f>
        <v>568.6</v>
      </c>
      <c r="X60" s="330">
        <f>SUM(T60:W60)</f>
        <v>2427.6999999999998</v>
      </c>
      <c r="Y60" s="334">
        <f>Y59+Y31</f>
        <v>549.1</v>
      </c>
      <c r="Z60" s="334">
        <f>Z59+Z31</f>
        <v>650.20000000000005</v>
      </c>
      <c r="AA60" s="334">
        <f>AA59+AA31</f>
        <v>635.79999999999995</v>
      </c>
      <c r="AB60" s="334">
        <f>AB59+AB31</f>
        <v>634.09999999999991</v>
      </c>
      <c r="AC60" s="330">
        <f>SUM(Y60:AB60)</f>
        <v>2469.1999999999998</v>
      </c>
      <c r="AD60" s="334">
        <f>AD59+AD31</f>
        <v>694.2</v>
      </c>
      <c r="AE60" s="334">
        <f>AE59+AE31</f>
        <v>713.7</v>
      </c>
      <c r="AF60" s="334">
        <f>AF59+AF31</f>
        <v>723.2</v>
      </c>
      <c r="AG60" s="334">
        <f>AG59+AG31</f>
        <v>754.40000000000009</v>
      </c>
      <c r="AH60" s="330">
        <f>SUM(AD60:AG60)</f>
        <v>2885.5000000000005</v>
      </c>
      <c r="AI60" s="334">
        <f>AI59+AI31</f>
        <v>749.69999999999993</v>
      </c>
      <c r="AJ60" s="334">
        <f>AJ59+AJ31</f>
        <v>782.9</v>
      </c>
      <c r="AK60" s="334">
        <f>AK59+AK31</f>
        <v>676.4</v>
      </c>
      <c r="AL60" s="334">
        <f>AL59+AL31</f>
        <v>627.4</v>
      </c>
      <c r="AM60" s="330">
        <f>SUM(AI60:AL60)</f>
        <v>2836.4</v>
      </c>
      <c r="AN60" s="334">
        <f>AN59+AN31</f>
        <v>702.39999999999986</v>
      </c>
      <c r="AO60" s="334">
        <f>AO59+AO31</f>
        <v>771.40000000000009</v>
      </c>
      <c r="AP60" s="334">
        <f>AP59+AP31</f>
        <v>780.89999999999986</v>
      </c>
      <c r="AQ60" s="334">
        <f>AQ59+AQ31</f>
        <v>755</v>
      </c>
      <c r="AR60" s="330">
        <f>SUM(AN60:AQ60)</f>
        <v>3009.7</v>
      </c>
      <c r="AS60" s="334">
        <f>AS59+AS31</f>
        <v>831</v>
      </c>
      <c r="AT60" s="334">
        <f>AT59+AT31</f>
        <v>973</v>
      </c>
      <c r="AU60" s="334">
        <f>AU59+AU31</f>
        <v>862</v>
      </c>
      <c r="AV60" s="334">
        <f>AV59+AV31</f>
        <v>773</v>
      </c>
      <c r="AW60" s="330">
        <f>SUM(AS60:AV60)</f>
        <v>3439</v>
      </c>
      <c r="AX60" s="334">
        <f>AX59+AX31</f>
        <v>1076</v>
      </c>
      <c r="AY60" s="334">
        <f>AY59+AY31</f>
        <v>1022</v>
      </c>
      <c r="AZ60" s="334">
        <f>AZ59+AZ31</f>
        <v>967</v>
      </c>
      <c r="BA60" s="334">
        <f>BA59+BA31</f>
        <v>912</v>
      </c>
      <c r="BB60" s="330">
        <f>SUM(AX60:BA60)</f>
        <v>3977</v>
      </c>
      <c r="BC60" s="331">
        <f>BC59+BC31</f>
        <v>870</v>
      </c>
      <c r="BD60" s="331">
        <f>BD59+BD31</f>
        <v>749</v>
      </c>
      <c r="BE60" s="331">
        <f>BE59+BE31</f>
        <v>633</v>
      </c>
      <c r="BF60" s="331">
        <f>BF59+BF31</f>
        <v>621</v>
      </c>
      <c r="BG60" s="330">
        <f>SUM(BC60:BF60)</f>
        <v>2873</v>
      </c>
      <c r="BH60" s="331">
        <f>BH59+BH31</f>
        <v>778</v>
      </c>
      <c r="BI60" s="331">
        <f>BI59+BI31</f>
        <v>793</v>
      </c>
      <c r="BJ60" s="331">
        <f>BJ59+BJ31</f>
        <v>743</v>
      </c>
      <c r="BK60" s="331">
        <f>BK59+BK31</f>
        <v>732</v>
      </c>
      <c r="BL60" s="330">
        <f>SUM(BH60:BK60)</f>
        <v>3046</v>
      </c>
      <c r="BM60" s="331">
        <f>BM59+BM31</f>
        <v>1034</v>
      </c>
      <c r="BN60" s="331">
        <f>BN59+BN31</f>
        <v>1064</v>
      </c>
      <c r="BO60" s="331">
        <f>BO59+BO31</f>
        <v>1030</v>
      </c>
      <c r="BP60" s="331">
        <f>BP59+BP31</f>
        <v>858</v>
      </c>
      <c r="BQ60" s="330">
        <f>SUM(BM60:BP60)</f>
        <v>3986</v>
      </c>
      <c r="BR60" s="331">
        <f>BR59+BR31</f>
        <v>1114</v>
      </c>
      <c r="BS60" s="331">
        <f>BS59+BS31</f>
        <v>1060</v>
      </c>
      <c r="BT60" s="331">
        <f>BT59+BT31</f>
        <v>1144.43</v>
      </c>
      <c r="BU60" s="331">
        <f>BU59+BU31</f>
        <v>948.77500000000009</v>
      </c>
      <c r="BV60" s="330">
        <f>SUM(BR60:BU60)</f>
        <v>4267.2049999999999</v>
      </c>
      <c r="BW60" s="331">
        <f>BW59+BW31</f>
        <v>1209.845</v>
      </c>
      <c r="BX60" s="331">
        <f>BX59+BX31</f>
        <v>1149.855</v>
      </c>
      <c r="BY60" s="331">
        <f>BY59+BY31</f>
        <v>1224.4912750000001</v>
      </c>
      <c r="BZ60" s="331">
        <f>BZ59+BZ31</f>
        <v>1012.9695</v>
      </c>
      <c r="CA60" s="330">
        <f>SUM(BW60:BZ60)</f>
        <v>4597.1607750000003</v>
      </c>
      <c r="CB60" s="331">
        <f>CB59+CB31</f>
        <v>1290.7404750000001</v>
      </c>
      <c r="CC60" s="331">
        <f>CC59+CC31</f>
        <v>1225.878025</v>
      </c>
      <c r="CD60" s="331">
        <f>CD59+CD31</f>
        <v>1306.3424031249999</v>
      </c>
      <c r="CE60" s="331">
        <f>CE59+CE31</f>
        <v>1078.7680825</v>
      </c>
      <c r="CF60" s="330">
        <f>SUM(CB60:CE60)</f>
        <v>4901.728985625</v>
      </c>
    </row>
    <row r="61" spans="1:97" ht="12.75" customHeight="1" x14ac:dyDescent="0.35">
      <c r="A61" s="41"/>
      <c r="B61" s="42" t="s">
        <v>56</v>
      </c>
      <c r="C61" s="42"/>
      <c r="D61" s="43"/>
      <c r="E61" s="43"/>
      <c r="F61" s="43"/>
      <c r="G61" s="43"/>
      <c r="H61" s="43"/>
      <c r="I61" s="159"/>
      <c r="J61" s="147"/>
      <c r="K61" s="147"/>
      <c r="L61" s="153" t="str">
        <f t="shared" ref="L61:AQ61" si="83">IFERROR( L60/G60-1, "NA")</f>
        <v>NA</v>
      </c>
      <c r="M61" s="153" t="str">
        <f t="shared" si="83"/>
        <v>NA</v>
      </c>
      <c r="N61" s="184" t="str">
        <f t="shared" si="83"/>
        <v>NA</v>
      </c>
      <c r="O61" s="153" t="str">
        <f t="shared" si="83"/>
        <v>NA</v>
      </c>
      <c r="P61" s="153" t="str">
        <f t="shared" si="83"/>
        <v>NA</v>
      </c>
      <c r="Q61" s="153">
        <f t="shared" si="83"/>
        <v>0.14285714285714279</v>
      </c>
      <c r="R61" s="153">
        <f t="shared" si="83"/>
        <v>7.2929994516541585E-2</v>
      </c>
      <c r="S61" s="184">
        <f t="shared" si="83"/>
        <v>9.9030939871570522E-2</v>
      </c>
      <c r="T61" s="153">
        <f t="shared" si="83"/>
        <v>0.13439883763167426</v>
      </c>
      <c r="U61" s="153">
        <f t="shared" si="83"/>
        <v>2.4733343638893457E-2</v>
      </c>
      <c r="V61" s="153">
        <f t="shared" si="83"/>
        <v>4.9226441631504692E-3</v>
      </c>
      <c r="W61" s="153">
        <f t="shared" si="83"/>
        <v>-3.1345826235093521E-2</v>
      </c>
      <c r="X61" s="184">
        <f t="shared" si="83"/>
        <v>3.1615178685250322E-2</v>
      </c>
      <c r="Y61" s="153">
        <f t="shared" si="83"/>
        <v>-0.12087736151136708</v>
      </c>
      <c r="Z61" s="153">
        <f t="shared" si="83"/>
        <v>-1.9158244079046649E-2</v>
      </c>
      <c r="AA61" s="153">
        <f t="shared" si="83"/>
        <v>0.11231630510846724</v>
      </c>
      <c r="AB61" s="153">
        <f t="shared" si="83"/>
        <v>0.11519521632078766</v>
      </c>
      <c r="AC61" s="184">
        <f t="shared" si="83"/>
        <v>1.7094369155991274E-2</v>
      </c>
      <c r="AD61" s="153">
        <f t="shared" si="83"/>
        <v>0.2642505918776179</v>
      </c>
      <c r="AE61" s="153">
        <f t="shared" si="83"/>
        <v>9.7662257766840899E-2</v>
      </c>
      <c r="AF61" s="153">
        <f t="shared" si="83"/>
        <v>0.13746461151305467</v>
      </c>
      <c r="AG61" s="153">
        <f t="shared" si="83"/>
        <v>0.18971771014035665</v>
      </c>
      <c r="AH61" s="184">
        <f t="shared" si="83"/>
        <v>0.168597116474972</v>
      </c>
      <c r="AI61" s="153">
        <f>IFERROR( AI60/AD60-1, "NA")</f>
        <v>7.9948141745894485E-2</v>
      </c>
      <c r="AJ61" s="153">
        <f>IFERROR( AJ60/AE60-1, "NA")</f>
        <v>9.6959506795572192E-2</v>
      </c>
      <c r="AK61" s="153">
        <f>IFERROR( AK60/AF60-1, "NA")</f>
        <v>-6.4712389380531032E-2</v>
      </c>
      <c r="AL61" s="153">
        <f>IFERROR( AL60/AG60-1, "NA")</f>
        <v>-0.16834570519618253</v>
      </c>
      <c r="AM61" s="184">
        <f>IFERROR( AM60/AH60-1, "NA")</f>
        <v>-1.7016115058049008E-2</v>
      </c>
      <c r="AN61" s="153">
        <f t="shared" si="83"/>
        <v>-6.3091903428037943E-2</v>
      </c>
      <c r="AO61" s="153">
        <f t="shared" si="83"/>
        <v>-1.4688976880827598E-2</v>
      </c>
      <c r="AP61" s="153">
        <f t="shared" si="83"/>
        <v>0.15449438202247179</v>
      </c>
      <c r="AQ61" s="153">
        <f t="shared" si="83"/>
        <v>0.2033790245457443</v>
      </c>
      <c r="AR61" s="184">
        <f t="shared" ref="AR61:BV61" si="84">IFERROR( AR60/AM60-1, "NA")</f>
        <v>6.1098575659286336E-2</v>
      </c>
      <c r="AS61" s="153">
        <f t="shared" si="84"/>
        <v>0.18308656036446491</v>
      </c>
      <c r="AT61" s="153">
        <f t="shared" si="84"/>
        <v>0.26134301270417404</v>
      </c>
      <c r="AU61" s="153">
        <f t="shared" si="84"/>
        <v>0.1038545268280191</v>
      </c>
      <c r="AV61" s="153">
        <f t="shared" si="84"/>
        <v>2.384105960264904E-2</v>
      </c>
      <c r="AW61" s="184">
        <f t="shared" si="84"/>
        <v>0.14263880120942285</v>
      </c>
      <c r="AX61" s="153">
        <f t="shared" si="84"/>
        <v>0.29482551143200952</v>
      </c>
      <c r="AY61" s="153">
        <f t="shared" si="84"/>
        <v>5.0359712230215736E-2</v>
      </c>
      <c r="AZ61" s="153">
        <f t="shared" si="84"/>
        <v>0.12180974477958229</v>
      </c>
      <c r="BA61" s="153">
        <f t="shared" si="84"/>
        <v>0.17981888745148766</v>
      </c>
      <c r="BB61" s="184">
        <f t="shared" si="84"/>
        <v>0.15644082582145979</v>
      </c>
      <c r="BC61" s="153">
        <f t="shared" si="84"/>
        <v>-0.19144981412639406</v>
      </c>
      <c r="BD61" s="153">
        <f t="shared" si="84"/>
        <v>-0.26712328767123283</v>
      </c>
      <c r="BE61" s="153">
        <f t="shared" si="84"/>
        <v>-0.34539813857290591</v>
      </c>
      <c r="BF61" s="153">
        <f t="shared" si="84"/>
        <v>-0.31907894736842102</v>
      </c>
      <c r="BG61" s="184">
        <f t="shared" si="84"/>
        <v>-0.2775961780236359</v>
      </c>
      <c r="BH61" s="153">
        <f t="shared" si="84"/>
        <v>-0.10574712643678164</v>
      </c>
      <c r="BI61" s="153">
        <f t="shared" si="84"/>
        <v>5.8744993324432615E-2</v>
      </c>
      <c r="BJ61" s="153">
        <f t="shared" si="84"/>
        <v>0.17377567140600325</v>
      </c>
      <c r="BK61" s="153">
        <f t="shared" si="84"/>
        <v>0.17874396135265691</v>
      </c>
      <c r="BL61" s="184">
        <f t="shared" si="84"/>
        <v>6.021580229725032E-2</v>
      </c>
      <c r="BM61" s="153">
        <f>IFERROR( BM60/BH60-1, "NA")</f>
        <v>0.32904884318766059</v>
      </c>
      <c r="BN61" s="153">
        <f t="shared" si="84"/>
        <v>0.34174022698612871</v>
      </c>
      <c r="BO61" s="153">
        <f t="shared" si="84"/>
        <v>0.38627187079407799</v>
      </c>
      <c r="BP61" s="153">
        <f t="shared" si="84"/>
        <v>0.17213114754098369</v>
      </c>
      <c r="BQ61" s="184">
        <f t="shared" si="84"/>
        <v>0.3086014445173999</v>
      </c>
      <c r="BR61" s="153">
        <f t="shared" si="84"/>
        <v>7.7369439071566681E-2</v>
      </c>
      <c r="BS61" s="153">
        <f t="shared" si="84"/>
        <v>-3.7593984962406291E-3</v>
      </c>
      <c r="BT61" s="153">
        <f t="shared" si="84"/>
        <v>0.11109708737864077</v>
      </c>
      <c r="BU61" s="153">
        <f t="shared" si="84"/>
        <v>0.10579836829836831</v>
      </c>
      <c r="BV61" s="184">
        <f t="shared" si="84"/>
        <v>7.0548168590065297E-2</v>
      </c>
      <c r="BW61" s="153">
        <f t="shared" ref="BW61:CF61" si="85">IFERROR( BW60/BR60-1, "NA")</f>
        <v>8.6036804308797121E-2</v>
      </c>
      <c r="BX61" s="153">
        <f t="shared" si="85"/>
        <v>8.4768867924528424E-2</v>
      </c>
      <c r="BY61" s="153">
        <f t="shared" si="85"/>
        <v>6.99573368401738E-2</v>
      </c>
      <c r="BZ61" s="153">
        <f t="shared" si="85"/>
        <v>6.7660404205422742E-2</v>
      </c>
      <c r="CA61" s="184">
        <f t="shared" si="85"/>
        <v>7.7323628698410474E-2</v>
      </c>
      <c r="CB61" s="153">
        <f t="shared" si="85"/>
        <v>6.6864329728188343E-2</v>
      </c>
      <c r="CC61" s="153">
        <f t="shared" si="85"/>
        <v>6.6115314539659353E-2</v>
      </c>
      <c r="CD61" s="153">
        <f t="shared" si="85"/>
        <v>6.6845007225551534E-2</v>
      </c>
      <c r="CE61" s="153">
        <f t="shared" si="85"/>
        <v>6.4956133921110215E-2</v>
      </c>
      <c r="CF61" s="184">
        <f t="shared" si="85"/>
        <v>6.6251372429975364E-2</v>
      </c>
      <c r="CI61"/>
      <c r="CJ61"/>
      <c r="CK61"/>
      <c r="CL61"/>
      <c r="CM61"/>
      <c r="CN61"/>
      <c r="CO61"/>
      <c r="CP61"/>
      <c r="CQ61"/>
      <c r="CR61"/>
      <c r="CS61"/>
    </row>
    <row r="62" spans="1:97" s="128" customFormat="1" ht="12.75" customHeight="1" x14ac:dyDescent="0.35">
      <c r="A62" s="41"/>
      <c r="B62" s="41" t="s">
        <v>431</v>
      </c>
      <c r="C62" s="53"/>
      <c r="D62" s="54"/>
      <c r="E62" s="54"/>
      <c r="F62" s="54"/>
      <c r="G62" s="54"/>
      <c r="H62" s="54"/>
      <c r="I62" s="421"/>
      <c r="J62" s="422"/>
      <c r="K62" s="422"/>
      <c r="L62" s="252">
        <f>L60-L63</f>
        <v>235.60000000000002</v>
      </c>
      <c r="M62" s="252">
        <f t="shared" ref="M62:BL62" si="86">M60-M63</f>
        <v>269.7</v>
      </c>
      <c r="N62" s="251">
        <f t="shared" si="86"/>
        <v>1034</v>
      </c>
      <c r="O62" s="252">
        <f t="shared" si="86"/>
        <v>248.60000000000002</v>
      </c>
      <c r="P62" s="252">
        <f t="shared" si="86"/>
        <v>271.7</v>
      </c>
      <c r="Q62" s="252">
        <f t="shared" si="86"/>
        <v>263.40000000000003</v>
      </c>
      <c r="R62" s="252">
        <f t="shared" si="86"/>
        <v>292.60000000000002</v>
      </c>
      <c r="S62" s="251">
        <f t="shared" si="86"/>
        <v>1076.3000000000002</v>
      </c>
      <c r="T62" s="252">
        <f t="shared" si="86"/>
        <v>281.59999999999997</v>
      </c>
      <c r="U62" s="252">
        <f t="shared" si="86"/>
        <v>287.00000000000006</v>
      </c>
      <c r="V62" s="252">
        <f t="shared" si="86"/>
        <v>268.10000000000002</v>
      </c>
      <c r="W62" s="252">
        <f t="shared" si="86"/>
        <v>283.89999999999998</v>
      </c>
      <c r="X62" s="251">
        <f t="shared" si="86"/>
        <v>1120.5999999999999</v>
      </c>
      <c r="Y62" s="252">
        <f t="shared" si="86"/>
        <v>278.60000000000002</v>
      </c>
      <c r="Z62" s="252">
        <f t="shared" si="86"/>
        <v>281.3</v>
      </c>
      <c r="AA62" s="252">
        <f t="shared" si="86"/>
        <v>272.8</v>
      </c>
      <c r="AB62" s="252">
        <f t="shared" si="86"/>
        <v>285.49999999999994</v>
      </c>
      <c r="AC62" s="251">
        <f t="shared" si="86"/>
        <v>1118.1999999999998</v>
      </c>
      <c r="AD62" s="252">
        <f t="shared" si="86"/>
        <v>286.2</v>
      </c>
      <c r="AE62" s="252">
        <f t="shared" si="86"/>
        <v>289.7</v>
      </c>
      <c r="AF62" s="252">
        <f t="shared" si="86"/>
        <v>317.3</v>
      </c>
      <c r="AG62" s="252">
        <f t="shared" si="86"/>
        <v>346.10000000000008</v>
      </c>
      <c r="AH62" s="251">
        <f t="shared" si="86"/>
        <v>1239.3000000000004</v>
      </c>
      <c r="AI62" s="252">
        <f t="shared" si="86"/>
        <v>310.39999999999992</v>
      </c>
      <c r="AJ62" s="252">
        <f t="shared" si="86"/>
        <v>303.60000000000002</v>
      </c>
      <c r="AK62" s="252">
        <f t="shared" si="86"/>
        <v>287.7</v>
      </c>
      <c r="AL62" s="252">
        <f t="shared" si="86"/>
        <v>277.3</v>
      </c>
      <c r="AM62" s="251">
        <f t="shared" si="86"/>
        <v>1179.0000000000002</v>
      </c>
      <c r="AN62" s="252">
        <f t="shared" si="86"/>
        <v>316.79999999999995</v>
      </c>
      <c r="AO62" s="252">
        <f t="shared" si="86"/>
        <v>307</v>
      </c>
      <c r="AP62" s="252">
        <f t="shared" si="86"/>
        <v>312.59999999999991</v>
      </c>
      <c r="AQ62" s="252">
        <f t="shared" si="86"/>
        <v>328</v>
      </c>
      <c r="AR62" s="251">
        <f t="shared" si="86"/>
        <v>1264.3999999999999</v>
      </c>
      <c r="AS62" s="252">
        <f t="shared" si="86"/>
        <v>328</v>
      </c>
      <c r="AT62" s="252">
        <f t="shared" si="86"/>
        <v>350</v>
      </c>
      <c r="AU62" s="252">
        <f t="shared" si="86"/>
        <v>309</v>
      </c>
      <c r="AV62" s="252">
        <f t="shared" si="86"/>
        <v>400</v>
      </c>
      <c r="AW62" s="251">
        <f t="shared" si="86"/>
        <v>1387</v>
      </c>
      <c r="AX62" s="252">
        <f t="shared" si="86"/>
        <v>348</v>
      </c>
      <c r="AY62" s="252">
        <f t="shared" si="86"/>
        <v>344</v>
      </c>
      <c r="AZ62" s="252">
        <f t="shared" si="86"/>
        <v>387</v>
      </c>
      <c r="BA62" s="252">
        <f t="shared" si="86"/>
        <v>423</v>
      </c>
      <c r="BB62" s="251">
        <f t="shared" si="86"/>
        <v>1502</v>
      </c>
      <c r="BC62" s="253">
        <f t="shared" si="86"/>
        <v>360</v>
      </c>
      <c r="BD62" s="253">
        <f t="shared" si="86"/>
        <v>334</v>
      </c>
      <c r="BE62" s="253">
        <f>BE60-BE63</f>
        <v>344</v>
      </c>
      <c r="BF62" s="253">
        <f>BF60-BF63</f>
        <v>347</v>
      </c>
      <c r="BG62" s="251">
        <f t="shared" si="86"/>
        <v>1385</v>
      </c>
      <c r="BH62" s="253">
        <f>BH60-BH63</f>
        <v>336</v>
      </c>
      <c r="BI62" s="253">
        <f>BI60-BI63</f>
        <v>350</v>
      </c>
      <c r="BJ62" s="253">
        <f>BJ60-BJ63</f>
        <v>348</v>
      </c>
      <c r="BK62" s="253">
        <f>BK60-BK63</f>
        <v>352</v>
      </c>
      <c r="BL62" s="251">
        <f t="shared" si="86"/>
        <v>1386</v>
      </c>
      <c r="BM62" s="253">
        <f>BM60-BM63</f>
        <v>366</v>
      </c>
      <c r="BN62" s="253">
        <f>BN60-BN63</f>
        <v>392</v>
      </c>
      <c r="BO62" s="253">
        <f>BO60-BO63</f>
        <v>416</v>
      </c>
      <c r="BP62" s="253">
        <f>BP60-BP63</f>
        <v>418</v>
      </c>
      <c r="BQ62" s="251">
        <f t="shared" ref="BQ62:BV62" si="87">BQ60-BQ63</f>
        <v>1592</v>
      </c>
      <c r="BR62" s="253">
        <f t="shared" si="87"/>
        <v>379</v>
      </c>
      <c r="BS62" s="253">
        <f t="shared" si="87"/>
        <v>380</v>
      </c>
      <c r="BT62" s="253">
        <f t="shared" ref="BT62" si="88">BT60-BT63</f>
        <v>392.84886262729117</v>
      </c>
      <c r="BU62" s="253">
        <f t="shared" si="87"/>
        <v>405.96522450556245</v>
      </c>
      <c r="BV62" s="251">
        <f t="shared" si="87"/>
        <v>1557.8140871328533</v>
      </c>
      <c r="BW62" s="253">
        <f t="shared" ref="BW62:CF62" si="89">BW60-BW63</f>
        <v>395.35467711267609</v>
      </c>
      <c r="BX62" s="253">
        <f t="shared" si="89"/>
        <v>396.94776905940591</v>
      </c>
      <c r="BY62" s="253">
        <f t="shared" si="89"/>
        <v>430.0109170642819</v>
      </c>
      <c r="BZ62" s="253">
        <f t="shared" si="89"/>
        <v>441.72414682787382</v>
      </c>
      <c r="CA62" s="251">
        <f t="shared" si="89"/>
        <v>1664.0375100642377</v>
      </c>
      <c r="CB62" s="253">
        <f t="shared" si="89"/>
        <v>407.09177545862678</v>
      </c>
      <c r="CC62" s="253">
        <f t="shared" si="89"/>
        <v>409.37543302537131</v>
      </c>
      <c r="CD62" s="253">
        <f t="shared" si="89"/>
        <v>447.05913290107856</v>
      </c>
      <c r="CE62" s="253">
        <f t="shared" si="89"/>
        <v>461.21115008637969</v>
      </c>
      <c r="CF62" s="251">
        <f t="shared" si="89"/>
        <v>1724.7374914714565</v>
      </c>
    </row>
    <row r="63" spans="1:97" s="128" customFormat="1" ht="12.75" customHeight="1" x14ac:dyDescent="0.35">
      <c r="A63" s="41"/>
      <c r="B63" s="58" t="s">
        <v>261</v>
      </c>
      <c r="C63" s="53"/>
      <c r="D63" s="54"/>
      <c r="E63" s="54"/>
      <c r="F63" s="54"/>
      <c r="G63" s="54"/>
      <c r="H63" s="54"/>
      <c r="I63" s="423"/>
      <c r="J63" s="424"/>
      <c r="K63" s="424"/>
      <c r="L63" s="334">
        <f t="shared" ref="L63:AQ63" si="90">L52+L59</f>
        <v>262.10000000000002</v>
      </c>
      <c r="M63" s="334">
        <f t="shared" si="90"/>
        <v>277.40000000000003</v>
      </c>
      <c r="N63" s="330">
        <f t="shared" si="90"/>
        <v>1107.25</v>
      </c>
      <c r="O63" s="334">
        <f t="shared" si="90"/>
        <v>302</v>
      </c>
      <c r="P63" s="334">
        <f t="shared" si="90"/>
        <v>375.2</v>
      </c>
      <c r="Q63" s="334">
        <f t="shared" si="90"/>
        <v>305.40000000000003</v>
      </c>
      <c r="R63" s="334">
        <f t="shared" si="90"/>
        <v>294.39999999999986</v>
      </c>
      <c r="S63" s="330">
        <f t="shared" si="90"/>
        <v>1277</v>
      </c>
      <c r="T63" s="334">
        <f t="shared" si="90"/>
        <v>342.99999999999994</v>
      </c>
      <c r="U63" s="334">
        <f t="shared" si="90"/>
        <v>375.90000000000003</v>
      </c>
      <c r="V63" s="334">
        <f t="shared" si="90"/>
        <v>303.5</v>
      </c>
      <c r="W63" s="334">
        <f t="shared" si="90"/>
        <v>284.70000000000005</v>
      </c>
      <c r="X63" s="330">
        <f t="shared" si="90"/>
        <v>1307.0999999999999</v>
      </c>
      <c r="Y63" s="334">
        <f t="shared" si="90"/>
        <v>270.5</v>
      </c>
      <c r="Z63" s="334">
        <f t="shared" si="90"/>
        <v>368.90000000000003</v>
      </c>
      <c r="AA63" s="334">
        <f t="shared" si="90"/>
        <v>362.99999999999994</v>
      </c>
      <c r="AB63" s="334">
        <f t="shared" si="90"/>
        <v>348.59999999999997</v>
      </c>
      <c r="AC63" s="330">
        <f t="shared" si="90"/>
        <v>1351</v>
      </c>
      <c r="AD63" s="334">
        <f t="shared" si="90"/>
        <v>408.00000000000006</v>
      </c>
      <c r="AE63" s="334">
        <f t="shared" si="90"/>
        <v>424.00000000000006</v>
      </c>
      <c r="AF63" s="334">
        <f t="shared" si="90"/>
        <v>405.90000000000003</v>
      </c>
      <c r="AG63" s="334">
        <f t="shared" si="90"/>
        <v>408.3</v>
      </c>
      <c r="AH63" s="330">
        <f t="shared" si="90"/>
        <v>1646.2</v>
      </c>
      <c r="AI63" s="334">
        <f t="shared" si="90"/>
        <v>439.3</v>
      </c>
      <c r="AJ63" s="334">
        <f t="shared" si="90"/>
        <v>479.29999999999995</v>
      </c>
      <c r="AK63" s="334">
        <f t="shared" si="90"/>
        <v>388.7</v>
      </c>
      <c r="AL63" s="334">
        <f t="shared" si="90"/>
        <v>350.09999999999997</v>
      </c>
      <c r="AM63" s="330">
        <f t="shared" si="90"/>
        <v>1657.3999999999999</v>
      </c>
      <c r="AN63" s="334">
        <f t="shared" si="90"/>
        <v>385.59999999999991</v>
      </c>
      <c r="AO63" s="334">
        <f t="shared" si="90"/>
        <v>464.40000000000009</v>
      </c>
      <c r="AP63" s="334">
        <f t="shared" si="90"/>
        <v>468.29999999999995</v>
      </c>
      <c r="AQ63" s="334">
        <f t="shared" si="90"/>
        <v>427</v>
      </c>
      <c r="AR63" s="330">
        <f t="shared" ref="AR63:BV63" si="91">AR52+AR59</f>
        <v>1745.3</v>
      </c>
      <c r="AS63" s="334">
        <f t="shared" si="91"/>
        <v>503</v>
      </c>
      <c r="AT63" s="334">
        <f t="shared" si="91"/>
        <v>623</v>
      </c>
      <c r="AU63" s="334">
        <f t="shared" si="91"/>
        <v>553</v>
      </c>
      <c r="AV63" s="334">
        <f t="shared" si="91"/>
        <v>373</v>
      </c>
      <c r="AW63" s="330">
        <f t="shared" si="91"/>
        <v>2052</v>
      </c>
      <c r="AX63" s="334">
        <f t="shared" si="91"/>
        <v>728</v>
      </c>
      <c r="AY63" s="334">
        <f t="shared" si="91"/>
        <v>678</v>
      </c>
      <c r="AZ63" s="334">
        <f t="shared" si="91"/>
        <v>580</v>
      </c>
      <c r="BA63" s="334">
        <f t="shared" si="91"/>
        <v>489</v>
      </c>
      <c r="BB63" s="330">
        <f t="shared" si="91"/>
        <v>2475</v>
      </c>
      <c r="BC63" s="331">
        <f t="shared" si="91"/>
        <v>510</v>
      </c>
      <c r="BD63" s="331">
        <f t="shared" si="91"/>
        <v>415</v>
      </c>
      <c r="BE63" s="331">
        <f t="shared" si="91"/>
        <v>289</v>
      </c>
      <c r="BF63" s="331">
        <f t="shared" si="91"/>
        <v>274</v>
      </c>
      <c r="BG63" s="330">
        <f t="shared" si="91"/>
        <v>1488</v>
      </c>
      <c r="BH63" s="331">
        <f t="shared" si="91"/>
        <v>442</v>
      </c>
      <c r="BI63" s="331">
        <f t="shared" si="91"/>
        <v>443</v>
      </c>
      <c r="BJ63" s="331">
        <f t="shared" si="91"/>
        <v>395</v>
      </c>
      <c r="BK63" s="331">
        <f t="shared" si="91"/>
        <v>380</v>
      </c>
      <c r="BL63" s="330">
        <f t="shared" si="91"/>
        <v>1660</v>
      </c>
      <c r="BM63" s="331">
        <f>BM52+BM59</f>
        <v>668</v>
      </c>
      <c r="BN63" s="331">
        <f>BN52+BN59</f>
        <v>672</v>
      </c>
      <c r="BO63" s="331">
        <f>BO52+BO59</f>
        <v>614</v>
      </c>
      <c r="BP63" s="331">
        <f>BP52+BP59</f>
        <v>440</v>
      </c>
      <c r="BQ63" s="330">
        <f t="shared" si="91"/>
        <v>2394</v>
      </c>
      <c r="BR63" s="331">
        <f t="shared" si="91"/>
        <v>735</v>
      </c>
      <c r="BS63" s="331">
        <f t="shared" si="91"/>
        <v>680</v>
      </c>
      <c r="BT63" s="331">
        <f t="shared" ref="BT63" si="92">BT52+BT59</f>
        <v>751.58113737270889</v>
      </c>
      <c r="BU63" s="331">
        <f t="shared" si="91"/>
        <v>542.80977549443764</v>
      </c>
      <c r="BV63" s="330">
        <f t="shared" si="91"/>
        <v>2709.3909128671467</v>
      </c>
      <c r="BW63" s="331">
        <f t="shared" ref="BW63:CF63" si="93">BW52+BW59</f>
        <v>814.49032288732394</v>
      </c>
      <c r="BX63" s="331">
        <f t="shared" si="93"/>
        <v>752.9072309405941</v>
      </c>
      <c r="BY63" s="331">
        <f t="shared" si="93"/>
        <v>794.48035793571819</v>
      </c>
      <c r="BZ63" s="331">
        <f t="shared" si="93"/>
        <v>571.24535317212622</v>
      </c>
      <c r="CA63" s="330">
        <f t="shared" si="93"/>
        <v>2933.1232649357626</v>
      </c>
      <c r="CB63" s="331">
        <f t="shared" si="93"/>
        <v>883.64869954137328</v>
      </c>
      <c r="CC63" s="331">
        <f t="shared" si="93"/>
        <v>816.50259197462867</v>
      </c>
      <c r="CD63" s="331">
        <f t="shared" si="93"/>
        <v>859.28327022392136</v>
      </c>
      <c r="CE63" s="331">
        <f t="shared" si="93"/>
        <v>617.5569324136203</v>
      </c>
      <c r="CF63" s="330">
        <f t="shared" si="93"/>
        <v>3176.9914941535435</v>
      </c>
    </row>
    <row r="64" spans="1:97" s="128" customFormat="1" ht="12.75" customHeight="1" x14ac:dyDescent="0.35">
      <c r="A64" s="41"/>
      <c r="B64" s="58" t="s">
        <v>164</v>
      </c>
      <c r="C64" s="53"/>
      <c r="D64" s="54"/>
      <c r="E64" s="54"/>
      <c r="F64" s="54"/>
      <c r="G64" s="54"/>
      <c r="H64" s="54"/>
      <c r="I64" s="333"/>
      <c r="J64" s="425"/>
      <c r="K64" s="425"/>
      <c r="L64" s="427">
        <f>(L52+L59)/L60</f>
        <v>0.52662246333132412</v>
      </c>
      <c r="M64" s="427">
        <f>(M52+M59)/M60</f>
        <v>0.50703710473405228</v>
      </c>
      <c r="N64" s="279">
        <f>N63/N60</f>
        <v>0.51710449503794509</v>
      </c>
      <c r="O64" s="427">
        <f>O63/O60</f>
        <v>0.54849255357791493</v>
      </c>
      <c r="P64" s="427">
        <f>(P52+P59)/P60</f>
        <v>0.57999690833204509</v>
      </c>
      <c r="Q64" s="427">
        <f>(Q52+Q59)/Q60</f>
        <v>0.53691983122362874</v>
      </c>
      <c r="R64" s="427">
        <f>(R52+R59)/R60</f>
        <v>0.50153321976149901</v>
      </c>
      <c r="S64" s="279">
        <f>S63/S60</f>
        <v>0.54264224705732367</v>
      </c>
      <c r="T64" s="427">
        <f>T63/T60</f>
        <v>0.54915145693243672</v>
      </c>
      <c r="U64" s="427">
        <f>(U52+U59)/U60</f>
        <v>0.56705385427666311</v>
      </c>
      <c r="V64" s="427">
        <f>(V52+V59)/V60</f>
        <v>0.53096571028691386</v>
      </c>
      <c r="W64" s="427">
        <f>(W52+W59)/W60</f>
        <v>0.50070348223707362</v>
      </c>
      <c r="X64" s="279">
        <f>X63/X60</f>
        <v>0.53841084153725749</v>
      </c>
      <c r="Y64" s="427">
        <f>Y63/Y60</f>
        <v>0.49262429429976323</v>
      </c>
      <c r="Z64" s="427">
        <f>(Z52+Z59)/Z60</f>
        <v>0.56736388803445092</v>
      </c>
      <c r="AA64" s="427">
        <f>(AA52+AA59)/AA60</f>
        <v>0.5709342560553633</v>
      </c>
      <c r="AB64" s="427">
        <f>(AB52+AB59)/AB60</f>
        <v>0.54975555906008522</v>
      </c>
      <c r="AC64" s="279">
        <f>AC63/AC60</f>
        <v>0.54714077433986719</v>
      </c>
      <c r="AD64" s="427">
        <f>AD63/AD60</f>
        <v>0.58772687986171135</v>
      </c>
      <c r="AE64" s="427">
        <f>(AE52+AE59)/AE60</f>
        <v>0.59408715146420066</v>
      </c>
      <c r="AF64" s="427">
        <f>(AF52+AF59)/AF60</f>
        <v>0.56125553097345138</v>
      </c>
      <c r="AG64" s="427">
        <f>(AG52+AG59)/AG60</f>
        <v>0.54122481442205717</v>
      </c>
      <c r="AH64" s="279">
        <f>AH63/AH60</f>
        <v>0.57050771096863617</v>
      </c>
      <c r="AI64" s="427">
        <f>AI63/AI60</f>
        <v>0.58596772042150203</v>
      </c>
      <c r="AJ64" s="427">
        <f>(AJ52+AJ59)/AJ60</f>
        <v>0.61221101034614889</v>
      </c>
      <c r="AK64" s="427">
        <f>(AK52+AK59)/AK60</f>
        <v>0.57465996451803669</v>
      </c>
      <c r="AL64" s="427">
        <f>(AL52+AL59)/AL60</f>
        <v>0.55801721389862924</v>
      </c>
      <c r="AM64" s="279">
        <f>AM63/AM60</f>
        <v>0.58433225215061335</v>
      </c>
      <c r="AN64" s="427">
        <f t="shared" ref="AN64:BC64" si="94">AN63/AN60</f>
        <v>0.54897494305239181</v>
      </c>
      <c r="AO64" s="427">
        <f t="shared" si="94"/>
        <v>0.60202229712211563</v>
      </c>
      <c r="AP64" s="427">
        <f t="shared" si="94"/>
        <v>0.59969266231271612</v>
      </c>
      <c r="AQ64" s="427">
        <f t="shared" si="94"/>
        <v>0.56556291390728475</v>
      </c>
      <c r="AR64" s="279">
        <f t="shared" si="94"/>
        <v>0.57989168355650067</v>
      </c>
      <c r="AS64" s="427">
        <f t="shared" si="94"/>
        <v>0.60529482551143199</v>
      </c>
      <c r="AT64" s="427">
        <f t="shared" si="94"/>
        <v>0.64028776978417268</v>
      </c>
      <c r="AU64" s="427">
        <f>AU63/AU60</f>
        <v>0.64153132250580047</v>
      </c>
      <c r="AV64" s="427">
        <f>AV63/AV60</f>
        <v>0.48253557567917205</v>
      </c>
      <c r="AW64" s="279">
        <f t="shared" si="94"/>
        <v>0.59668508287292821</v>
      </c>
      <c r="AX64" s="427">
        <f>AX63/AX60</f>
        <v>0.67657992565055758</v>
      </c>
      <c r="AY64" s="427">
        <f>AY63/AY60</f>
        <v>0.66340508806262233</v>
      </c>
      <c r="AZ64" s="427">
        <f>AZ63/AZ60</f>
        <v>0.59979317476732164</v>
      </c>
      <c r="BA64" s="427">
        <f t="shared" si="94"/>
        <v>0.53618421052631582</v>
      </c>
      <c r="BB64" s="279">
        <f t="shared" si="94"/>
        <v>0.62232838823233594</v>
      </c>
      <c r="BC64" s="427">
        <f t="shared" si="94"/>
        <v>0.58620689655172409</v>
      </c>
      <c r="BD64" s="427">
        <f t="shared" ref="BD64:BS64" si="95">BD63/BD60</f>
        <v>0.55407209612817088</v>
      </c>
      <c r="BE64" s="427">
        <f t="shared" si="95"/>
        <v>0.45655608214849919</v>
      </c>
      <c r="BF64" s="427">
        <f t="shared" si="95"/>
        <v>0.44122383252818037</v>
      </c>
      <c r="BG64" s="279">
        <f t="shared" si="95"/>
        <v>0.51792551340062654</v>
      </c>
      <c r="BH64" s="427">
        <f t="shared" si="95"/>
        <v>0.56812339331619532</v>
      </c>
      <c r="BI64" s="427">
        <f t="shared" si="95"/>
        <v>0.55863808322824715</v>
      </c>
      <c r="BJ64" s="427">
        <f t="shared" si="95"/>
        <v>0.53162853297442803</v>
      </c>
      <c r="BK64" s="427">
        <f t="shared" si="95"/>
        <v>0.51912568306010931</v>
      </c>
      <c r="BL64" s="279">
        <f t="shared" si="95"/>
        <v>0.54497701904136575</v>
      </c>
      <c r="BM64" s="427">
        <f>BM63/BM60</f>
        <v>0.64603481624758219</v>
      </c>
      <c r="BN64" s="427">
        <f>BN63/BN60</f>
        <v>0.63157894736842102</v>
      </c>
      <c r="BO64" s="427">
        <f>BO63/BO60</f>
        <v>0.59611650485436896</v>
      </c>
      <c r="BP64" s="427">
        <f>BP63/BP60</f>
        <v>0.51282051282051277</v>
      </c>
      <c r="BQ64" s="279">
        <f t="shared" si="95"/>
        <v>0.60060210737581532</v>
      </c>
      <c r="BR64" s="427">
        <f t="shared" si="95"/>
        <v>0.65978456014362652</v>
      </c>
      <c r="BS64" s="427">
        <f t="shared" si="95"/>
        <v>0.64150943396226412</v>
      </c>
      <c r="BT64" s="427">
        <f>BT63/BT60</f>
        <v>0.65672967099141832</v>
      </c>
      <c r="BU64" s="427">
        <f>BU63/BU60</f>
        <v>0.572116440140642</v>
      </c>
      <c r="BV64" s="279">
        <f>BV63/BV60</f>
        <v>0.63493338446761916</v>
      </c>
      <c r="BW64" s="427">
        <f t="shared" ref="BW64:CF64" si="96">BW63/BW60</f>
        <v>0.67321873701781954</v>
      </c>
      <c r="BX64" s="427">
        <f t="shared" si="96"/>
        <v>0.65478449973309161</v>
      </c>
      <c r="BY64" s="427">
        <f t="shared" si="96"/>
        <v>0.64882484192116285</v>
      </c>
      <c r="BZ64" s="427">
        <f t="shared" si="96"/>
        <v>0.56393144430520981</v>
      </c>
      <c r="CA64" s="279">
        <f t="shared" si="96"/>
        <v>0.63802929862416269</v>
      </c>
      <c r="CB64" s="427">
        <f t="shared" si="96"/>
        <v>0.68460602007647842</v>
      </c>
      <c r="CC64" s="427">
        <f t="shared" si="96"/>
        <v>0.66605532958683122</v>
      </c>
      <c r="CD64" s="427">
        <f t="shared" si="96"/>
        <v>0.65777798237917195</v>
      </c>
      <c r="CE64" s="427">
        <f t="shared" si="96"/>
        <v>0.57246496483512743</v>
      </c>
      <c r="CF64" s="279">
        <f t="shared" si="96"/>
        <v>0.64813691321378875</v>
      </c>
    </row>
    <row r="65" spans="1:97" ht="12.75" customHeight="1" x14ac:dyDescent="0.35">
      <c r="A65" s="41"/>
      <c r="B65" s="42" t="s">
        <v>60</v>
      </c>
      <c r="C65" s="42"/>
      <c r="D65" s="43"/>
      <c r="E65" s="43"/>
      <c r="F65" s="43"/>
      <c r="G65" s="43"/>
      <c r="H65" s="43"/>
      <c r="I65" s="44"/>
      <c r="J65" s="148"/>
      <c r="K65" s="148"/>
      <c r="L65" s="385">
        <f t="shared" ref="L65:AQ65" si="97">(L64-G64)*10000</f>
        <v>5266.2246333132416</v>
      </c>
      <c r="M65" s="385">
        <f t="shared" si="97"/>
        <v>5070.3710473405226</v>
      </c>
      <c r="N65" s="386">
        <f t="shared" si="97"/>
        <v>5171.0449503794507</v>
      </c>
      <c r="O65" s="385">
        <f t="shared" si="97"/>
        <v>5484.925535779149</v>
      </c>
      <c r="P65" s="385">
        <f t="shared" si="97"/>
        <v>5799.9690833204513</v>
      </c>
      <c r="Q65" s="385">
        <f t="shared" si="97"/>
        <v>102.97367892304621</v>
      </c>
      <c r="R65" s="385">
        <f t="shared" si="97"/>
        <v>-55.038849725532742</v>
      </c>
      <c r="S65" s="386">
        <f t="shared" si="97"/>
        <v>255.37752019378578</v>
      </c>
      <c r="T65" s="385">
        <f t="shared" si="97"/>
        <v>6.5890335452178928</v>
      </c>
      <c r="U65" s="385">
        <f t="shared" si="97"/>
        <v>-129.43054055381987</v>
      </c>
      <c r="V65" s="385">
        <f t="shared" si="97"/>
        <v>-59.541209367148795</v>
      </c>
      <c r="W65" s="385">
        <f t="shared" si="97"/>
        <v>-8.2973752442538906</v>
      </c>
      <c r="X65" s="386">
        <f t="shared" si="97"/>
        <v>-42.314055200661784</v>
      </c>
      <c r="Y65" s="385">
        <f t="shared" si="97"/>
        <v>-565.27162632673492</v>
      </c>
      <c r="Z65" s="385">
        <f t="shared" si="97"/>
        <v>3.1003375778781983</v>
      </c>
      <c r="AA65" s="385">
        <f t="shared" si="97"/>
        <v>399.68545768449439</v>
      </c>
      <c r="AB65" s="385">
        <f t="shared" si="97"/>
        <v>490.520768230116</v>
      </c>
      <c r="AC65" s="386">
        <f t="shared" si="97"/>
        <v>87.299328026096973</v>
      </c>
      <c r="AD65" s="385">
        <f t="shared" si="97"/>
        <v>951.02585561948115</v>
      </c>
      <c r="AE65" s="385">
        <f t="shared" si="97"/>
        <v>267.23263429749733</v>
      </c>
      <c r="AF65" s="385">
        <f t="shared" si="97"/>
        <v>-96.787250819119208</v>
      </c>
      <c r="AG65" s="385">
        <f t="shared" si="97"/>
        <v>-85.307446380280538</v>
      </c>
      <c r="AH65" s="386">
        <f t="shared" si="97"/>
        <v>233.66936628768985</v>
      </c>
      <c r="AI65" s="385">
        <f>(AI64-AD64)*10000</f>
        <v>-17.591594402093236</v>
      </c>
      <c r="AJ65" s="385">
        <f>(AJ64-AE64)*10000</f>
        <v>181.23858881948229</v>
      </c>
      <c r="AK65" s="385">
        <f>(AK64-AF64)*10000</f>
        <v>134.04433544585314</v>
      </c>
      <c r="AL65" s="385">
        <f>(AL64-AG64)*10000</f>
        <v>167.92399476572072</v>
      </c>
      <c r="AM65" s="386">
        <f>(AM64-AH64)*10000</f>
        <v>138.24541181977179</v>
      </c>
      <c r="AN65" s="385">
        <f t="shared" si="97"/>
        <v>-369.92777369110217</v>
      </c>
      <c r="AO65" s="385">
        <f t="shared" si="97"/>
        <v>-101.88713224033252</v>
      </c>
      <c r="AP65" s="385">
        <f t="shared" si="97"/>
        <v>250.32697794679427</v>
      </c>
      <c r="AQ65" s="385">
        <f t="shared" si="97"/>
        <v>75.457000086555098</v>
      </c>
      <c r="AR65" s="386">
        <f t="shared" ref="AR65:BV65" si="98">(AR64-AM64)*10000</f>
        <v>-44.405685941126819</v>
      </c>
      <c r="AS65" s="385">
        <f t="shared" si="98"/>
        <v>563.19882459040184</v>
      </c>
      <c r="AT65" s="385">
        <f t="shared" si="98"/>
        <v>382.65472662057044</v>
      </c>
      <c r="AU65" s="385">
        <f t="shared" si="98"/>
        <v>418.38660193084354</v>
      </c>
      <c r="AV65" s="385">
        <f t="shared" si="98"/>
        <v>-830.27338228112706</v>
      </c>
      <c r="AW65" s="386">
        <f t="shared" si="98"/>
        <v>167.93399316427536</v>
      </c>
      <c r="AX65" s="385">
        <f t="shared" si="98"/>
        <v>712.85100139125586</v>
      </c>
      <c r="AY65" s="385">
        <f t="shared" si="98"/>
        <v>231.1731827844965</v>
      </c>
      <c r="AZ65" s="385">
        <f t="shared" si="98"/>
        <v>-417.38147738478835</v>
      </c>
      <c r="BA65" s="385">
        <f t="shared" si="98"/>
        <v>536.48634847143774</v>
      </c>
      <c r="BB65" s="386">
        <f t="shared" si="98"/>
        <v>256.43305359407731</v>
      </c>
      <c r="BC65" s="385">
        <f t="shared" si="98"/>
        <v>-903.7302909883349</v>
      </c>
      <c r="BD65" s="385">
        <f t="shared" si="98"/>
        <v>-1093.3299193445146</v>
      </c>
      <c r="BE65" s="385">
        <f t="shared" si="98"/>
        <v>-1432.3709261882245</v>
      </c>
      <c r="BF65" s="385">
        <f t="shared" si="98"/>
        <v>-949.60377998135448</v>
      </c>
      <c r="BG65" s="386">
        <f t="shared" si="98"/>
        <v>-1044.0287483170939</v>
      </c>
      <c r="BH65" s="385">
        <f t="shared" si="98"/>
        <v>-180.83503235528764</v>
      </c>
      <c r="BI65" s="385">
        <f t="shared" si="98"/>
        <v>45.659871000762742</v>
      </c>
      <c r="BJ65" s="385">
        <f t="shared" si="98"/>
        <v>750.72450825928843</v>
      </c>
      <c r="BK65" s="385">
        <f t="shared" si="98"/>
        <v>779.01850531928937</v>
      </c>
      <c r="BL65" s="386">
        <f t="shared" si="98"/>
        <v>270.51505640739214</v>
      </c>
      <c r="BM65" s="385">
        <f t="shared" si="98"/>
        <v>779.11422931386869</v>
      </c>
      <c r="BN65" s="385">
        <f>(BN64-BI64)*10000</f>
        <v>729.40864140173869</v>
      </c>
      <c r="BO65" s="385">
        <f>(BO64-BJ64)*10000</f>
        <v>644.87971879940926</v>
      </c>
      <c r="BP65" s="385">
        <f>(BP64-BK64)*10000</f>
        <v>-63.051702395965357</v>
      </c>
      <c r="BQ65" s="386">
        <f t="shared" si="98"/>
        <v>556.25088334449572</v>
      </c>
      <c r="BR65" s="385">
        <f t="shared" si="98"/>
        <v>137.4974389604433</v>
      </c>
      <c r="BS65" s="385">
        <f t="shared" si="98"/>
        <v>99.304865938431021</v>
      </c>
      <c r="BT65" s="385">
        <f t="shared" si="98"/>
        <v>606.1316613704937</v>
      </c>
      <c r="BU65" s="385">
        <f t="shared" si="98"/>
        <v>592.95927320129226</v>
      </c>
      <c r="BV65" s="386">
        <f t="shared" si="98"/>
        <v>343.31277091803838</v>
      </c>
      <c r="BW65" s="385">
        <f t="shared" ref="BW65:CF65" si="99">(BW64-BR64)*10000</f>
        <v>134.34176874193017</v>
      </c>
      <c r="BX65" s="385">
        <f t="shared" si="99"/>
        <v>132.75065770827487</v>
      </c>
      <c r="BY65" s="385">
        <f t="shared" si="99"/>
        <v>-79.048290702554709</v>
      </c>
      <c r="BZ65" s="385">
        <f t="shared" si="99"/>
        <v>-81.849958354321956</v>
      </c>
      <c r="CA65" s="386">
        <f t="shared" si="99"/>
        <v>30.959141565435331</v>
      </c>
      <c r="CB65" s="385">
        <f t="shared" si="99"/>
        <v>113.87283058658882</v>
      </c>
      <c r="CC65" s="385">
        <f t="shared" si="99"/>
        <v>112.70829853739616</v>
      </c>
      <c r="CD65" s="385">
        <f t="shared" si="99"/>
        <v>89.531404580091007</v>
      </c>
      <c r="CE65" s="385">
        <f t="shared" si="99"/>
        <v>85.335205299176266</v>
      </c>
      <c r="CF65" s="386">
        <f t="shared" si="99"/>
        <v>101.07614589626057</v>
      </c>
      <c r="CI65"/>
      <c r="CJ65"/>
      <c r="CK65"/>
      <c r="CL65"/>
      <c r="CM65"/>
      <c r="CN65"/>
      <c r="CO65"/>
      <c r="CP65"/>
      <c r="CQ65"/>
      <c r="CR65"/>
      <c r="CS65"/>
    </row>
    <row r="66" spans="1:97" ht="12.75" customHeight="1" x14ac:dyDescent="0.35">
      <c r="A66" s="41"/>
      <c r="B66" s="42" t="s">
        <v>430</v>
      </c>
      <c r="C66" s="42"/>
      <c r="D66" s="43"/>
      <c r="E66" s="43"/>
      <c r="F66" s="43"/>
      <c r="G66" s="43"/>
      <c r="H66" s="43"/>
      <c r="I66" s="44"/>
      <c r="J66" s="148"/>
      <c r="K66" s="148"/>
      <c r="L66" s="385"/>
      <c r="M66" s="385"/>
      <c r="N66" s="386"/>
      <c r="O66" s="385"/>
      <c r="P66" s="385"/>
      <c r="Q66" s="529">
        <f>(Q63-L63)/(Q60-L60)</f>
        <v>0.60900140646976086</v>
      </c>
      <c r="R66" s="529">
        <f t="shared" ref="R66:BV66" si="100">(R63-M63)/(R60-M60)</f>
        <v>0.42606516290726537</v>
      </c>
      <c r="S66" s="530">
        <f t="shared" si="100"/>
        <v>0.80051874557887226</v>
      </c>
      <c r="T66" s="529">
        <f t="shared" si="100"/>
        <v>0.55405405405405417</v>
      </c>
      <c r="U66" s="529">
        <f t="shared" si="100"/>
        <v>4.375000000000253E-2</v>
      </c>
      <c r="V66" s="529">
        <f t="shared" si="100"/>
        <v>-0.67857142857145181</v>
      </c>
      <c r="W66" s="529">
        <f t="shared" si="100"/>
        <v>0.52717391304347228</v>
      </c>
      <c r="X66" s="530">
        <f t="shared" si="100"/>
        <v>0.40456989247311903</v>
      </c>
      <c r="Y66" s="529">
        <f t="shared" si="100"/>
        <v>0.96026490066225234</v>
      </c>
      <c r="Z66" s="529">
        <f t="shared" si="100"/>
        <v>0.55118110236220275</v>
      </c>
      <c r="AA66" s="529">
        <f t="shared" si="100"/>
        <v>0.92679127725856703</v>
      </c>
      <c r="AB66" s="529">
        <f t="shared" si="100"/>
        <v>0.97557251908396991</v>
      </c>
      <c r="AC66" s="530">
        <f t="shared" si="100"/>
        <v>1.057831325301207</v>
      </c>
      <c r="AD66" s="529">
        <f t="shared" si="100"/>
        <v>0.94762232942798097</v>
      </c>
      <c r="AE66" s="529">
        <f t="shared" si="100"/>
        <v>0.86771653543307126</v>
      </c>
      <c r="AF66" s="529">
        <f t="shared" si="100"/>
        <v>0.49084668192219733</v>
      </c>
      <c r="AG66" s="529">
        <f t="shared" si="100"/>
        <v>0.49625935162094725</v>
      </c>
      <c r="AH66" s="530">
        <f t="shared" si="100"/>
        <v>0.70910401153014557</v>
      </c>
      <c r="AI66" s="529">
        <f>(AI63-AD63)/(AI60-AD60)</f>
        <v>0.56396396396396431</v>
      </c>
      <c r="AJ66" s="529">
        <f>(AJ63-AE63)/(AJ60-AE60)</f>
        <v>0.79913294797687795</v>
      </c>
      <c r="AK66" s="529">
        <f>(AK63-AF63)/(AK60-AF60)</f>
        <v>0.36752136752136794</v>
      </c>
      <c r="AL66" s="529">
        <f>(AL63-AG63)/(AL60-AG60)</f>
        <v>0.45826771653543302</v>
      </c>
      <c r="AM66" s="530">
        <f>(AM63-AH63)/(AM60-AH60)</f>
        <v>-0.22810590631364022</v>
      </c>
      <c r="AN66" s="529">
        <f t="shared" si="100"/>
        <v>1.1353065539112055</v>
      </c>
      <c r="AO66" s="529">
        <f t="shared" si="100"/>
        <v>1.2956521739130444</v>
      </c>
      <c r="AP66" s="529">
        <f t="shared" si="100"/>
        <v>0.76172248803827802</v>
      </c>
      <c r="AQ66" s="529">
        <f t="shared" si="100"/>
        <v>0.60266457680250796</v>
      </c>
      <c r="AR66" s="530">
        <f t="shared" si="100"/>
        <v>0.50721292556260955</v>
      </c>
      <c r="AS66" s="529">
        <f t="shared" si="100"/>
        <v>0.9129082426127525</v>
      </c>
      <c r="AT66" s="529">
        <f t="shared" si="100"/>
        <v>0.78670634920634908</v>
      </c>
      <c r="AU66" s="529">
        <f t="shared" si="100"/>
        <v>1.0443896424167682</v>
      </c>
      <c r="AV66" s="529">
        <f t="shared" si="100"/>
        <v>-3</v>
      </c>
      <c r="AW66" s="530">
        <f t="shared" si="100"/>
        <v>0.71441882133706014</v>
      </c>
      <c r="AX66" s="529">
        <f t="shared" si="100"/>
        <v>0.91836734693877553</v>
      </c>
      <c r="AY66" s="529">
        <f t="shared" si="100"/>
        <v>1.1224489795918366</v>
      </c>
      <c r="AZ66" s="529">
        <f t="shared" si="100"/>
        <v>0.25714285714285712</v>
      </c>
      <c r="BA66" s="529">
        <f t="shared" si="100"/>
        <v>0.83453237410071945</v>
      </c>
      <c r="BB66" s="530">
        <f t="shared" si="100"/>
        <v>0.78624535315985133</v>
      </c>
      <c r="BC66" s="529">
        <f t="shared" si="100"/>
        <v>1.058252427184466</v>
      </c>
      <c r="BD66" s="529">
        <f t="shared" si="100"/>
        <v>0.96336996336996339</v>
      </c>
      <c r="BE66" s="529">
        <f t="shared" si="100"/>
        <v>0.87125748502994016</v>
      </c>
      <c r="BF66" s="529">
        <f t="shared" si="100"/>
        <v>0.73883161512027495</v>
      </c>
      <c r="BG66" s="530">
        <f t="shared" si="100"/>
        <v>0.89402173913043481</v>
      </c>
      <c r="BH66" s="529">
        <f t="shared" si="100"/>
        <v>0.73913043478260865</v>
      </c>
      <c r="BI66" s="529">
        <f t="shared" si="100"/>
        <v>0.63636363636363635</v>
      </c>
      <c r="BJ66" s="529">
        <f t="shared" si="100"/>
        <v>0.96363636363636362</v>
      </c>
      <c r="BK66" s="529">
        <f t="shared" si="100"/>
        <v>0.95495495495495497</v>
      </c>
      <c r="BL66" s="530">
        <f t="shared" si="100"/>
        <v>0.9942196531791907</v>
      </c>
      <c r="BM66" s="529">
        <f t="shared" si="100"/>
        <v>0.8828125</v>
      </c>
      <c r="BN66" s="529">
        <f t="shared" si="100"/>
        <v>0.84501845018450183</v>
      </c>
      <c r="BO66" s="529">
        <f t="shared" si="100"/>
        <v>0.76306620209059228</v>
      </c>
      <c r="BP66" s="529">
        <f>(BP63-BK63)/(BP60-BK60)</f>
        <v>0.47619047619047616</v>
      </c>
      <c r="BQ66" s="530">
        <f t="shared" si="100"/>
        <v>0.7808510638297872</v>
      </c>
      <c r="BR66" s="529">
        <f t="shared" si="100"/>
        <v>0.83750000000000002</v>
      </c>
      <c r="BS66" s="529">
        <f t="shared" si="100"/>
        <v>-2</v>
      </c>
      <c r="BT66" s="529">
        <f t="shared" si="100"/>
        <v>1.2023170267649115</v>
      </c>
      <c r="BU66" s="529">
        <f t="shared" si="100"/>
        <v>1.1325780831114023</v>
      </c>
      <c r="BV66" s="530">
        <f t="shared" si="100"/>
        <v>1.1215693635146842</v>
      </c>
      <c r="BW66" s="529">
        <f t="shared" ref="BW66:CF66" si="101">(BW63-BR63)/(BW60-BR60)</f>
        <v>0.82936327286059697</v>
      </c>
      <c r="BX66" s="529">
        <f t="shared" si="101"/>
        <v>0.81138757932885308</v>
      </c>
      <c r="BY66" s="529">
        <f t="shared" si="101"/>
        <v>0.53582984486581409</v>
      </c>
      <c r="BZ66" s="529">
        <f t="shared" si="101"/>
        <v>0.44295971894303393</v>
      </c>
      <c r="CA66" s="530">
        <f t="shared" si="101"/>
        <v>0.6780676957953401</v>
      </c>
      <c r="CB66" s="529">
        <f t="shared" si="101"/>
        <v>0.85491032290804037</v>
      </c>
      <c r="CC66" s="529">
        <f t="shared" si="101"/>
        <v>0.83652763138581498</v>
      </c>
      <c r="CD66" s="529">
        <f t="shared" si="101"/>
        <v>0.79171678842640636</v>
      </c>
      <c r="CE66" s="529">
        <f t="shared" si="101"/>
        <v>0.70383855520738792</v>
      </c>
      <c r="CF66" s="530">
        <f t="shared" si="101"/>
        <v>0.80070152008754547</v>
      </c>
      <c r="CI66"/>
      <c r="CJ66"/>
      <c r="CK66"/>
      <c r="CL66"/>
      <c r="CM66"/>
      <c r="CN66"/>
      <c r="CO66"/>
      <c r="CP66"/>
      <c r="CQ66"/>
      <c r="CR66"/>
      <c r="CS66"/>
    </row>
    <row r="67" spans="1:97" ht="12.75" customHeight="1" x14ac:dyDescent="0.35">
      <c r="A67" s="41"/>
      <c r="B67" s="41"/>
      <c r="C67" s="42"/>
      <c r="D67" s="43"/>
      <c r="E67" s="43"/>
      <c r="F67" s="43"/>
      <c r="G67" s="43"/>
      <c r="H67" s="43"/>
      <c r="I67" s="44"/>
      <c r="J67" s="59"/>
      <c r="K67" s="59"/>
      <c r="L67" s="59"/>
      <c r="M67" s="59"/>
      <c r="N67" s="44"/>
      <c r="O67" s="59"/>
      <c r="P67" s="59"/>
      <c r="Q67" s="59"/>
      <c r="R67" s="59"/>
      <c r="S67" s="45"/>
      <c r="T67" s="59"/>
      <c r="U67" s="59"/>
      <c r="V67" s="59"/>
      <c r="W67" s="59"/>
      <c r="X67" s="45"/>
      <c r="Y67" s="59"/>
      <c r="Z67" s="59"/>
      <c r="AA67" s="59"/>
      <c r="AB67" s="59"/>
      <c r="AC67" s="45"/>
      <c r="AD67" s="59"/>
      <c r="AE67" s="60"/>
      <c r="AF67" s="247"/>
      <c r="AG67" s="60"/>
      <c r="AH67" s="61"/>
      <c r="AI67" s="60"/>
      <c r="AJ67" s="60"/>
      <c r="AK67" s="60"/>
      <c r="AL67" s="60"/>
      <c r="AM67" s="61"/>
      <c r="AN67" s="60"/>
      <c r="AO67" s="60"/>
      <c r="AP67" s="362"/>
      <c r="AQ67" s="60"/>
      <c r="AR67" s="61"/>
      <c r="AS67" s="60"/>
      <c r="AT67" s="60"/>
      <c r="AU67" s="60"/>
      <c r="AV67" s="60"/>
      <c r="AW67" s="61"/>
      <c r="AX67" s="60"/>
      <c r="AY67" s="60"/>
      <c r="AZ67" s="60"/>
      <c r="BA67" s="60"/>
      <c r="BB67" s="61"/>
      <c r="BC67" s="60"/>
      <c r="BD67" s="60"/>
      <c r="BE67" s="60"/>
      <c r="BF67" s="60"/>
      <c r="BG67" s="61"/>
      <c r="BH67" s="73"/>
      <c r="BI67" s="60"/>
      <c r="BJ67" s="60"/>
      <c r="BK67" s="60"/>
      <c r="BL67" s="61"/>
      <c r="BM67" s="60"/>
      <c r="BN67" s="60"/>
      <c r="BO67" s="60"/>
      <c r="BP67" s="60"/>
      <c r="BQ67" s="61"/>
      <c r="BR67" s="60"/>
      <c r="BS67" s="60"/>
      <c r="BT67" s="60"/>
      <c r="BU67" s="60"/>
      <c r="BV67" s="61"/>
      <c r="BW67" s="60"/>
      <c r="BX67" s="60"/>
      <c r="BY67" s="60"/>
      <c r="BZ67" s="60"/>
      <c r="CA67" s="61"/>
      <c r="CB67" s="60"/>
      <c r="CC67" s="60"/>
      <c r="CD67" s="60"/>
      <c r="CE67" s="60"/>
      <c r="CF67" s="61"/>
      <c r="CI67"/>
      <c r="CJ67"/>
      <c r="CK67"/>
      <c r="CL67"/>
      <c r="CM67"/>
      <c r="CN67"/>
      <c r="CO67"/>
      <c r="CP67"/>
      <c r="CQ67"/>
      <c r="CR67"/>
      <c r="CS67"/>
    </row>
    <row r="68" spans="1:97" ht="12.75" customHeight="1" thickBot="1" x14ac:dyDescent="0.4">
      <c r="A68" s="41"/>
      <c r="B68" s="301" t="s">
        <v>97</v>
      </c>
      <c r="C68" s="304"/>
      <c r="D68" s="305"/>
      <c r="E68" s="305"/>
      <c r="F68" s="305"/>
      <c r="G68" s="305"/>
      <c r="H68" s="305"/>
      <c r="I68" s="306"/>
      <c r="J68" s="306"/>
      <c r="K68" s="306"/>
      <c r="L68" s="306"/>
      <c r="M68" s="306"/>
      <c r="N68" s="306"/>
      <c r="O68" s="306"/>
      <c r="P68" s="306"/>
      <c r="Q68" s="306"/>
      <c r="R68" s="306"/>
      <c r="S68" s="306"/>
      <c r="T68" s="306"/>
      <c r="U68" s="306"/>
      <c r="V68" s="306"/>
      <c r="W68" s="306"/>
      <c r="X68" s="306"/>
      <c r="Y68" s="306"/>
      <c r="Z68" s="306"/>
      <c r="AA68" s="306"/>
      <c r="AB68" s="306"/>
      <c r="AC68" s="306"/>
      <c r="AD68" s="306"/>
      <c r="AE68" s="306"/>
      <c r="AF68" s="428"/>
      <c r="AG68" s="306"/>
      <c r="AH68" s="429"/>
      <c r="AI68" s="306"/>
      <c r="AJ68" s="306"/>
      <c r="AK68" s="306"/>
      <c r="AL68" s="306"/>
      <c r="AM68" s="429"/>
      <c r="AN68" s="306"/>
      <c r="AO68" s="306"/>
      <c r="AP68" s="306"/>
      <c r="AQ68" s="306"/>
      <c r="AR68" s="429"/>
      <c r="AS68" s="306"/>
      <c r="AT68" s="306"/>
      <c r="AU68" s="306"/>
      <c r="AV68" s="306"/>
      <c r="AW68" s="429"/>
      <c r="AX68" s="306"/>
      <c r="AY68" s="306"/>
      <c r="AZ68" s="306"/>
      <c r="BA68" s="306"/>
      <c r="BB68" s="429"/>
      <c r="BC68" s="306"/>
      <c r="BD68" s="306"/>
      <c r="BE68" s="306"/>
      <c r="BF68" s="306"/>
      <c r="BG68" s="429"/>
      <c r="BH68" s="306"/>
      <c r="BI68" s="306"/>
      <c r="BJ68" s="306"/>
      <c r="BK68" s="306"/>
      <c r="BL68" s="429"/>
      <c r="BM68" s="306"/>
      <c r="BN68" s="306"/>
      <c r="BO68" s="306"/>
      <c r="BP68" s="306"/>
      <c r="BQ68" s="429"/>
      <c r="BR68" s="306"/>
      <c r="BS68" s="306"/>
      <c r="BT68" s="306"/>
      <c r="BU68" s="306"/>
      <c r="BV68" s="429"/>
      <c r="BW68" s="306"/>
      <c r="BX68" s="306"/>
      <c r="BY68" s="306"/>
      <c r="BZ68" s="306"/>
      <c r="CA68" s="429"/>
      <c r="CB68" s="306"/>
      <c r="CC68" s="306"/>
      <c r="CD68" s="306"/>
      <c r="CE68" s="306"/>
      <c r="CF68" s="429"/>
      <c r="CI68"/>
      <c r="CJ68"/>
      <c r="CK68"/>
      <c r="CL68"/>
      <c r="CM68"/>
      <c r="CN68"/>
      <c r="CO68"/>
      <c r="CP68"/>
      <c r="CQ68"/>
      <c r="CR68"/>
      <c r="CS68"/>
    </row>
    <row r="69" spans="1:97" ht="12.75" hidden="1" customHeight="1" outlineLevel="1" x14ac:dyDescent="0.35">
      <c r="A69" s="41"/>
      <c r="B69" s="520" t="s">
        <v>415</v>
      </c>
      <c r="C69" s="516"/>
      <c r="D69" s="190"/>
      <c r="E69" s="190"/>
      <c r="F69" s="190"/>
      <c r="G69" s="190"/>
      <c r="H69" s="190"/>
      <c r="I69" s="517"/>
      <c r="J69" s="518"/>
      <c r="K69" s="518"/>
      <c r="L69" s="518"/>
      <c r="M69" s="518"/>
      <c r="N69" s="517"/>
      <c r="O69" s="518"/>
      <c r="P69" s="518"/>
      <c r="Q69" s="518"/>
      <c r="R69" s="518"/>
      <c r="S69" s="517"/>
      <c r="T69" s="518"/>
      <c r="U69" s="518"/>
      <c r="V69" s="518"/>
      <c r="W69" s="518"/>
      <c r="X69" s="517"/>
      <c r="Y69" s="518"/>
      <c r="Z69" s="518"/>
      <c r="AA69" s="518"/>
      <c r="AB69" s="518"/>
      <c r="AC69" s="519"/>
      <c r="AD69" s="518"/>
      <c r="AE69" s="518"/>
      <c r="AF69" s="518"/>
      <c r="AG69" s="518"/>
      <c r="AH69" s="519"/>
      <c r="AI69" s="518"/>
      <c r="AJ69" s="518"/>
      <c r="AK69" s="518"/>
      <c r="AL69" s="518"/>
      <c r="AM69" s="519"/>
      <c r="AN69" s="518"/>
      <c r="AO69" s="518"/>
      <c r="AP69" s="518"/>
      <c r="AQ69" s="518"/>
      <c r="AR69" s="519"/>
      <c r="AS69" s="518"/>
      <c r="AT69" s="518"/>
      <c r="AU69" s="518"/>
      <c r="AV69" s="518"/>
      <c r="AW69" s="519"/>
      <c r="AX69" s="518"/>
      <c r="AY69" s="518"/>
      <c r="AZ69" s="518"/>
      <c r="BA69" s="518"/>
      <c r="BB69" s="519"/>
      <c r="BC69" s="519"/>
      <c r="BD69" s="519"/>
      <c r="BE69" s="519"/>
      <c r="BF69" s="519"/>
      <c r="BG69" s="519"/>
      <c r="BH69" s="519"/>
      <c r="BI69" s="519"/>
      <c r="BJ69" s="519"/>
      <c r="BK69" s="519"/>
      <c r="BL69" s="519"/>
      <c r="BM69" s="519"/>
      <c r="BN69" s="519"/>
      <c r="BO69" s="519"/>
      <c r="BP69" s="519"/>
      <c r="BQ69" s="519"/>
      <c r="BR69" s="519"/>
      <c r="BS69" s="519"/>
      <c r="BT69" s="519"/>
      <c r="BU69" s="519"/>
      <c r="BV69" s="519"/>
      <c r="BW69" s="519"/>
      <c r="BX69" s="519"/>
      <c r="BY69" s="519"/>
      <c r="BZ69" s="519"/>
      <c r="CA69" s="519"/>
      <c r="CB69" s="519"/>
      <c r="CC69" s="519"/>
      <c r="CD69" s="519"/>
      <c r="CE69" s="519"/>
      <c r="CF69" s="519"/>
      <c r="CI69"/>
      <c r="CJ69"/>
      <c r="CK69"/>
      <c r="CL69"/>
      <c r="CM69"/>
      <c r="CN69"/>
      <c r="CO69"/>
      <c r="CP69"/>
      <c r="CQ69"/>
      <c r="CR69"/>
      <c r="CS69"/>
    </row>
    <row r="70" spans="1:97" ht="12.75" hidden="1" customHeight="1" outlineLevel="1" x14ac:dyDescent="0.35">
      <c r="A70" s="41"/>
      <c r="B70" s="2" t="s">
        <v>98</v>
      </c>
      <c r="C70" s="43"/>
      <c r="D70" s="43"/>
      <c r="E70" s="173">
        <v>119.5</v>
      </c>
      <c r="F70" s="173">
        <v>121.4</v>
      </c>
      <c r="G70" s="173">
        <v>123.8</v>
      </c>
      <c r="H70" s="173">
        <v>126.3</v>
      </c>
      <c r="I70" s="341">
        <f>SUM(E70:H70)</f>
        <v>491</v>
      </c>
      <c r="J70" s="173">
        <v>126.4</v>
      </c>
      <c r="K70" s="173">
        <v>127.5</v>
      </c>
      <c r="L70" s="173">
        <v>133.69999999999999</v>
      </c>
      <c r="M70" s="173">
        <v>135.19999999999999</v>
      </c>
      <c r="N70" s="341">
        <f>SUM(J70:M70)</f>
        <v>522.79999999999995</v>
      </c>
      <c r="O70" s="173">
        <v>137.6</v>
      </c>
      <c r="P70" s="173">
        <v>141.4</v>
      </c>
      <c r="Q70" s="173">
        <v>143.30000000000001</v>
      </c>
      <c r="R70" s="173">
        <v>149.5</v>
      </c>
      <c r="S70" s="341">
        <f>SUM(O70:R70)</f>
        <v>571.79999999999995</v>
      </c>
      <c r="T70" s="173">
        <v>149.6</v>
      </c>
      <c r="U70" s="173">
        <v>157.5</v>
      </c>
      <c r="V70" s="173">
        <v>157.9</v>
      </c>
      <c r="W70" s="173">
        <v>161.4</v>
      </c>
      <c r="X70" s="341">
        <f>SUM(T70:W70)</f>
        <v>626.4</v>
      </c>
      <c r="Y70" s="173">
        <v>164.9</v>
      </c>
      <c r="Z70" s="173">
        <v>168.3</v>
      </c>
      <c r="AA70" s="173">
        <v>167.7</v>
      </c>
      <c r="AB70" s="173">
        <v>166.7</v>
      </c>
      <c r="AC70" s="341">
        <f>SUM(Y70:AB70)</f>
        <v>667.6</v>
      </c>
      <c r="AD70" s="173">
        <v>175.4</v>
      </c>
      <c r="AE70" s="173">
        <v>180.9</v>
      </c>
      <c r="AF70" s="173">
        <v>218.4</v>
      </c>
      <c r="AG70" s="173">
        <v>258</v>
      </c>
      <c r="AH70" s="341">
        <f>SUM(AD70:AG70)</f>
        <v>832.7</v>
      </c>
      <c r="AI70" s="173">
        <v>267.10000000000002</v>
      </c>
      <c r="AJ70" s="173">
        <v>275.89999999999998</v>
      </c>
      <c r="AK70" s="173">
        <v>280.3</v>
      </c>
      <c r="AL70" s="173">
        <v>297.10000000000002</v>
      </c>
      <c r="AM70" s="341">
        <f>SUM(AI70:AL70)</f>
        <v>1120.4000000000001</v>
      </c>
      <c r="AN70" s="173">
        <v>307.7</v>
      </c>
      <c r="AO70" s="173">
        <v>315.3</v>
      </c>
      <c r="AP70" s="173">
        <v>317.5</v>
      </c>
      <c r="AQ70" s="173">
        <v>333</v>
      </c>
      <c r="AR70" s="341">
        <f>SUM(AN70:AQ70)</f>
        <v>1273.5</v>
      </c>
      <c r="AS70" s="173">
        <v>358</v>
      </c>
      <c r="AT70" s="173">
        <v>366</v>
      </c>
      <c r="AU70" s="173">
        <v>386</v>
      </c>
      <c r="AV70" s="173">
        <v>404</v>
      </c>
      <c r="AW70" s="341">
        <f>SUM(AS70:AV70)</f>
        <v>1514</v>
      </c>
      <c r="AX70" s="173">
        <v>419</v>
      </c>
      <c r="AY70" s="173">
        <v>435</v>
      </c>
      <c r="AZ70" s="173">
        <v>445</v>
      </c>
      <c r="BA70" s="173">
        <v>454</v>
      </c>
      <c r="BB70" s="341">
        <f>SUM(AX70:BA70)</f>
        <v>1753</v>
      </c>
      <c r="BC70" s="219"/>
      <c r="BD70" s="219"/>
      <c r="BE70" s="219"/>
      <c r="BF70" s="219"/>
      <c r="BG70" s="341"/>
      <c r="BH70" s="219"/>
      <c r="BI70" s="219"/>
      <c r="BJ70" s="219"/>
      <c r="BK70" s="219"/>
      <c r="BL70" s="341"/>
      <c r="BM70" s="219"/>
      <c r="BN70" s="219"/>
      <c r="BO70" s="219"/>
      <c r="BP70" s="219"/>
      <c r="BQ70" s="341"/>
      <c r="BR70" s="219"/>
      <c r="BS70" s="219"/>
      <c r="BT70" s="219"/>
      <c r="BU70" s="219"/>
      <c r="BV70" s="341"/>
      <c r="BW70" s="219"/>
      <c r="BX70" s="219"/>
      <c r="BY70" s="219"/>
      <c r="BZ70" s="219"/>
      <c r="CA70" s="341"/>
      <c r="CB70" s="219"/>
      <c r="CC70" s="219"/>
      <c r="CD70" s="219"/>
      <c r="CE70" s="219"/>
      <c r="CF70" s="341"/>
      <c r="CI70"/>
      <c r="CJ70"/>
      <c r="CK70"/>
      <c r="CL70"/>
      <c r="CM70"/>
      <c r="CN70"/>
      <c r="CO70"/>
      <c r="CP70"/>
      <c r="CQ70"/>
      <c r="CR70"/>
      <c r="CS70"/>
    </row>
    <row r="71" spans="1:97" ht="12.75" hidden="1" customHeight="1" outlineLevel="1" x14ac:dyDescent="0.35">
      <c r="A71" s="41"/>
      <c r="B71" s="42" t="s">
        <v>56</v>
      </c>
      <c r="C71" s="43"/>
      <c r="D71" s="43"/>
      <c r="E71" s="43"/>
      <c r="F71" s="43"/>
      <c r="G71" s="43"/>
      <c r="H71" s="43"/>
      <c r="I71" s="44"/>
      <c r="J71" s="153">
        <f>IFERROR( J70/E70-1, "NA")</f>
        <v>5.7740585774058717E-2</v>
      </c>
      <c r="K71" s="153">
        <f>IFERROR( K70/F70-1, "NA")</f>
        <v>5.0247116968698435E-2</v>
      </c>
      <c r="L71" s="153">
        <f>IFERROR( L70/G70-1, "NA")</f>
        <v>7.9967689822293853E-2</v>
      </c>
      <c r="M71" s="153">
        <f>IFERROR( M70/H70-1, "NA")</f>
        <v>7.0467141726048954E-2</v>
      </c>
      <c r="N71" s="47">
        <f>N70/I70-1</f>
        <v>6.476578411405276E-2</v>
      </c>
      <c r="O71" s="153">
        <f>IFERROR( O70/J70-1, "NA")</f>
        <v>8.8607594936708667E-2</v>
      </c>
      <c r="P71" s="153">
        <f>IFERROR( P70/K70-1, "NA")</f>
        <v>0.10901960784313736</v>
      </c>
      <c r="Q71" s="153">
        <f>IFERROR( Q70/L70-1, "NA")</f>
        <v>7.1802543006731723E-2</v>
      </c>
      <c r="R71" s="153">
        <f>IFERROR( R70/M70-1, "NA")</f>
        <v>0.10576923076923084</v>
      </c>
      <c r="S71" s="47">
        <f>S70/N70-1</f>
        <v>9.3726090283090979E-2</v>
      </c>
      <c r="T71" s="153">
        <f>IFERROR( T70/O70-1, "NA")</f>
        <v>8.7209302325581328E-2</v>
      </c>
      <c r="U71" s="153">
        <f>IFERROR( U70/P70-1, "NA")</f>
        <v>0.11386138613861374</v>
      </c>
      <c r="V71" s="153">
        <f>IFERROR( V70/Q70-1, "NA")</f>
        <v>0.10188415910676896</v>
      </c>
      <c r="W71" s="153">
        <f>IFERROR( W70/R70-1, "NA")</f>
        <v>7.9598662207357895E-2</v>
      </c>
      <c r="X71" s="47">
        <f>X70/S70-1</f>
        <v>9.5487932843651757E-2</v>
      </c>
      <c r="Y71" s="153">
        <f>IFERROR( Y70/T70-1, "NA")</f>
        <v>0.10227272727272729</v>
      </c>
      <c r="Z71" s="153">
        <f>IFERROR( Z70/U70-1, "NA")</f>
        <v>6.8571428571428727E-2</v>
      </c>
      <c r="AA71" s="153">
        <f>IFERROR( AA70/V70-1, "NA")</f>
        <v>6.2064597846738234E-2</v>
      </c>
      <c r="AB71" s="153">
        <f>IFERROR( AB70/W70-1, "NA")</f>
        <v>3.2837670384138651E-2</v>
      </c>
      <c r="AC71" s="47">
        <f>AC70/X70-1</f>
        <v>6.5772669220945268E-2</v>
      </c>
      <c r="AD71" s="153">
        <f>IFERROR( AD70/Y70-1, "NA")</f>
        <v>6.3674954517889626E-2</v>
      </c>
      <c r="AE71" s="153">
        <f>IFERROR( AE70/Z70-1, "NA")</f>
        <v>7.4866310160427663E-2</v>
      </c>
      <c r="AF71" s="153">
        <f>IFERROR( AF70/AA70-1, "NA")</f>
        <v>0.30232558139534893</v>
      </c>
      <c r="AG71" s="153">
        <f>IFERROR( AG70/AB70-1, "NA")</f>
        <v>0.54769046190761861</v>
      </c>
      <c r="AH71" s="47">
        <f>AH70/AC70-1</f>
        <v>0.24730377471539855</v>
      </c>
      <c r="AI71" s="153">
        <f>IFERROR( AI70/AD70-1, "NA")</f>
        <v>0.52280501710376281</v>
      </c>
      <c r="AJ71" s="153">
        <f>IFERROR( AJ70/AE70-1, "NA")</f>
        <v>0.52515201768933095</v>
      </c>
      <c r="AK71" s="153">
        <f>IFERROR( AK70/AF70-1, "NA")</f>
        <v>0.28342490842490853</v>
      </c>
      <c r="AL71" s="153">
        <f>IFERROR( AL70/AG70-1, "NA")</f>
        <v>0.15155038759689932</v>
      </c>
      <c r="AM71" s="47">
        <f>AM70/AH70-1</f>
        <v>0.34550258196229144</v>
      </c>
      <c r="AN71" s="153">
        <f t="shared" ref="AN71:AZ71" si="102">IFERROR( AN70/AI70-1, "NA")</f>
        <v>0.15200299513290894</v>
      </c>
      <c r="AO71" s="153">
        <f t="shared" si="102"/>
        <v>0.14280536426241408</v>
      </c>
      <c r="AP71" s="153">
        <f t="shared" si="102"/>
        <v>0.13271494826971098</v>
      </c>
      <c r="AQ71" s="153">
        <f t="shared" si="102"/>
        <v>0.12083473577919879</v>
      </c>
      <c r="AR71" s="47">
        <f t="shared" si="102"/>
        <v>0.13664762584791146</v>
      </c>
      <c r="AS71" s="153">
        <f t="shared" si="102"/>
        <v>0.16347091322716945</v>
      </c>
      <c r="AT71" s="153">
        <f t="shared" si="102"/>
        <v>0.16079923882017133</v>
      </c>
      <c r="AU71" s="153">
        <f t="shared" si="102"/>
        <v>0.21574803149606292</v>
      </c>
      <c r="AV71" s="153">
        <f t="shared" si="102"/>
        <v>0.21321321321321318</v>
      </c>
      <c r="AW71" s="47">
        <f>IFERROR( AW70/AR70-1, "NA")</f>
        <v>0.18884962701217112</v>
      </c>
      <c r="AX71" s="153">
        <f t="shared" si="102"/>
        <v>0.17039106145251393</v>
      </c>
      <c r="AY71" s="153">
        <f t="shared" si="102"/>
        <v>0.18852459016393452</v>
      </c>
      <c r="AZ71" s="153">
        <f t="shared" si="102"/>
        <v>0.15284974093264259</v>
      </c>
      <c r="BA71" s="153">
        <f>IFERROR( BA70/AV70-1, "NA")</f>
        <v>0.12376237623762387</v>
      </c>
      <c r="BB71" s="47">
        <f>IFERROR( BB70/AW70-1, "NA")</f>
        <v>0.15785997357992065</v>
      </c>
      <c r="BC71" s="264"/>
      <c r="BD71" s="264"/>
      <c r="BE71" s="264"/>
      <c r="BF71" s="264"/>
      <c r="BG71" s="47"/>
      <c r="BH71" s="264"/>
      <c r="BI71" s="264"/>
      <c r="BJ71" s="264"/>
      <c r="BK71" s="264"/>
      <c r="BL71" s="47"/>
      <c r="BM71" s="264"/>
      <c r="BN71" s="264"/>
      <c r="BO71" s="264"/>
      <c r="BP71" s="264"/>
      <c r="BQ71" s="47"/>
      <c r="BR71" s="264"/>
      <c r="BS71" s="264"/>
      <c r="BT71" s="264"/>
      <c r="BU71" s="264"/>
      <c r="BV71" s="47"/>
      <c r="BW71" s="264"/>
      <c r="BX71" s="264"/>
      <c r="BY71" s="264"/>
      <c r="BZ71" s="264"/>
      <c r="CA71" s="47"/>
      <c r="CB71" s="264"/>
      <c r="CC71" s="264"/>
      <c r="CD71" s="264"/>
      <c r="CE71" s="264"/>
      <c r="CF71" s="47"/>
      <c r="CI71"/>
      <c r="CJ71"/>
      <c r="CK71"/>
      <c r="CL71"/>
      <c r="CM71"/>
      <c r="CN71"/>
      <c r="CO71"/>
      <c r="CP71"/>
      <c r="CQ71"/>
      <c r="CR71"/>
      <c r="CS71"/>
    </row>
    <row r="72" spans="1:97" ht="12.75" hidden="1" customHeight="1" outlineLevel="1" x14ac:dyDescent="0.35">
      <c r="A72" s="41"/>
      <c r="B72" s="2" t="s">
        <v>99</v>
      </c>
      <c r="C72" s="43"/>
      <c r="D72" s="43"/>
      <c r="E72" s="215">
        <v>48.1</v>
      </c>
      <c r="F72" s="215">
        <v>51.5</v>
      </c>
      <c r="G72" s="215">
        <v>64</v>
      </c>
      <c r="H72" s="215">
        <v>79</v>
      </c>
      <c r="I72" s="216">
        <f>SUM(E72:H72)</f>
        <v>242.6</v>
      </c>
      <c r="J72" s="215">
        <v>53</v>
      </c>
      <c r="K72" s="215">
        <v>60.2</v>
      </c>
      <c r="L72" s="215">
        <v>64.400000000000006</v>
      </c>
      <c r="M72" s="215">
        <v>84.9</v>
      </c>
      <c r="N72" s="216">
        <f>SUM(J72:M72)</f>
        <v>262.5</v>
      </c>
      <c r="O72" s="215">
        <v>59.8</v>
      </c>
      <c r="P72" s="215">
        <v>67.2</v>
      </c>
      <c r="Q72" s="215">
        <v>81.099999999999994</v>
      </c>
      <c r="R72" s="215">
        <v>120.4</v>
      </c>
      <c r="S72" s="216">
        <f>SUM(O72:R72)</f>
        <v>328.5</v>
      </c>
      <c r="T72" s="160">
        <v>77.099999999999994</v>
      </c>
      <c r="U72" s="160">
        <v>83.2</v>
      </c>
      <c r="V72" s="160">
        <v>92.2</v>
      </c>
      <c r="W72" s="160">
        <v>121.5</v>
      </c>
      <c r="X72" s="216">
        <f>SUM(T72:W72)</f>
        <v>374</v>
      </c>
      <c r="Y72" s="160">
        <v>89.5</v>
      </c>
      <c r="Z72" s="160">
        <v>97.5</v>
      </c>
      <c r="AA72" s="160">
        <v>101.5</v>
      </c>
      <c r="AB72" s="160">
        <v>130.30000000000001</v>
      </c>
      <c r="AC72" s="216">
        <f>SUM(Y72:AB72)</f>
        <v>418.8</v>
      </c>
      <c r="AD72" s="160">
        <v>95.9</v>
      </c>
      <c r="AE72" s="160">
        <v>97.3</v>
      </c>
      <c r="AF72" s="160">
        <v>112.6</v>
      </c>
      <c r="AG72" s="160">
        <v>142.80000000000001</v>
      </c>
      <c r="AH72" s="216">
        <f>SUM(AD72:AG72)</f>
        <v>448.59999999999997</v>
      </c>
      <c r="AI72" s="160">
        <v>102.2</v>
      </c>
      <c r="AJ72" s="160">
        <v>109.5</v>
      </c>
      <c r="AK72" s="160">
        <v>115.3</v>
      </c>
      <c r="AL72" s="160">
        <v>124.1</v>
      </c>
      <c r="AM72" s="216">
        <f>SUM(AI72:AL72)</f>
        <v>451.1</v>
      </c>
      <c r="AN72" s="160">
        <v>121.9</v>
      </c>
      <c r="AO72" s="160">
        <v>117.7</v>
      </c>
      <c r="AP72" s="160">
        <v>133.30000000000001</v>
      </c>
      <c r="AQ72" s="160">
        <v>149</v>
      </c>
      <c r="AR72" s="216">
        <f>SUM(AN72:AQ72)</f>
        <v>521.90000000000009</v>
      </c>
      <c r="AS72" s="160">
        <v>138</v>
      </c>
      <c r="AT72" s="160">
        <v>131</v>
      </c>
      <c r="AU72" s="160">
        <v>145</v>
      </c>
      <c r="AV72" s="160">
        <v>151</v>
      </c>
      <c r="AW72" s="216">
        <f>SUM(AS72:AV72)</f>
        <v>565</v>
      </c>
      <c r="AX72" s="160">
        <v>145</v>
      </c>
      <c r="AY72" s="160">
        <v>138</v>
      </c>
      <c r="AZ72" s="160">
        <v>156</v>
      </c>
      <c r="BA72" s="160">
        <v>214</v>
      </c>
      <c r="BB72" s="216">
        <f>SUM(AX72:BA72)</f>
        <v>653</v>
      </c>
      <c r="BC72" s="289"/>
      <c r="BD72" s="289"/>
      <c r="BE72" s="289"/>
      <c r="BF72" s="289"/>
      <c r="BG72" s="216"/>
      <c r="BH72" s="289"/>
      <c r="BI72" s="289"/>
      <c r="BJ72" s="289"/>
      <c r="BK72" s="289"/>
      <c r="BL72" s="216"/>
      <c r="BM72" s="289"/>
      <c r="BN72" s="289"/>
      <c r="BO72" s="289"/>
      <c r="BP72" s="289"/>
      <c r="BQ72" s="216"/>
      <c r="BR72" s="289"/>
      <c r="BS72" s="289"/>
      <c r="BT72" s="289"/>
      <c r="BU72" s="289"/>
      <c r="BV72" s="216"/>
      <c r="BW72" s="289"/>
      <c r="BX72" s="289"/>
      <c r="BY72" s="289"/>
      <c r="BZ72" s="289"/>
      <c r="CA72" s="216"/>
      <c r="CB72" s="289"/>
      <c r="CC72" s="289"/>
      <c r="CD72" s="289"/>
      <c r="CE72" s="289"/>
      <c r="CF72" s="216"/>
      <c r="CI72"/>
      <c r="CJ72"/>
      <c r="CK72"/>
      <c r="CL72"/>
      <c r="CM72"/>
      <c r="CN72"/>
      <c r="CO72"/>
      <c r="CP72"/>
      <c r="CQ72"/>
      <c r="CR72"/>
      <c r="CS72"/>
    </row>
    <row r="73" spans="1:97" ht="12.75" hidden="1" customHeight="1" outlineLevel="1" x14ac:dyDescent="0.35">
      <c r="A73" s="41"/>
      <c r="B73" s="42" t="s">
        <v>56</v>
      </c>
      <c r="C73" s="43"/>
      <c r="D73" s="43"/>
      <c r="I73" s="44"/>
      <c r="J73" s="153">
        <f>IFERROR( J72/E72-1, "NA")</f>
        <v>0.10187110187110182</v>
      </c>
      <c r="K73" s="153">
        <f>IFERROR( K72/F72-1, "NA")</f>
        <v>0.16893203883495156</v>
      </c>
      <c r="L73" s="153">
        <f>IFERROR( L72/G72-1, "NA")</f>
        <v>6.2500000000000888E-3</v>
      </c>
      <c r="M73" s="153">
        <f>IFERROR( M72/H72-1, "NA")</f>
        <v>7.4683544303797644E-2</v>
      </c>
      <c r="N73" s="47">
        <f>N72/I72-1</f>
        <v>8.2028029678483216E-2</v>
      </c>
      <c r="O73" s="153">
        <f>IFERROR( O72/J72-1, "NA")</f>
        <v>0.1283018867924528</v>
      </c>
      <c r="P73" s="153">
        <f>IFERROR( P72/K72-1, "NA")</f>
        <v>0.11627906976744184</v>
      </c>
      <c r="Q73" s="153">
        <f>IFERROR( Q72/L72-1, "NA")</f>
        <v>0.25931677018633525</v>
      </c>
      <c r="R73" s="153">
        <f>IFERROR( R72/M72-1, "NA")</f>
        <v>0.41813898704358055</v>
      </c>
      <c r="S73" s="47">
        <f>S72/N72-1</f>
        <v>0.25142857142857133</v>
      </c>
      <c r="T73" s="153">
        <f>IFERROR( T72/O72-1, "NA")</f>
        <v>0.28929765886287617</v>
      </c>
      <c r="U73" s="153">
        <f>IFERROR( U72/P72-1, "NA")</f>
        <v>0.23809523809523814</v>
      </c>
      <c r="V73" s="153">
        <f>IFERROR( V72/Q72-1, "NA")</f>
        <v>0.1368680641183726</v>
      </c>
      <c r="W73" s="153">
        <f>IFERROR( W72/R72-1, "NA")</f>
        <v>9.1362126245846387E-3</v>
      </c>
      <c r="X73" s="47">
        <f>X72/S72-1</f>
        <v>0.13850837138508365</v>
      </c>
      <c r="Y73" s="153">
        <f>IFERROR( Y72/T72-1, "NA")</f>
        <v>0.16083009079118038</v>
      </c>
      <c r="Z73" s="153">
        <f>IFERROR( Z72/U72-1, "NA")</f>
        <v>0.171875</v>
      </c>
      <c r="AA73" s="153">
        <f>IFERROR( AA72/V72-1, "NA")</f>
        <v>0.10086767895878523</v>
      </c>
      <c r="AB73" s="153">
        <f>IFERROR( AB72/W72-1, "NA")</f>
        <v>7.2427983539094853E-2</v>
      </c>
      <c r="AC73" s="47">
        <f>AC72/X72-1</f>
        <v>0.11978609625668457</v>
      </c>
      <c r="AD73" s="153">
        <f>IFERROR( AD72/Y72-1, "NA")</f>
        <v>7.1508379888268303E-2</v>
      </c>
      <c r="AE73" s="153">
        <f>IFERROR( AE72/Z72-1, "NA")</f>
        <v>-2.0512820512821328E-3</v>
      </c>
      <c r="AF73" s="153">
        <f>IFERROR( AF72/AA72-1, "NA")</f>
        <v>0.10935960591132998</v>
      </c>
      <c r="AG73" s="153">
        <f>IFERROR( AG72/AB72-1, "NA")</f>
        <v>9.593246354566376E-2</v>
      </c>
      <c r="AH73" s="47">
        <f>AH72/AC72-1</f>
        <v>7.1155682903533801E-2</v>
      </c>
      <c r="AI73" s="153">
        <f>IFERROR( AI72/AD72-1, "NA")</f>
        <v>6.5693430656934337E-2</v>
      </c>
      <c r="AJ73" s="153">
        <f>IFERROR( AJ72/AE72-1, "NA")</f>
        <v>0.12538540596094561</v>
      </c>
      <c r="AK73" s="153">
        <f>IFERROR( AK72/AF72-1, "NA")</f>
        <v>2.3978685612788597E-2</v>
      </c>
      <c r="AL73" s="153">
        <f>IFERROR( AL72/AG72-1, "NA")</f>
        <v>-0.13095238095238104</v>
      </c>
      <c r="AM73" s="47">
        <f>AM72/AH72-1</f>
        <v>5.5728934462775381E-3</v>
      </c>
      <c r="AN73" s="153">
        <f t="shared" ref="AN73:BA73" si="103">IFERROR( AN72/AI72-1, "NA")</f>
        <v>0.1927592954990216</v>
      </c>
      <c r="AO73" s="153">
        <f t="shared" si="103"/>
        <v>7.488584474885851E-2</v>
      </c>
      <c r="AP73" s="153">
        <f t="shared" si="103"/>
        <v>0.15611448395490046</v>
      </c>
      <c r="AQ73" s="153">
        <f t="shared" si="103"/>
        <v>0.20064464141821126</v>
      </c>
      <c r="AR73" s="47">
        <f t="shared" si="103"/>
        <v>0.15694967856351161</v>
      </c>
      <c r="AS73" s="153">
        <f t="shared" si="103"/>
        <v>0.13207547169811318</v>
      </c>
      <c r="AT73" s="153">
        <f t="shared" si="103"/>
        <v>0.112999150382328</v>
      </c>
      <c r="AU73" s="153">
        <f t="shared" si="103"/>
        <v>8.7771942985746421E-2</v>
      </c>
      <c r="AV73" s="153">
        <f t="shared" si="103"/>
        <v>1.3422818791946289E-2</v>
      </c>
      <c r="AW73" s="47">
        <f>IFERROR( AW72/AR72-1, "NA")</f>
        <v>8.258287028166289E-2</v>
      </c>
      <c r="AX73" s="153">
        <f t="shared" si="103"/>
        <v>5.0724637681159424E-2</v>
      </c>
      <c r="AY73" s="153">
        <f t="shared" si="103"/>
        <v>5.3435114503816772E-2</v>
      </c>
      <c r="AZ73" s="153">
        <f t="shared" si="103"/>
        <v>7.5862068965517171E-2</v>
      </c>
      <c r="BA73" s="153">
        <f t="shared" si="103"/>
        <v>0.41721854304635753</v>
      </c>
      <c r="BB73" s="47">
        <f>IFERROR( BB72/AW72-1, "NA")</f>
        <v>0.15575221238938064</v>
      </c>
      <c r="BC73" s="264"/>
      <c r="BD73" s="264"/>
      <c r="BE73" s="264"/>
      <c r="BF73" s="264"/>
      <c r="BG73" s="47"/>
      <c r="BH73" s="264"/>
      <c r="BI73" s="264"/>
      <c r="BJ73" s="264"/>
      <c r="BK73" s="264"/>
      <c r="BL73" s="47"/>
      <c r="BM73" s="264"/>
      <c r="BN73" s="264"/>
      <c r="BO73" s="264"/>
      <c r="BP73" s="264"/>
      <c r="BQ73" s="47"/>
      <c r="BR73" s="264"/>
      <c r="BS73" s="264"/>
      <c r="BT73" s="264"/>
      <c r="BU73" s="264"/>
      <c r="BV73" s="47"/>
      <c r="BW73" s="264"/>
      <c r="BX73" s="264"/>
      <c r="BY73" s="264"/>
      <c r="BZ73" s="264"/>
      <c r="CA73" s="47"/>
      <c r="CB73" s="264"/>
      <c r="CC73" s="264"/>
      <c r="CD73" s="264"/>
      <c r="CE73" s="264"/>
      <c r="CF73" s="47"/>
      <c r="CI73"/>
      <c r="CJ73"/>
      <c r="CK73"/>
      <c r="CL73"/>
      <c r="CM73"/>
      <c r="CN73"/>
      <c r="CO73"/>
      <c r="CP73"/>
      <c r="CQ73"/>
      <c r="CR73"/>
      <c r="CS73"/>
    </row>
    <row r="74" spans="1:97" ht="12.75" hidden="1" customHeight="1" outlineLevel="1" x14ac:dyDescent="0.35">
      <c r="A74" s="41"/>
      <c r="B74" s="2" t="s">
        <v>100</v>
      </c>
      <c r="C74" s="43"/>
      <c r="D74" s="43"/>
      <c r="E74" s="215">
        <v>26.5</v>
      </c>
      <c r="F74" s="215">
        <v>26.7</v>
      </c>
      <c r="G74" s="215">
        <v>27.2</v>
      </c>
      <c r="H74" s="215">
        <v>29.5</v>
      </c>
      <c r="I74" s="216">
        <f>SUM(E74:H74)</f>
        <v>109.9</v>
      </c>
      <c r="J74" s="215">
        <v>28</v>
      </c>
      <c r="K74" s="215">
        <v>28.3</v>
      </c>
      <c r="L74" s="215">
        <v>29.3</v>
      </c>
      <c r="M74" s="215">
        <v>33.1</v>
      </c>
      <c r="N74" s="216">
        <f>SUM(J74:M74)</f>
        <v>118.69999999999999</v>
      </c>
      <c r="O74" s="215">
        <v>40.700000000000003</v>
      </c>
      <c r="P74" s="215">
        <v>39.9</v>
      </c>
      <c r="Q74" s="215">
        <v>45.1</v>
      </c>
      <c r="R74" s="215">
        <v>42.5</v>
      </c>
      <c r="S74" s="216">
        <f>SUM(O74:R74)</f>
        <v>168.2</v>
      </c>
      <c r="T74" s="215">
        <v>36.6</v>
      </c>
      <c r="U74" s="215">
        <v>38.200000000000003</v>
      </c>
      <c r="V74" s="215">
        <v>36.700000000000003</v>
      </c>
      <c r="W74" s="215">
        <v>38.4</v>
      </c>
      <c r="X74" s="216">
        <f>SUM(T74:W74)</f>
        <v>149.9</v>
      </c>
      <c r="Y74" s="215">
        <v>36.6</v>
      </c>
      <c r="Z74" s="215">
        <v>37.5</v>
      </c>
      <c r="AA74" s="215">
        <v>35.6</v>
      </c>
      <c r="AB74" s="215">
        <v>37.299999999999997</v>
      </c>
      <c r="AC74" s="216">
        <f>SUM(Y74:AB74)</f>
        <v>147</v>
      </c>
      <c r="AD74" s="215">
        <v>35.700000000000003</v>
      </c>
      <c r="AE74" s="215">
        <v>35.6</v>
      </c>
      <c r="AF74" s="215">
        <v>37.700000000000003</v>
      </c>
      <c r="AG74" s="215">
        <v>40</v>
      </c>
      <c r="AH74" s="216">
        <f>SUM(AD74:AG74)</f>
        <v>149</v>
      </c>
      <c r="AI74" s="215">
        <v>37.5</v>
      </c>
      <c r="AJ74" s="215">
        <v>37.4</v>
      </c>
      <c r="AK74" s="215">
        <v>40.4</v>
      </c>
      <c r="AL74" s="215">
        <v>43.5</v>
      </c>
      <c r="AM74" s="216">
        <f>SUM(AI74:AL74)</f>
        <v>158.80000000000001</v>
      </c>
      <c r="AN74" s="160">
        <v>42.4</v>
      </c>
      <c r="AO74" s="160">
        <v>42.2</v>
      </c>
      <c r="AP74" s="160">
        <f>43.1</f>
        <v>43.1</v>
      </c>
      <c r="AQ74" s="160">
        <v>31</v>
      </c>
      <c r="AR74" s="216">
        <f>SUM(AN74:AQ74)</f>
        <v>158.69999999999999</v>
      </c>
      <c r="AS74" s="162"/>
      <c r="AT74" s="162"/>
      <c r="AU74" s="162"/>
      <c r="AV74" s="162"/>
      <c r="AW74" s="216"/>
      <c r="AX74" s="162"/>
      <c r="AY74" s="162"/>
      <c r="AZ74" s="162"/>
      <c r="BA74" s="162"/>
      <c r="BB74" s="216"/>
      <c r="BC74" s="289"/>
      <c r="BD74" s="289"/>
      <c r="BE74" s="289"/>
      <c r="BF74" s="289"/>
      <c r="BG74" s="216"/>
      <c r="BH74" s="289"/>
      <c r="BI74" s="289"/>
      <c r="BJ74" s="289"/>
      <c r="BK74" s="289"/>
      <c r="BL74" s="216"/>
      <c r="BM74" s="289"/>
      <c r="BN74" s="289"/>
      <c r="BO74" s="289"/>
      <c r="BP74" s="289"/>
      <c r="BQ74" s="216"/>
      <c r="BR74" s="289"/>
      <c r="BS74" s="289"/>
      <c r="BT74" s="289"/>
      <c r="BU74" s="289"/>
      <c r="BV74" s="216"/>
      <c r="BW74" s="289"/>
      <c r="BX74" s="289"/>
      <c r="BY74" s="289"/>
      <c r="BZ74" s="289"/>
      <c r="CA74" s="216"/>
      <c r="CB74" s="289"/>
      <c r="CC74" s="289"/>
      <c r="CD74" s="289"/>
      <c r="CE74" s="289"/>
      <c r="CF74" s="216"/>
      <c r="CI74"/>
      <c r="CJ74"/>
      <c r="CK74"/>
      <c r="CL74"/>
      <c r="CM74"/>
      <c r="CN74"/>
      <c r="CO74"/>
      <c r="CP74"/>
      <c r="CQ74"/>
      <c r="CR74"/>
      <c r="CS74"/>
    </row>
    <row r="75" spans="1:97" ht="12.75" hidden="1" customHeight="1" outlineLevel="1" x14ac:dyDescent="0.35">
      <c r="A75" s="41"/>
      <c r="B75" s="521" t="s">
        <v>56</v>
      </c>
      <c r="C75" s="43"/>
      <c r="D75" s="43"/>
      <c r="E75" s="43"/>
      <c r="F75" s="43"/>
      <c r="G75" s="43"/>
      <c r="H75" s="43"/>
      <c r="I75" s="44"/>
      <c r="J75" s="153">
        <f>IFERROR( J74/E74-1, "NA")</f>
        <v>5.6603773584905648E-2</v>
      </c>
      <c r="K75" s="153">
        <f>IFERROR( K74/F74-1, "NA")</f>
        <v>5.9925093632958948E-2</v>
      </c>
      <c r="L75" s="153">
        <f>IFERROR( L74/G74-1, "NA")</f>
        <v>7.7205882352941124E-2</v>
      </c>
      <c r="M75" s="153">
        <f>IFERROR( M74/H74-1, "NA")</f>
        <v>0.12203389830508482</v>
      </c>
      <c r="N75" s="47">
        <f>N74/I74-1</f>
        <v>8.0072793448589419E-2</v>
      </c>
      <c r="O75" s="153">
        <f>IFERROR( O74/J74-1, "NA")</f>
        <v>0.45357142857142874</v>
      </c>
      <c r="P75" s="153">
        <f>IFERROR( P74/K74-1, "NA")</f>
        <v>0.40989399293286199</v>
      </c>
      <c r="Q75" s="153">
        <f>IFERROR( Q74/L74-1, "NA")</f>
        <v>0.53924914675767921</v>
      </c>
      <c r="R75" s="153">
        <f>IFERROR( R74/M74-1, "NA")</f>
        <v>0.28398791540785484</v>
      </c>
      <c r="S75" s="47">
        <f>S74/N74-1</f>
        <v>0.41701769165964619</v>
      </c>
      <c r="T75" s="153">
        <f>IFERROR( T74/O74-1, "NA")</f>
        <v>-0.10073710073710074</v>
      </c>
      <c r="U75" s="153">
        <f>IFERROR( U74/P74-1, "NA")</f>
        <v>-4.2606516290726759E-2</v>
      </c>
      <c r="V75" s="153">
        <f>IFERROR( V74/Q74-1, "NA")</f>
        <v>-0.18625277161862519</v>
      </c>
      <c r="W75" s="153">
        <f>IFERROR( W74/R74-1, "NA")</f>
        <v>-9.6470588235294197E-2</v>
      </c>
      <c r="X75" s="47">
        <f>X74/S74-1</f>
        <v>-0.10879904875148627</v>
      </c>
      <c r="Y75" s="153">
        <f>IFERROR( Y74/T74-1, "NA")</f>
        <v>0</v>
      </c>
      <c r="Z75" s="153">
        <f>IFERROR( Z74/U74-1, "NA")</f>
        <v>-1.8324607329842979E-2</v>
      </c>
      <c r="AA75" s="153">
        <f>IFERROR( AA74/V74-1, "NA")</f>
        <v>-2.9972752043596729E-2</v>
      </c>
      <c r="AB75" s="153">
        <f>IFERROR( AB74/W74-1, "NA")</f>
        <v>-2.864583333333337E-2</v>
      </c>
      <c r="AC75" s="47">
        <f>AC74/X74-1</f>
        <v>-1.9346230820547095E-2</v>
      </c>
      <c r="AD75" s="153">
        <f>IFERROR( AD74/Y74-1, "NA")</f>
        <v>-2.4590163934426146E-2</v>
      </c>
      <c r="AE75" s="153">
        <f>IFERROR( AE74/Z74-1, "NA")</f>
        <v>-5.0666666666666638E-2</v>
      </c>
      <c r="AF75" s="153">
        <f>IFERROR( AF74/AA74-1, "NA")</f>
        <v>5.8988764044943798E-2</v>
      </c>
      <c r="AG75" s="153">
        <f>IFERROR( AG74/AB74-1, "NA")</f>
        <v>7.2386058981233292E-2</v>
      </c>
      <c r="AH75" s="47">
        <f>AH74/AC74-1</f>
        <v>1.3605442176870763E-2</v>
      </c>
      <c r="AI75" s="153">
        <f>IFERROR( AI74/AD74-1, "NA")</f>
        <v>5.0420168067226712E-2</v>
      </c>
      <c r="AJ75" s="153">
        <f>IFERROR( AJ74/AE74-1, "NA")</f>
        <v>5.0561797752809001E-2</v>
      </c>
      <c r="AK75" s="153">
        <f>IFERROR( AK74/AF74-1, "NA")</f>
        <v>7.1618037135278367E-2</v>
      </c>
      <c r="AL75" s="153">
        <f>IFERROR( AL74/AG74-1, "NA")</f>
        <v>8.7499999999999911E-2</v>
      </c>
      <c r="AM75" s="47">
        <f>AM74/AH74-1</f>
        <v>6.5771812080537062E-2</v>
      </c>
      <c r="AN75" s="153">
        <f>IFERROR( AN74/AI74-1, "NA")</f>
        <v>0.13066666666666671</v>
      </c>
      <c r="AO75" s="153">
        <f>IFERROR( AO74/AJ74-1, "NA")</f>
        <v>0.12834224598930488</v>
      </c>
      <c r="AP75" s="153">
        <f>IFERROR( AP74/AK74-1, "NA")</f>
        <v>6.6831683168316891E-2</v>
      </c>
      <c r="AQ75" s="153">
        <f>IFERROR( AQ74/AL74-1, "NA")</f>
        <v>-0.28735632183908044</v>
      </c>
      <c r="AR75" s="47">
        <f>IFERROR( AR74/AM74-1, "NA")</f>
        <v>-6.2972292191454393E-4</v>
      </c>
      <c r="AS75" s="205"/>
      <c r="AT75" s="205"/>
      <c r="AU75" s="205"/>
      <c r="AV75" s="205"/>
      <c r="AW75" s="47"/>
      <c r="AX75" s="205"/>
      <c r="AY75" s="205"/>
      <c r="AZ75" s="205"/>
      <c r="BA75" s="205"/>
      <c r="BB75" s="47"/>
      <c r="BC75" s="264"/>
      <c r="BD75" s="264"/>
      <c r="BE75" s="264"/>
      <c r="BF75" s="264" t="s">
        <v>259</v>
      </c>
      <c r="BG75" s="47"/>
      <c r="BH75" s="264"/>
      <c r="BI75" s="264"/>
      <c r="BJ75" s="264"/>
      <c r="BK75" s="264"/>
      <c r="BL75" s="47"/>
      <c r="BM75" s="264"/>
      <c r="BN75" s="264"/>
      <c r="BO75" s="264"/>
      <c r="BP75" s="264"/>
      <c r="BQ75" s="47"/>
      <c r="BR75" s="264"/>
      <c r="BS75" s="264"/>
      <c r="BT75" s="264"/>
      <c r="BU75" s="264"/>
      <c r="BV75" s="47"/>
      <c r="BW75" s="264"/>
      <c r="BX75" s="264"/>
      <c r="BY75" s="264"/>
      <c r="BZ75" s="264"/>
      <c r="CA75" s="47"/>
      <c r="CB75" s="264"/>
      <c r="CC75" s="264"/>
      <c r="CD75" s="264"/>
      <c r="CE75" s="264"/>
      <c r="CF75" s="47"/>
      <c r="CI75"/>
      <c r="CJ75"/>
      <c r="CK75"/>
      <c r="CL75"/>
      <c r="CM75"/>
      <c r="CN75"/>
      <c r="CO75"/>
      <c r="CP75"/>
      <c r="CQ75"/>
      <c r="CR75"/>
      <c r="CS75"/>
    </row>
    <row r="76" spans="1:97" ht="12.75" hidden="1" customHeight="1" outlineLevel="1" x14ac:dyDescent="0.35">
      <c r="A76" s="41"/>
      <c r="B76" s="520" t="s">
        <v>416</v>
      </c>
      <c r="C76" s="516"/>
      <c r="D76" s="190"/>
      <c r="E76" s="190"/>
      <c r="F76" s="190"/>
      <c r="G76" s="190"/>
      <c r="H76" s="190"/>
      <c r="I76" s="517"/>
      <c r="J76" s="518"/>
      <c r="K76" s="518"/>
      <c r="L76" s="518"/>
      <c r="M76" s="518"/>
      <c r="N76" s="517"/>
      <c r="O76" s="518"/>
      <c r="P76" s="518"/>
      <c r="Q76" s="518"/>
      <c r="R76" s="518"/>
      <c r="S76" s="517"/>
      <c r="T76" s="518"/>
      <c r="U76" s="518"/>
      <c r="V76" s="518"/>
      <c r="W76" s="518"/>
      <c r="X76" s="517"/>
      <c r="Y76" s="518"/>
      <c r="Z76" s="518"/>
      <c r="AA76" s="518"/>
      <c r="AB76" s="518"/>
      <c r="AC76" s="519"/>
      <c r="AD76" s="518"/>
      <c r="AE76" s="518"/>
      <c r="AF76" s="518"/>
      <c r="AG76" s="518"/>
      <c r="AH76" s="519"/>
      <c r="AI76" s="518"/>
      <c r="AJ76" s="518"/>
      <c r="AK76" s="518"/>
      <c r="AL76" s="518"/>
      <c r="AM76" s="519"/>
      <c r="AN76" s="518"/>
      <c r="AO76" s="518"/>
      <c r="AP76" s="518"/>
      <c r="AQ76" s="518"/>
      <c r="AR76" s="519"/>
      <c r="AS76" s="518"/>
      <c r="AT76" s="518"/>
      <c r="AU76" s="518"/>
      <c r="AV76" s="518"/>
      <c r="AW76" s="519"/>
      <c r="AX76" s="518"/>
      <c r="AY76" s="518"/>
      <c r="AZ76" s="518"/>
      <c r="BA76" s="518"/>
      <c r="BB76" s="519"/>
      <c r="BC76" s="620"/>
      <c r="BD76" s="620"/>
      <c r="BE76" s="518"/>
      <c r="BF76" s="518"/>
      <c r="BG76" s="519"/>
      <c r="BH76" s="620"/>
      <c r="BI76" s="620"/>
      <c r="BJ76" s="518"/>
      <c r="BK76" s="518"/>
      <c r="BL76" s="519"/>
      <c r="BM76" s="518"/>
      <c r="BN76" s="518"/>
      <c r="BO76" s="518"/>
      <c r="BP76" s="518"/>
      <c r="BQ76" s="519"/>
      <c r="BR76" s="518"/>
      <c r="BS76" s="518"/>
      <c r="BT76" s="518"/>
      <c r="BU76" s="518"/>
      <c r="BV76" s="519"/>
      <c r="BW76" s="518"/>
      <c r="BX76" s="518"/>
      <c r="BY76" s="518"/>
      <c r="BZ76" s="518"/>
      <c r="CA76" s="519"/>
      <c r="CB76" s="518"/>
      <c r="CC76" s="518"/>
      <c r="CD76" s="518"/>
      <c r="CE76" s="518"/>
      <c r="CF76" s="519"/>
      <c r="CI76"/>
      <c r="CJ76"/>
      <c r="CK76"/>
      <c r="CL76"/>
      <c r="CM76"/>
      <c r="CN76"/>
      <c r="CO76"/>
      <c r="CP76"/>
      <c r="CQ76"/>
      <c r="CR76"/>
      <c r="CS76"/>
    </row>
    <row r="77" spans="1:97" ht="12.75" hidden="1" customHeight="1" outlineLevel="1" x14ac:dyDescent="0.35">
      <c r="A77" s="41"/>
      <c r="B77" s="2" t="s">
        <v>463</v>
      </c>
      <c r="C77" s="43"/>
      <c r="D77" s="84"/>
      <c r="E77" s="173"/>
      <c r="F77" s="173"/>
      <c r="G77" s="173"/>
      <c r="H77" s="173"/>
      <c r="I77" s="341"/>
      <c r="J77" s="173"/>
      <c r="K77" s="173"/>
      <c r="L77" s="173"/>
      <c r="M77" s="173"/>
      <c r="N77" s="341"/>
      <c r="O77" s="173"/>
      <c r="P77" s="173"/>
      <c r="Q77" s="173"/>
      <c r="R77" s="173"/>
      <c r="S77" s="341"/>
      <c r="T77" s="173"/>
      <c r="U77" s="173"/>
      <c r="V77" s="173"/>
      <c r="W77" s="173"/>
      <c r="X77" s="341"/>
      <c r="Y77" s="173"/>
      <c r="Z77" s="173"/>
      <c r="AA77" s="173"/>
      <c r="AB77" s="173"/>
      <c r="AC77" s="341"/>
      <c r="AD77" s="173"/>
      <c r="AE77" s="173"/>
      <c r="AF77" s="173"/>
      <c r="AG77" s="173"/>
      <c r="AH77" s="341"/>
      <c r="AI77" s="173"/>
      <c r="AJ77" s="173"/>
      <c r="AK77" s="173"/>
      <c r="AL77" s="173"/>
      <c r="AM77" s="341"/>
      <c r="AN77" s="173"/>
      <c r="AO77" s="173"/>
      <c r="AP77" s="173"/>
      <c r="AQ77" s="173"/>
      <c r="AR77" s="559"/>
      <c r="AS77" s="173">
        <v>141</v>
      </c>
      <c r="AT77" s="173">
        <v>143</v>
      </c>
      <c r="AU77" s="173">
        <v>151</v>
      </c>
      <c r="AV77" s="173">
        <v>159</v>
      </c>
      <c r="AW77" s="522">
        <f>SUM(AS77:AV77)</f>
        <v>594</v>
      </c>
      <c r="AX77" s="173">
        <v>168</v>
      </c>
      <c r="AY77" s="173">
        <v>176</v>
      </c>
      <c r="AZ77" s="173">
        <v>174</v>
      </c>
      <c r="BA77" s="173">
        <v>180</v>
      </c>
      <c r="BB77" s="522">
        <f>SUM(AX77:BA77)</f>
        <v>698</v>
      </c>
      <c r="BC77" s="173">
        <v>178</v>
      </c>
      <c r="BD77" s="173">
        <v>178</v>
      </c>
      <c r="BE77" s="173">
        <v>176</v>
      </c>
      <c r="BF77" s="173">
        <v>180</v>
      </c>
      <c r="BG77" s="341">
        <f>SUM(BC77:BF77)</f>
        <v>712</v>
      </c>
      <c r="BH77" s="173">
        <v>188</v>
      </c>
      <c r="BI77" s="173">
        <v>196</v>
      </c>
      <c r="BJ77" s="173">
        <v>200</v>
      </c>
      <c r="BK77" s="173">
        <v>205</v>
      </c>
      <c r="BL77" s="341">
        <f>SUM(BH77:BK77)</f>
        <v>789</v>
      </c>
      <c r="BM77" s="173">
        <v>212</v>
      </c>
      <c r="BN77" s="173">
        <v>210</v>
      </c>
      <c r="BO77" s="173">
        <v>213</v>
      </c>
      <c r="BP77" s="173">
        <v>218</v>
      </c>
      <c r="BQ77" s="341">
        <f>SUM(BM77:BP77)</f>
        <v>853</v>
      </c>
      <c r="BR77" s="173">
        <v>218</v>
      </c>
      <c r="BS77" s="173">
        <v>226</v>
      </c>
      <c r="BT77" s="173">
        <v>233</v>
      </c>
      <c r="BU77" s="175">
        <f>BP77*(1+BU78)</f>
        <v>237.31006842007235</v>
      </c>
      <c r="BV77" s="341">
        <f>SUM(BR77:BU77)</f>
        <v>914.31006842007241</v>
      </c>
      <c r="BW77" s="175">
        <f>BR77*(1+BW78)</f>
        <v>238.54386644871656</v>
      </c>
      <c r="BX77" s="175">
        <f>BS77*(1+BX78)</f>
        <v>241.62036660878246</v>
      </c>
      <c r="BY77" s="175">
        <f>BT77*(1+BY78)</f>
        <v>247.43738338994899</v>
      </c>
      <c r="BZ77" s="175">
        <f>BU77*(1+BZ78)</f>
        <v>252.74079075458164</v>
      </c>
      <c r="CA77" s="341">
        <f>SUM(BW77:BZ77)</f>
        <v>980.34240720202968</v>
      </c>
      <c r="CB77" s="175">
        <f>BW77*(1+CB78)</f>
        <v>256.32691258787372</v>
      </c>
      <c r="CC77" s="175">
        <f>BX77*(1+CC78)</f>
        <v>259.6327606876207</v>
      </c>
      <c r="CD77" s="175">
        <f>BY77*(1+CD78)</f>
        <v>265.88342633744918</v>
      </c>
      <c r="CE77" s="175">
        <f>BZ77*(1+CE78)</f>
        <v>271.58219384805432</v>
      </c>
      <c r="CF77" s="341">
        <f>SUM(CB77:CE77)</f>
        <v>1053.4252934609981</v>
      </c>
      <c r="CI77"/>
      <c r="CJ77"/>
      <c r="CK77"/>
      <c r="CL77"/>
      <c r="CM77"/>
      <c r="CN77"/>
      <c r="CO77"/>
      <c r="CP77"/>
      <c r="CQ77"/>
      <c r="CR77"/>
      <c r="CS77"/>
    </row>
    <row r="78" spans="1:97" ht="12.75" hidden="1" customHeight="1" outlineLevel="1" x14ac:dyDescent="0.35">
      <c r="A78" s="41"/>
      <c r="B78" s="42" t="s">
        <v>24</v>
      </c>
      <c r="C78" s="43"/>
      <c r="D78" s="84"/>
      <c r="E78" s="43"/>
      <c r="F78" s="43"/>
      <c r="G78" s="43"/>
      <c r="H78" s="43"/>
      <c r="I78" s="44"/>
      <c r="J78" s="153"/>
      <c r="K78" s="153"/>
      <c r="L78" s="153"/>
      <c r="M78" s="153"/>
      <c r="N78" s="47"/>
      <c r="O78" s="153"/>
      <c r="P78" s="153"/>
      <c r="Q78" s="153"/>
      <c r="R78" s="153"/>
      <c r="S78" s="47"/>
      <c r="T78" s="153"/>
      <c r="U78" s="153"/>
      <c r="V78" s="153"/>
      <c r="W78" s="153"/>
      <c r="X78" s="47"/>
      <c r="Y78" s="153"/>
      <c r="Z78" s="153"/>
      <c r="AA78" s="153"/>
      <c r="AB78" s="153"/>
      <c r="AC78" s="47"/>
      <c r="AD78" s="153"/>
      <c r="AE78" s="153"/>
      <c r="AF78" s="153"/>
      <c r="AG78" s="153"/>
      <c r="AH78" s="47"/>
      <c r="AI78" s="153"/>
      <c r="AJ78" s="153"/>
      <c r="AK78" s="153"/>
      <c r="AL78" s="153"/>
      <c r="AM78" s="47"/>
      <c r="AN78" s="153"/>
      <c r="AO78" s="153"/>
      <c r="AP78" s="153"/>
      <c r="AQ78" s="153"/>
      <c r="AR78" s="47"/>
      <c r="AS78" s="47"/>
      <c r="AT78" s="47"/>
      <c r="AU78" s="47"/>
      <c r="AV78" s="47"/>
      <c r="AW78" s="47"/>
      <c r="AX78" s="523">
        <f>AX77/AS77-1</f>
        <v>0.1914893617021276</v>
      </c>
      <c r="AY78" s="523">
        <f>AY77/AT77-1</f>
        <v>0.23076923076923084</v>
      </c>
      <c r="AZ78" s="523">
        <f>AZ77/AU77-1</f>
        <v>0.15231788079470188</v>
      </c>
      <c r="BA78" s="523">
        <f>BA77/AV77-1</f>
        <v>0.13207547169811318</v>
      </c>
      <c r="BB78" s="49">
        <f>BB77/AW77-1</f>
        <v>0.17508417508417518</v>
      </c>
      <c r="BC78" s="147">
        <f t="shared" ref="BC78:BT78" si="104">BC77/AX77-1</f>
        <v>5.9523809523809534E-2</v>
      </c>
      <c r="BD78" s="147">
        <f t="shared" si="104"/>
        <v>1.1363636363636465E-2</v>
      </c>
      <c r="BE78" s="147">
        <f t="shared" si="104"/>
        <v>1.1494252873563315E-2</v>
      </c>
      <c r="BF78" s="147">
        <f t="shared" si="104"/>
        <v>0</v>
      </c>
      <c r="BG78" s="47">
        <f t="shared" si="104"/>
        <v>2.005730659025784E-2</v>
      </c>
      <c r="BH78" s="147">
        <f t="shared" si="104"/>
        <v>5.6179775280898792E-2</v>
      </c>
      <c r="BI78" s="147">
        <f t="shared" si="104"/>
        <v>0.101123595505618</v>
      </c>
      <c r="BJ78" s="147">
        <f t="shared" si="104"/>
        <v>0.13636363636363646</v>
      </c>
      <c r="BK78" s="147">
        <f t="shared" si="104"/>
        <v>0.13888888888888884</v>
      </c>
      <c r="BL78" s="47">
        <f>BL77/BG77-1</f>
        <v>0.10814606741573041</v>
      </c>
      <c r="BM78" s="147">
        <f t="shared" si="104"/>
        <v>0.12765957446808507</v>
      </c>
      <c r="BN78" s="147">
        <f t="shared" si="104"/>
        <v>7.1428571428571397E-2</v>
      </c>
      <c r="BO78" s="147">
        <f t="shared" si="104"/>
        <v>6.4999999999999947E-2</v>
      </c>
      <c r="BP78" s="147">
        <f t="shared" si="104"/>
        <v>6.341463414634152E-2</v>
      </c>
      <c r="BQ78" s="47">
        <f>BQ77/BL77-1</f>
        <v>8.1115335868187532E-2</v>
      </c>
      <c r="BR78" s="147">
        <f t="shared" si="104"/>
        <v>2.8301886792452935E-2</v>
      </c>
      <c r="BS78" s="147">
        <f t="shared" si="104"/>
        <v>7.6190476190476142E-2</v>
      </c>
      <c r="BT78" s="147">
        <f t="shared" si="104"/>
        <v>9.3896713615023497E-2</v>
      </c>
      <c r="BU78" s="147">
        <f>BU79+BU80</f>
        <v>8.857829550491908E-2</v>
      </c>
      <c r="BV78" s="47">
        <f>BV77/BQ77-1</f>
        <v>7.1875812919193871E-2</v>
      </c>
      <c r="BW78" s="147">
        <f>BW79+BW80</f>
        <v>9.4237919489525424E-2</v>
      </c>
      <c r="BX78" s="147">
        <f>BX79+BX80</f>
        <v>6.9116666410541802E-2</v>
      </c>
      <c r="BY78" s="147">
        <f>BY79+BY80</f>
        <v>6.1963018840982695E-2</v>
      </c>
      <c r="BZ78" s="147">
        <f>BZ79+BZ80</f>
        <v>6.5023462498838086E-2</v>
      </c>
      <c r="CA78" s="47">
        <f>CA77/BV77-1</f>
        <v>7.2220946769252059E-2</v>
      </c>
      <c r="CB78" s="147">
        <f>CB79+CB80</f>
        <v>7.4548326913197821E-2</v>
      </c>
      <c r="CC78" s="147">
        <f>CC79+CC80</f>
        <v>7.4548326913197821E-2</v>
      </c>
      <c r="CD78" s="147">
        <f>CD79+CD80</f>
        <v>7.4548326913197821E-2</v>
      </c>
      <c r="CE78" s="147">
        <f>CE79+CE80</f>
        <v>7.4548326913197821E-2</v>
      </c>
      <c r="CF78" s="47">
        <f>CF77/CA77-1</f>
        <v>7.4548326913198126E-2</v>
      </c>
      <c r="CI78"/>
      <c r="CJ78"/>
      <c r="CK78"/>
      <c r="CL78"/>
      <c r="CM78"/>
      <c r="CN78"/>
      <c r="CO78"/>
      <c r="CP78"/>
      <c r="CQ78"/>
      <c r="CR78"/>
      <c r="CS78"/>
    </row>
    <row r="79" spans="1:97" ht="12.75" hidden="1" customHeight="1" outlineLevel="1" x14ac:dyDescent="0.35">
      <c r="A79" s="41"/>
      <c r="B79" s="42" t="s">
        <v>25</v>
      </c>
      <c r="C79" s="43"/>
      <c r="D79" s="84"/>
      <c r="E79" s="43"/>
      <c r="F79" s="43"/>
      <c r="G79" s="43"/>
      <c r="H79" s="43"/>
      <c r="I79" s="44"/>
      <c r="J79" s="153"/>
      <c r="K79" s="153"/>
      <c r="L79" s="153"/>
      <c r="M79" s="153"/>
      <c r="N79" s="47"/>
      <c r="O79" s="153"/>
      <c r="P79" s="153"/>
      <c r="Q79" s="153"/>
      <c r="R79" s="153"/>
      <c r="S79" s="47"/>
      <c r="T79" s="153"/>
      <c r="U79" s="153"/>
      <c r="V79" s="153"/>
      <c r="W79" s="153"/>
      <c r="X79" s="47"/>
      <c r="Y79" s="153"/>
      <c r="Z79" s="153"/>
      <c r="AA79" s="153"/>
      <c r="AB79" s="153"/>
      <c r="AC79" s="47"/>
      <c r="AD79" s="153"/>
      <c r="AE79" s="153"/>
      <c r="AF79" s="153"/>
      <c r="AG79" s="153"/>
      <c r="AH79" s="47"/>
      <c r="AI79" s="153"/>
      <c r="AJ79" s="153"/>
      <c r="AK79" s="153"/>
      <c r="AL79" s="153"/>
      <c r="AM79" s="47"/>
      <c r="AN79" s="153"/>
      <c r="AO79" s="153"/>
      <c r="AP79" s="153"/>
      <c r="AQ79" s="153"/>
      <c r="AR79" s="47"/>
      <c r="AS79" s="47"/>
      <c r="AT79" s="47"/>
      <c r="AU79" s="47"/>
      <c r="AV79" s="47"/>
      <c r="AW79" s="47"/>
      <c r="AX79" s="47"/>
      <c r="AY79" s="47"/>
      <c r="AZ79" s="47"/>
      <c r="BA79" s="47"/>
      <c r="BB79" s="47">
        <f>BG89/BG95</f>
        <v>0.44962080173347779</v>
      </c>
      <c r="BC79" s="205">
        <f>2/AX77</f>
        <v>1.1904761904761904E-2</v>
      </c>
      <c r="BD79" s="205">
        <v>0</v>
      </c>
      <c r="BE79" s="205">
        <v>0</v>
      </c>
      <c r="BF79" s="205">
        <v>0</v>
      </c>
      <c r="BG79" s="47">
        <f>SUMPRODUCT(BC79:BF79,AX$77:BA$77)/BB$77</f>
        <v>2.8653295128939827E-3</v>
      </c>
      <c r="BH79" s="205">
        <v>0</v>
      </c>
      <c r="BI79" s="205">
        <v>0</v>
      </c>
      <c r="BJ79" s="205">
        <v>0</v>
      </c>
      <c r="BK79" s="205">
        <v>0</v>
      </c>
      <c r="BL79" s="47">
        <f>SUMPRODUCT(BH79:BK79,BC$77:BF$77)/BG$77</f>
        <v>0</v>
      </c>
      <c r="BM79" s="205">
        <v>0</v>
      </c>
      <c r="BN79" s="205">
        <v>0</v>
      </c>
      <c r="BO79" s="205">
        <f>BO219/BJ77</f>
        <v>0</v>
      </c>
      <c r="BP79" s="205">
        <f>BP219/BK77</f>
        <v>0</v>
      </c>
      <c r="BQ79" s="47">
        <f>SUMPRODUCT(BM79:BP79,BH$77:BK$77)/BL$77</f>
        <v>0</v>
      </c>
      <c r="BR79" s="205">
        <v>0</v>
      </c>
      <c r="BS79" s="205">
        <v>0</v>
      </c>
      <c r="BT79" s="205">
        <v>0</v>
      </c>
      <c r="BU79" s="205">
        <f>BU219/BP77</f>
        <v>0</v>
      </c>
      <c r="BV79" s="47">
        <f>SUMPRODUCT(BR79:BU79,BM$77:BP$77)/BQ$77</f>
        <v>0</v>
      </c>
      <c r="BW79" s="205">
        <f>BW219/BR77</f>
        <v>0</v>
      </c>
      <c r="BX79" s="205">
        <f>BX219/BS77</f>
        <v>0</v>
      </c>
      <c r="BY79" s="205">
        <f>BY219/BT77</f>
        <v>0</v>
      </c>
      <c r="BZ79" s="205">
        <f>BZ219/BU77</f>
        <v>0</v>
      </c>
      <c r="CA79" s="47">
        <f>SUMPRODUCT(BW79:BZ79,BR$77:BU$77)/BV$77</f>
        <v>0</v>
      </c>
      <c r="CB79" s="205">
        <f>CB219/BW77</f>
        <v>0</v>
      </c>
      <c r="CC79" s="205">
        <f>CC219/BX77</f>
        <v>0</v>
      </c>
      <c r="CD79" s="205">
        <f>CD219/BY77</f>
        <v>0</v>
      </c>
      <c r="CE79" s="205">
        <f>CE219/BZ77</f>
        <v>0</v>
      </c>
      <c r="CF79" s="47">
        <f>SUMPRODUCT(CB79:CE79,BW$77:BZ$77)/CA$77</f>
        <v>0</v>
      </c>
      <c r="CI79"/>
      <c r="CJ79"/>
      <c r="CK79"/>
      <c r="CL79"/>
      <c r="CM79"/>
      <c r="CN79"/>
      <c r="CO79"/>
      <c r="CP79"/>
      <c r="CQ79"/>
      <c r="CR79"/>
      <c r="CS79"/>
    </row>
    <row r="80" spans="1:97" ht="12.75" hidden="1" customHeight="1" outlineLevel="1" x14ac:dyDescent="0.35">
      <c r="A80" s="41"/>
      <c r="B80" s="42" t="s">
        <v>64</v>
      </c>
      <c r="C80" s="43"/>
      <c r="D80" s="84"/>
      <c r="E80" s="43"/>
      <c r="F80" s="43"/>
      <c r="G80" s="43"/>
      <c r="H80" s="43"/>
      <c r="I80" s="44"/>
      <c r="J80" s="153"/>
      <c r="K80" s="153"/>
      <c r="L80" s="153"/>
      <c r="M80" s="153"/>
      <c r="N80" s="47"/>
      <c r="O80" s="153"/>
      <c r="P80" s="153"/>
      <c r="Q80" s="153"/>
      <c r="R80" s="153"/>
      <c r="S80" s="47"/>
      <c r="T80" s="153"/>
      <c r="U80" s="153"/>
      <c r="V80" s="153"/>
      <c r="W80" s="153"/>
      <c r="X80" s="47"/>
      <c r="Y80" s="153"/>
      <c r="Z80" s="153"/>
      <c r="AA80" s="153"/>
      <c r="AB80" s="153"/>
      <c r="AC80" s="47"/>
      <c r="AD80" s="153"/>
      <c r="AE80" s="153"/>
      <c r="AF80" s="153"/>
      <c r="AG80" s="153"/>
      <c r="AH80" s="47"/>
      <c r="AI80" s="153"/>
      <c r="AJ80" s="153"/>
      <c r="AK80" s="153"/>
      <c r="AL80" s="153"/>
      <c r="AM80" s="47"/>
      <c r="AN80" s="153"/>
      <c r="AO80" s="153"/>
      <c r="AP80" s="153"/>
      <c r="AQ80" s="153"/>
      <c r="AR80" s="47"/>
      <c r="AS80" s="47"/>
      <c r="AT80" s="47"/>
      <c r="AU80" s="47"/>
      <c r="AV80" s="47"/>
      <c r="AW80" s="47"/>
      <c r="AX80" s="47"/>
      <c r="AY80" s="47"/>
      <c r="AZ80" s="47"/>
      <c r="BA80" s="47"/>
      <c r="BB80" s="47"/>
      <c r="BC80" s="147">
        <f>BC78-BC79</f>
        <v>4.761904761904763E-2</v>
      </c>
      <c r="BD80" s="147">
        <f>BD78-BD79</f>
        <v>1.1363636363636465E-2</v>
      </c>
      <c r="BE80" s="147">
        <f>BE78-BE79</f>
        <v>1.1494252873563315E-2</v>
      </c>
      <c r="BF80" s="147">
        <f>BF78-BF79</f>
        <v>0</v>
      </c>
      <c r="BG80" s="47">
        <f>SUMPRODUCT(BC80:BF80,AX$77:BA$77)/BB$77</f>
        <v>1.7191977077363949E-2</v>
      </c>
      <c r="BH80" s="147">
        <f>BH78-BH79</f>
        <v>5.6179775280898792E-2</v>
      </c>
      <c r="BI80" s="147">
        <f>BI78-BI79</f>
        <v>0.101123595505618</v>
      </c>
      <c r="BJ80" s="147">
        <f>BJ78-BJ79</f>
        <v>0.13636363636363646</v>
      </c>
      <c r="BK80" s="147">
        <f>BK78-BK79</f>
        <v>0.13888888888888884</v>
      </c>
      <c r="BL80" s="47">
        <f>SUMPRODUCT(BH80:BK80,BC$77:BF$77)/BG$77</f>
        <v>0.10814606741573034</v>
      </c>
      <c r="BM80" s="147">
        <f>BM78-BM79</f>
        <v>0.12765957446808507</v>
      </c>
      <c r="BN80" s="147">
        <f>BN78-BN79</f>
        <v>7.1428571428571397E-2</v>
      </c>
      <c r="BO80" s="147">
        <f>BO78-BO79</f>
        <v>6.4999999999999947E-2</v>
      </c>
      <c r="BP80" s="147">
        <f>BP78-BP79</f>
        <v>6.341463414634152E-2</v>
      </c>
      <c r="BQ80" s="47">
        <f>SUMPRODUCT(BM80:BP80,BH$77:BK$77)/BL$77</f>
        <v>8.111533586818756E-2</v>
      </c>
      <c r="BR80" s="147">
        <f>BR78-BR79</f>
        <v>2.8301886792452935E-2</v>
      </c>
      <c r="BS80" s="147">
        <f>BS78-BS79</f>
        <v>7.6190476190476142E-2</v>
      </c>
      <c r="BT80" s="147">
        <f>BT78-BT79</f>
        <v>9.3896713615023497E-2</v>
      </c>
      <c r="BU80" s="147">
        <f>BU81+BU82</f>
        <v>8.857829550491908E-2</v>
      </c>
      <c r="BV80" s="47">
        <f>SUMPRODUCT(BR80:BU80,BM$77:BP$77)/BQ$77</f>
        <v>7.1875812919193871E-2</v>
      </c>
      <c r="BW80" s="147">
        <f>BW81+BW82</f>
        <v>9.4237919489525424E-2</v>
      </c>
      <c r="BX80" s="147">
        <f>BX81+BX82</f>
        <v>6.9116666410541802E-2</v>
      </c>
      <c r="BY80" s="147">
        <f>BY81+BY82</f>
        <v>6.1963018840982695E-2</v>
      </c>
      <c r="BZ80" s="147">
        <f>BZ81+BZ82</f>
        <v>6.5023462498838086E-2</v>
      </c>
      <c r="CA80" s="47">
        <f>SUMPRODUCT(BW80:BZ80,BR$77:BU$77)/BV$77</f>
        <v>7.2220946769252031E-2</v>
      </c>
      <c r="CB80" s="147">
        <f>CB81+CB82</f>
        <v>7.4548326913197821E-2</v>
      </c>
      <c r="CC80" s="147">
        <f>CC81+CC82</f>
        <v>7.4548326913197821E-2</v>
      </c>
      <c r="CD80" s="147">
        <f>CD81+CD82</f>
        <v>7.4548326913197821E-2</v>
      </c>
      <c r="CE80" s="147">
        <f>CE81+CE82</f>
        <v>7.4548326913197821E-2</v>
      </c>
      <c r="CF80" s="47">
        <f>SUMPRODUCT(CB80:CE80,BW$77:BZ$77)/CA$77</f>
        <v>7.4548326913197821E-2</v>
      </c>
      <c r="CI80"/>
      <c r="CJ80"/>
      <c r="CK80"/>
      <c r="CL80"/>
      <c r="CM80"/>
      <c r="CN80"/>
      <c r="CO80"/>
      <c r="CP80"/>
      <c r="CQ80"/>
      <c r="CR80"/>
      <c r="CS80"/>
    </row>
    <row r="81" spans="1:97" ht="12.75" hidden="1" customHeight="1" outlineLevel="1" x14ac:dyDescent="0.35">
      <c r="A81" s="41"/>
      <c r="B81" s="42" t="s">
        <v>27</v>
      </c>
      <c r="C81" s="43"/>
      <c r="D81" s="84"/>
      <c r="E81" s="43"/>
      <c r="F81" s="43"/>
      <c r="G81" s="43"/>
      <c r="H81" s="43"/>
      <c r="I81" s="44"/>
      <c r="J81" s="153"/>
      <c r="K81" s="153"/>
      <c r="L81" s="153"/>
      <c r="M81" s="153"/>
      <c r="N81" s="47"/>
      <c r="O81" s="153"/>
      <c r="P81" s="153"/>
      <c r="Q81" s="153"/>
      <c r="R81" s="153"/>
      <c r="S81" s="47"/>
      <c r="T81" s="153"/>
      <c r="U81" s="153"/>
      <c r="V81" s="153"/>
      <c r="W81" s="153"/>
      <c r="X81" s="47"/>
      <c r="Y81" s="153"/>
      <c r="Z81" s="153"/>
      <c r="AA81" s="153"/>
      <c r="AB81" s="153"/>
      <c r="AC81" s="47"/>
      <c r="AD81" s="153"/>
      <c r="AE81" s="153"/>
      <c r="AF81" s="153"/>
      <c r="AG81" s="153"/>
      <c r="AH81" s="47"/>
      <c r="AI81" s="153"/>
      <c r="AJ81" s="153"/>
      <c r="AK81" s="153"/>
      <c r="AL81" s="153"/>
      <c r="AM81" s="47"/>
      <c r="AN81" s="153"/>
      <c r="AO81" s="153"/>
      <c r="AP81" s="153"/>
      <c r="AQ81" s="153"/>
      <c r="AR81" s="47"/>
      <c r="AS81" s="47"/>
      <c r="AT81" s="47"/>
      <c r="AU81" s="47"/>
      <c r="AV81" s="47"/>
      <c r="AW81" s="47"/>
      <c r="AX81" s="47"/>
      <c r="AY81" s="47"/>
      <c r="AZ81" s="47"/>
      <c r="BA81" s="47"/>
      <c r="BB81" s="47"/>
      <c r="BC81" s="205">
        <f>-7/AX77</f>
        <v>-4.1666666666666664E-2</v>
      </c>
      <c r="BD81" s="205">
        <f>-12/AY77</f>
        <v>-6.8181818181818177E-2</v>
      </c>
      <c r="BE81" s="205">
        <f>-19/AZ77</f>
        <v>-0.10919540229885058</v>
      </c>
      <c r="BF81" s="205">
        <f>-14/BA77</f>
        <v>-7.7777777777777779E-2</v>
      </c>
      <c r="BG81" s="47">
        <f>SUMPRODUCT(BC81:BF81,AX$77:BA$77)/BB$77</f>
        <v>-7.4498567335243557E-2</v>
      </c>
      <c r="BH81" s="205">
        <f>-8/BC77</f>
        <v>-4.49438202247191E-2</v>
      </c>
      <c r="BI81" s="205">
        <v>3.0000000000000001E-3</v>
      </c>
      <c r="BJ81" s="205">
        <f>9/BE77</f>
        <v>5.113636363636364E-2</v>
      </c>
      <c r="BK81" s="205">
        <f>5/BF77</f>
        <v>2.7777777777777776E-2</v>
      </c>
      <c r="BL81" s="47">
        <f>SUMPRODUCT(BH81:BK81,BC$77:BF$77)/BG$77</f>
        <v>9.1769662921348319E-3</v>
      </c>
      <c r="BM81" s="205">
        <v>0</v>
      </c>
      <c r="BN81" s="205">
        <f>-1/BI77</f>
        <v>-5.1020408163265302E-3</v>
      </c>
      <c r="BO81" s="205">
        <f>2/BJ77</f>
        <v>0.01</v>
      </c>
      <c r="BP81" s="205">
        <v>0</v>
      </c>
      <c r="BQ81" s="47">
        <f>SUMPRODUCT(BM81:BP81,BH$77:BK$77)/BL$77</f>
        <v>1.2674271229404308E-3</v>
      </c>
      <c r="BR81" s="205">
        <f>-4/BM77</f>
        <v>-1.8867924528301886E-2</v>
      </c>
      <c r="BS81" s="205">
        <f>6/BN77</f>
        <v>2.8571428571428571E-2</v>
      </c>
      <c r="BT81" s="205">
        <f>6/BO77</f>
        <v>2.8169014084507043E-2</v>
      </c>
      <c r="BU81" s="50">
        <f>BU$248</f>
        <v>2.8578295504919089E-2</v>
      </c>
      <c r="BV81" s="47">
        <f>SUMPRODUCT(BR81:BU81,BM$77:BP$77)/BQ$77</f>
        <v>1.668237798367217E-2</v>
      </c>
      <c r="BW81" s="50">
        <f>BW$248</f>
        <v>2.9237919489525425E-2</v>
      </c>
      <c r="BX81" s="50">
        <f>BX$248</f>
        <v>4.1166664105418025E-3</v>
      </c>
      <c r="BY81" s="50">
        <f>BY$248</f>
        <v>-3.0369811590173091E-3</v>
      </c>
      <c r="BZ81" s="50">
        <f>BZ$248</f>
        <v>-4.9765375011619171E-3</v>
      </c>
      <c r="CA81" s="47">
        <f>SUMPRODUCT(BW81:BZ81,BR$77:BU$77)/BV$77</f>
        <v>5.9231919013102204E-3</v>
      </c>
      <c r="CB81" s="50">
        <f>CB$248</f>
        <v>-4.5167308680217231E-4</v>
      </c>
      <c r="CC81" s="50">
        <f>CC$248</f>
        <v>-4.5167308680217231E-4</v>
      </c>
      <c r="CD81" s="50">
        <f>CD$248</f>
        <v>-4.5167308680217231E-4</v>
      </c>
      <c r="CE81" s="50">
        <f>CE$248</f>
        <v>-4.5167308680217231E-4</v>
      </c>
      <c r="CF81" s="47">
        <f>SUMPRODUCT(CB81:CE81,BW$77:BZ$77)/CA$77</f>
        <v>-4.5167308680217226E-4</v>
      </c>
      <c r="CI81"/>
      <c r="CJ81"/>
      <c r="CK81"/>
      <c r="CL81"/>
      <c r="CM81"/>
      <c r="CN81"/>
      <c r="CO81"/>
      <c r="CP81"/>
      <c r="CQ81"/>
      <c r="CR81"/>
      <c r="CS81"/>
    </row>
    <row r="82" spans="1:97" s="1" customFormat="1" ht="12.75" hidden="1" customHeight="1" outlineLevel="1" x14ac:dyDescent="0.4">
      <c r="A82" s="58"/>
      <c r="B82" s="53" t="s">
        <v>441</v>
      </c>
      <c r="C82" s="54"/>
      <c r="D82" s="101"/>
      <c r="E82" s="54"/>
      <c r="F82" s="54"/>
      <c r="G82" s="54"/>
      <c r="H82" s="54"/>
      <c r="I82" s="55"/>
      <c r="J82" s="561"/>
      <c r="K82" s="561"/>
      <c r="L82" s="561"/>
      <c r="M82" s="561"/>
      <c r="N82" s="269"/>
      <c r="O82" s="561"/>
      <c r="P82" s="561"/>
      <c r="Q82" s="561"/>
      <c r="R82" s="561"/>
      <c r="S82" s="269"/>
      <c r="T82" s="561"/>
      <c r="U82" s="561"/>
      <c r="V82" s="561"/>
      <c r="W82" s="561"/>
      <c r="X82" s="269"/>
      <c r="Y82" s="561"/>
      <c r="Z82" s="561"/>
      <c r="AA82" s="561"/>
      <c r="AB82" s="561"/>
      <c r="AC82" s="269"/>
      <c r="AD82" s="561"/>
      <c r="AE82" s="561"/>
      <c r="AF82" s="561"/>
      <c r="AG82" s="561"/>
      <c r="AH82" s="269"/>
      <c r="AI82" s="561"/>
      <c r="AJ82" s="561"/>
      <c r="AK82" s="561"/>
      <c r="AL82" s="561"/>
      <c r="AM82" s="269"/>
      <c r="AN82" s="561"/>
      <c r="AO82" s="561"/>
      <c r="AP82" s="561"/>
      <c r="AQ82" s="561"/>
      <c r="AR82" s="269"/>
      <c r="AS82" s="269"/>
      <c r="AT82" s="269"/>
      <c r="AU82" s="269"/>
      <c r="AV82" s="269"/>
      <c r="AW82" s="269"/>
      <c r="AX82" s="269"/>
      <c r="AY82" s="269"/>
      <c r="AZ82" s="269"/>
      <c r="BA82" s="269"/>
      <c r="BB82" s="269"/>
      <c r="BC82" s="486">
        <f>BC78-BC79-BC81</f>
        <v>8.9285714285714302E-2</v>
      </c>
      <c r="BD82" s="486">
        <f>BD78-BD79-BD81</f>
        <v>7.9545454545454641E-2</v>
      </c>
      <c r="BE82" s="486">
        <f>BE78-BE79-BE81</f>
        <v>0.1206896551724139</v>
      </c>
      <c r="BF82" s="486">
        <f>BF78-BF79-BF81</f>
        <v>7.7777777777777779E-2</v>
      </c>
      <c r="BG82" s="269">
        <f>SUMPRODUCT(BC82:BF82,AX$77:BA$77)/BB$77</f>
        <v>9.1690544412607516E-2</v>
      </c>
      <c r="BH82" s="486">
        <f>BH78-BH79-BH81</f>
        <v>0.10112359550561789</v>
      </c>
      <c r="BI82" s="486">
        <f>BI78-BI79-BI81</f>
        <v>9.8123595505618E-2</v>
      </c>
      <c r="BJ82" s="486">
        <f>BJ78-BJ79-BJ81</f>
        <v>8.5227272727272818E-2</v>
      </c>
      <c r="BK82" s="486">
        <f>BK78-BK79-BK81</f>
        <v>0.11111111111111106</v>
      </c>
      <c r="BL82" s="269">
        <f>SUMPRODUCT(BH82:BK82,BC$77:BF$77)/BG$77</f>
        <v>9.8969101123595513E-2</v>
      </c>
      <c r="BM82" s="486">
        <f>BM78-BM79-BM81</f>
        <v>0.12765957446808507</v>
      </c>
      <c r="BN82" s="486">
        <f>BN78-BN79-BN81</f>
        <v>7.6530612244897933E-2</v>
      </c>
      <c r="BO82" s="486">
        <f>BO78-BO79-BO81</f>
        <v>5.4999999999999945E-2</v>
      </c>
      <c r="BP82" s="486">
        <f>BP78-BP79-BP81</f>
        <v>6.341463414634152E-2</v>
      </c>
      <c r="BQ82" s="269">
        <f>SUMPRODUCT(BM82:BP82,BH$77:BK$77)/BL$77</f>
        <v>7.9847908745247137E-2</v>
      </c>
      <c r="BR82" s="486">
        <f>BR78-BR79-BR81</f>
        <v>4.7169811320754818E-2</v>
      </c>
      <c r="BS82" s="486">
        <f>BS78-BS79-BS81</f>
        <v>4.7619047619047575E-2</v>
      </c>
      <c r="BT82" s="486">
        <f>BT78-BT79-BT81</f>
        <v>6.5727699530516451E-2</v>
      </c>
      <c r="BU82" s="655">
        <v>0.06</v>
      </c>
      <c r="BV82" s="269">
        <f>SUMPRODUCT(BR82:BU82,BM$77:BP$77)/BQ$77</f>
        <v>5.5193434935521701E-2</v>
      </c>
      <c r="BW82" s="655">
        <v>6.5000000000000002E-2</v>
      </c>
      <c r="BX82" s="655">
        <v>6.5000000000000002E-2</v>
      </c>
      <c r="BY82" s="655">
        <v>6.5000000000000002E-2</v>
      </c>
      <c r="BZ82" s="655">
        <v>7.0000000000000007E-2</v>
      </c>
      <c r="CA82" s="269">
        <f>SUMPRODUCT(BW82:BZ82,BR$77:BU$77)/BV$77</f>
        <v>6.6297754867941816E-2</v>
      </c>
      <c r="CB82" s="655">
        <v>7.4999999999999997E-2</v>
      </c>
      <c r="CC82" s="655">
        <v>7.4999999999999997E-2</v>
      </c>
      <c r="CD82" s="655">
        <v>7.4999999999999997E-2</v>
      </c>
      <c r="CE82" s="655">
        <v>7.4999999999999997E-2</v>
      </c>
      <c r="CF82" s="269">
        <f>SUMPRODUCT(CB82:CE82,BW$77:BZ$77)/CA$77</f>
        <v>7.4999999999999997E-2</v>
      </c>
    </row>
    <row r="83" spans="1:97" ht="12.75" hidden="1" customHeight="1" outlineLevel="1" x14ac:dyDescent="0.35">
      <c r="A83" s="41"/>
      <c r="B83" s="2" t="s">
        <v>417</v>
      </c>
      <c r="C83" s="43"/>
      <c r="D83" s="84"/>
      <c r="E83" s="215"/>
      <c r="F83" s="215"/>
      <c r="G83" s="215"/>
      <c r="H83" s="215"/>
      <c r="I83" s="216"/>
      <c r="J83" s="215"/>
      <c r="K83" s="215"/>
      <c r="L83" s="215"/>
      <c r="M83" s="215"/>
      <c r="N83" s="216"/>
      <c r="O83" s="215"/>
      <c r="P83" s="215"/>
      <c r="Q83" s="215"/>
      <c r="R83" s="215"/>
      <c r="S83" s="216"/>
      <c r="T83" s="160"/>
      <c r="U83" s="160"/>
      <c r="V83" s="160"/>
      <c r="W83" s="160"/>
      <c r="X83" s="216"/>
      <c r="Y83" s="160"/>
      <c r="Z83" s="160"/>
      <c r="AA83" s="160"/>
      <c r="AB83" s="160"/>
      <c r="AC83" s="216"/>
      <c r="AD83" s="160"/>
      <c r="AE83" s="160"/>
      <c r="AF83" s="160"/>
      <c r="AG83" s="160"/>
      <c r="AH83" s="216"/>
      <c r="AI83" s="160"/>
      <c r="AJ83" s="160"/>
      <c r="AK83" s="160"/>
      <c r="AL83" s="160"/>
      <c r="AM83" s="216"/>
      <c r="AN83" s="160"/>
      <c r="AO83" s="160"/>
      <c r="AP83" s="160"/>
      <c r="AQ83" s="160"/>
      <c r="AR83" s="559"/>
      <c r="AS83" s="173">
        <v>174</v>
      </c>
      <c r="AT83" s="173">
        <v>174</v>
      </c>
      <c r="AU83" s="173">
        <v>181</v>
      </c>
      <c r="AV83" s="173">
        <v>188</v>
      </c>
      <c r="AW83" s="522">
        <f>SUM(AS83:AV83)</f>
        <v>717</v>
      </c>
      <c r="AX83" s="173">
        <v>188</v>
      </c>
      <c r="AY83" s="173">
        <v>193</v>
      </c>
      <c r="AZ83" s="173">
        <v>195</v>
      </c>
      <c r="BA83" s="173">
        <v>196</v>
      </c>
      <c r="BB83" s="522">
        <f>SUM(AX83:BA83)</f>
        <v>772</v>
      </c>
      <c r="BC83" s="173">
        <v>203</v>
      </c>
      <c r="BD83" s="173">
        <v>203</v>
      </c>
      <c r="BE83" s="173">
        <v>201</v>
      </c>
      <c r="BF83" s="173">
        <v>205</v>
      </c>
      <c r="BG83" s="341">
        <f>SUM(BC83:BF83)</f>
        <v>812</v>
      </c>
      <c r="BH83" s="173">
        <v>215</v>
      </c>
      <c r="BI83" s="173">
        <v>217</v>
      </c>
      <c r="BJ83" s="173">
        <v>222</v>
      </c>
      <c r="BK83" s="173">
        <v>230</v>
      </c>
      <c r="BL83" s="341">
        <f>SUM(BH83:BK83)</f>
        <v>884</v>
      </c>
      <c r="BM83" s="173">
        <v>222</v>
      </c>
      <c r="BN83" s="173">
        <v>226</v>
      </c>
      <c r="BO83" s="173">
        <v>235</v>
      </c>
      <c r="BP83" s="173">
        <v>243</v>
      </c>
      <c r="BQ83" s="341">
        <f>SUM(BM83:BP83)</f>
        <v>926</v>
      </c>
      <c r="BR83" s="173">
        <v>236</v>
      </c>
      <c r="BS83" s="173">
        <v>249</v>
      </c>
      <c r="BT83" s="173">
        <v>252</v>
      </c>
      <c r="BU83" s="175">
        <f>BP83*(1+BU84)</f>
        <v>264.52452580769534</v>
      </c>
      <c r="BV83" s="341">
        <f>SUM(BR83:BU83)</f>
        <v>1001.5245258076953</v>
      </c>
      <c r="BW83" s="175">
        <f>BR83*(1+BW84)</f>
        <v>259.42014899952801</v>
      </c>
      <c r="BX83" s="175">
        <f>BS83*(1+BX84)</f>
        <v>267.4550499362249</v>
      </c>
      <c r="BY83" s="175">
        <f>BT83*(1+BY84)</f>
        <v>270.13468074792763</v>
      </c>
      <c r="BZ83" s="175">
        <f>BU83*(1+BZ84)</f>
        <v>283.04744902061344</v>
      </c>
      <c r="CA83" s="341">
        <f>SUM(BW83:BZ83)</f>
        <v>1080.0573287042939</v>
      </c>
      <c r="CB83" s="175">
        <f>BW83*(1+CB84)</f>
        <v>277.46238633001764</v>
      </c>
      <c r="CC83" s="175">
        <f>BX83*(1+CC84)</f>
        <v>286.05610118377513</v>
      </c>
      <c r="CD83" s="175">
        <f>BY83*(1+CD84)</f>
        <v>288.92209583517683</v>
      </c>
      <c r="CE83" s="175">
        <f>BZ83*(1+CE84)</f>
        <v>302.73292553704573</v>
      </c>
      <c r="CF83" s="341">
        <f>SUM(CB83:CE83)</f>
        <v>1155.1735088860153</v>
      </c>
      <c r="CI83"/>
      <c r="CJ83"/>
      <c r="CK83"/>
      <c r="CL83"/>
      <c r="CM83"/>
      <c r="CN83"/>
      <c r="CO83"/>
      <c r="CP83"/>
      <c r="CQ83"/>
      <c r="CR83"/>
      <c r="CS83"/>
    </row>
    <row r="84" spans="1:97" ht="12.75" hidden="1" customHeight="1" outlineLevel="1" x14ac:dyDescent="0.35">
      <c r="A84" s="41"/>
      <c r="B84" s="42" t="s">
        <v>56</v>
      </c>
      <c r="C84" s="43"/>
      <c r="D84" s="84"/>
      <c r="I84" s="44"/>
      <c r="J84" s="153"/>
      <c r="K84" s="153"/>
      <c r="L84" s="153"/>
      <c r="M84" s="153"/>
      <c r="N84" s="47"/>
      <c r="O84" s="153"/>
      <c r="P84" s="153"/>
      <c r="Q84" s="153"/>
      <c r="R84" s="153"/>
      <c r="S84" s="47"/>
      <c r="T84" s="153"/>
      <c r="U84" s="153"/>
      <c r="V84" s="153"/>
      <c r="W84" s="153"/>
      <c r="X84" s="47"/>
      <c r="Y84" s="153"/>
      <c r="Z84" s="153"/>
      <c r="AA84" s="153"/>
      <c r="AB84" s="153"/>
      <c r="AC84" s="47"/>
      <c r="AD84" s="153"/>
      <c r="AE84" s="153"/>
      <c r="AF84" s="153"/>
      <c r="AG84" s="153"/>
      <c r="AH84" s="47"/>
      <c r="AI84" s="153"/>
      <c r="AJ84" s="153"/>
      <c r="AK84" s="153"/>
      <c r="AL84" s="153"/>
      <c r="AM84" s="47"/>
      <c r="AN84" s="153"/>
      <c r="AO84" s="153"/>
      <c r="AP84" s="153"/>
      <c r="AQ84" s="153"/>
      <c r="AR84" s="47"/>
      <c r="AS84" s="47"/>
      <c r="AT84" s="47"/>
      <c r="AU84" s="47"/>
      <c r="AV84" s="47"/>
      <c r="AW84" s="47"/>
      <c r="AX84" s="523">
        <f>AX83/AS83-1</f>
        <v>8.0459770114942541E-2</v>
      </c>
      <c r="AY84" s="523">
        <f>AY83/AT83-1</f>
        <v>0.10919540229885061</v>
      </c>
      <c r="AZ84" s="523">
        <f>AZ83/AU83-1</f>
        <v>7.7348066298342566E-2</v>
      </c>
      <c r="BA84" s="523">
        <f>BA83/AV83-1</f>
        <v>4.2553191489361764E-2</v>
      </c>
      <c r="BB84" s="49">
        <f>BB83/AW83-1</f>
        <v>7.670850767085069E-2</v>
      </c>
      <c r="BC84" s="147">
        <f t="shared" ref="BC84:BK84" si="105">BC83/AX83-1</f>
        <v>7.9787234042553168E-2</v>
      </c>
      <c r="BD84" s="147">
        <f t="shared" si="105"/>
        <v>5.1813471502590636E-2</v>
      </c>
      <c r="BE84" s="147">
        <f t="shared" si="105"/>
        <v>3.076923076923066E-2</v>
      </c>
      <c r="BF84" s="147">
        <f t="shared" si="105"/>
        <v>4.5918367346938771E-2</v>
      </c>
      <c r="BG84" s="47">
        <f t="shared" si="105"/>
        <v>5.1813471502590636E-2</v>
      </c>
      <c r="BH84" s="147">
        <f t="shared" si="105"/>
        <v>5.9113300492610765E-2</v>
      </c>
      <c r="BI84" s="147">
        <f t="shared" si="105"/>
        <v>6.8965517241379226E-2</v>
      </c>
      <c r="BJ84" s="147">
        <f t="shared" si="105"/>
        <v>0.10447761194029859</v>
      </c>
      <c r="BK84" s="147">
        <f t="shared" si="105"/>
        <v>0.12195121951219523</v>
      </c>
      <c r="BL84" s="47">
        <f t="shared" ref="BL84:BT84" si="106">BL83/BG83-1</f>
        <v>8.8669950738916148E-2</v>
      </c>
      <c r="BM84" s="147">
        <f t="shared" si="106"/>
        <v>3.2558139534883734E-2</v>
      </c>
      <c r="BN84" s="147">
        <f t="shared" si="106"/>
        <v>4.1474654377880116E-2</v>
      </c>
      <c r="BO84" s="147">
        <f t="shared" si="106"/>
        <v>5.8558558558558627E-2</v>
      </c>
      <c r="BP84" s="147">
        <f t="shared" si="106"/>
        <v>5.6521739130434678E-2</v>
      </c>
      <c r="BQ84" s="47">
        <f t="shared" si="106"/>
        <v>4.7511312217194623E-2</v>
      </c>
      <c r="BR84" s="147">
        <f t="shared" si="106"/>
        <v>6.3063063063063085E-2</v>
      </c>
      <c r="BS84" s="147">
        <f t="shared" si="106"/>
        <v>0.10176991150442483</v>
      </c>
      <c r="BT84" s="147">
        <f t="shared" si="106"/>
        <v>7.2340425531914887E-2</v>
      </c>
      <c r="BU84" s="147">
        <f>BU85+BU86</f>
        <v>8.857829550491908E-2</v>
      </c>
      <c r="BV84" s="47">
        <f>BV83/BQ83-1</f>
        <v>8.155996307526503E-2</v>
      </c>
      <c r="BW84" s="147">
        <f>BW85+BW86</f>
        <v>9.9237919489525428E-2</v>
      </c>
      <c r="BX84" s="147">
        <f>BX85+BX86</f>
        <v>7.4116666410541807E-2</v>
      </c>
      <c r="BY84" s="147">
        <f>BY85+BY86</f>
        <v>7.196301884098269E-2</v>
      </c>
      <c r="BZ84" s="147">
        <f>BZ85+BZ86</f>
        <v>7.0023462498838077E-2</v>
      </c>
      <c r="CA84" s="47">
        <f>CA83/BV83-1</f>
        <v>7.8413259858279183E-2</v>
      </c>
      <c r="CB84" s="147">
        <f>CB85+CB86</f>
        <v>6.954832691319783E-2</v>
      </c>
      <c r="CC84" s="147">
        <f>CC85+CC86</f>
        <v>6.954832691319783E-2</v>
      </c>
      <c r="CD84" s="147">
        <f>CD85+CD86</f>
        <v>6.954832691319783E-2</v>
      </c>
      <c r="CE84" s="147">
        <f>CE85+CE86</f>
        <v>6.954832691319783E-2</v>
      </c>
      <c r="CF84" s="47">
        <f>CF83/CA83-1</f>
        <v>6.9548326913197789E-2</v>
      </c>
      <c r="CI84"/>
      <c r="CJ84"/>
      <c r="CK84"/>
      <c r="CL84"/>
      <c r="CM84"/>
      <c r="CN84"/>
      <c r="CO84"/>
      <c r="CP84"/>
      <c r="CQ84"/>
      <c r="CR84"/>
      <c r="CS84"/>
    </row>
    <row r="85" spans="1:97" ht="12.75" hidden="1" customHeight="1" outlineLevel="1" x14ac:dyDescent="0.35">
      <c r="A85" s="41"/>
      <c r="B85" s="42" t="s">
        <v>25</v>
      </c>
      <c r="C85" s="43"/>
      <c r="D85" s="84"/>
      <c r="E85" s="43"/>
      <c r="F85" s="43"/>
      <c r="G85" s="43"/>
      <c r="H85" s="43"/>
      <c r="I85" s="44"/>
      <c r="J85" s="153"/>
      <c r="K85" s="153"/>
      <c r="L85" s="153"/>
      <c r="M85" s="153"/>
      <c r="N85" s="47"/>
      <c r="O85" s="153"/>
      <c r="P85" s="153"/>
      <c r="Q85" s="153"/>
      <c r="R85" s="153"/>
      <c r="S85" s="47"/>
      <c r="T85" s="153"/>
      <c r="U85" s="153"/>
      <c r="V85" s="153"/>
      <c r="W85" s="153"/>
      <c r="X85" s="47"/>
      <c r="Y85" s="153"/>
      <c r="Z85" s="153"/>
      <c r="AA85" s="153"/>
      <c r="AB85" s="153"/>
      <c r="AC85" s="47"/>
      <c r="AD85" s="153"/>
      <c r="AE85" s="153"/>
      <c r="AF85" s="153"/>
      <c r="AG85" s="153"/>
      <c r="AH85" s="47"/>
      <c r="AI85" s="153"/>
      <c r="AJ85" s="153"/>
      <c r="AK85" s="153"/>
      <c r="AL85" s="153"/>
      <c r="AM85" s="47"/>
      <c r="AN85" s="153"/>
      <c r="AO85" s="153"/>
      <c r="AP85" s="153"/>
      <c r="AQ85" s="153"/>
      <c r="AR85" s="47"/>
      <c r="AS85" s="47"/>
      <c r="AT85" s="47"/>
      <c r="AU85" s="47"/>
      <c r="AV85" s="47"/>
      <c r="AW85" s="47"/>
      <c r="AX85" s="47"/>
      <c r="AY85" s="47"/>
      <c r="AZ85" s="47"/>
      <c r="BA85" s="47"/>
      <c r="BB85" s="47"/>
      <c r="BC85" s="205">
        <v>0</v>
      </c>
      <c r="BD85" s="205">
        <v>0</v>
      </c>
      <c r="BE85" s="205">
        <v>0</v>
      </c>
      <c r="BF85" s="205">
        <v>0</v>
      </c>
      <c r="BG85" s="47">
        <f>SUMPRODUCT(BC85:BF85,AX$83:BA$83)/BB$83</f>
        <v>0</v>
      </c>
      <c r="BH85" s="205">
        <v>0</v>
      </c>
      <c r="BI85" s="205">
        <v>0</v>
      </c>
      <c r="BJ85" s="205">
        <v>0</v>
      </c>
      <c r="BK85" s="205">
        <v>0</v>
      </c>
      <c r="BL85" s="47">
        <f>SUMPRODUCT(BH85:BK85,BC$83:BF$83)/BG$83</f>
        <v>0</v>
      </c>
      <c r="BM85" s="205">
        <v>0</v>
      </c>
      <c r="BN85" s="205">
        <v>0</v>
      </c>
      <c r="BO85" s="205">
        <v>0</v>
      </c>
      <c r="BP85" s="205">
        <f>BP220/BK83</f>
        <v>0</v>
      </c>
      <c r="BQ85" s="47">
        <f>SUMPRODUCT(BM85:BP85,BH$83:BK$83)/BL$83</f>
        <v>0</v>
      </c>
      <c r="BR85" s="205">
        <v>0</v>
      </c>
      <c r="BS85" s="205">
        <v>0</v>
      </c>
      <c r="BT85" s="205">
        <v>0</v>
      </c>
      <c r="BU85" s="205">
        <f>BU220/BP83</f>
        <v>0</v>
      </c>
      <c r="BV85" s="47">
        <f>SUMPRODUCT(BR85:BU85,BM$83:BP$83)/BQ$83</f>
        <v>0</v>
      </c>
      <c r="BW85" s="205">
        <f>BW220/BR83</f>
        <v>0</v>
      </c>
      <c r="BX85" s="205">
        <f>BX220/BS83</f>
        <v>0</v>
      </c>
      <c r="BY85" s="205">
        <f>BY220/BT83</f>
        <v>0</v>
      </c>
      <c r="BZ85" s="205">
        <f>BZ220/BU83</f>
        <v>0</v>
      </c>
      <c r="CA85" s="47">
        <f>SUMPRODUCT(BW85:BZ85,BR$83:BU$83)/BV$83</f>
        <v>0</v>
      </c>
      <c r="CB85" s="205">
        <f>CB220/BW83</f>
        <v>0</v>
      </c>
      <c r="CC85" s="205">
        <f>CC220/BX83</f>
        <v>0</v>
      </c>
      <c r="CD85" s="205">
        <f>CD220/BY83</f>
        <v>0</v>
      </c>
      <c r="CE85" s="205">
        <f>CE220/BZ83</f>
        <v>0</v>
      </c>
      <c r="CF85" s="47">
        <f>SUMPRODUCT(CB85:CE85,BW$83:BZ$83)/CA$83</f>
        <v>0</v>
      </c>
      <c r="CI85"/>
      <c r="CJ85"/>
      <c r="CK85"/>
      <c r="CL85"/>
      <c r="CM85"/>
      <c r="CN85"/>
      <c r="CO85"/>
      <c r="CP85"/>
      <c r="CQ85"/>
      <c r="CR85"/>
      <c r="CS85"/>
    </row>
    <row r="86" spans="1:97" ht="12.75" hidden="1" customHeight="1" outlineLevel="1" x14ac:dyDescent="0.35">
      <c r="A86" s="41"/>
      <c r="B86" s="42" t="s">
        <v>64</v>
      </c>
      <c r="C86" s="43"/>
      <c r="D86" s="84"/>
      <c r="E86" s="43"/>
      <c r="F86" s="43"/>
      <c r="G86" s="43"/>
      <c r="H86" s="43"/>
      <c r="I86" s="44"/>
      <c r="J86" s="153"/>
      <c r="K86" s="153"/>
      <c r="L86" s="153"/>
      <c r="M86" s="153"/>
      <c r="N86" s="47"/>
      <c r="O86" s="153"/>
      <c r="P86" s="153"/>
      <c r="Q86" s="153"/>
      <c r="R86" s="153"/>
      <c r="S86" s="47"/>
      <c r="T86" s="153"/>
      <c r="U86" s="153"/>
      <c r="V86" s="153"/>
      <c r="W86" s="153"/>
      <c r="X86" s="47"/>
      <c r="Y86" s="153"/>
      <c r="Z86" s="153"/>
      <c r="AA86" s="153"/>
      <c r="AB86" s="153"/>
      <c r="AC86" s="47"/>
      <c r="AD86" s="153"/>
      <c r="AE86" s="153"/>
      <c r="AF86" s="153"/>
      <c r="AG86" s="153"/>
      <c r="AH86" s="47"/>
      <c r="AI86" s="153"/>
      <c r="AJ86" s="153"/>
      <c r="AK86" s="153"/>
      <c r="AL86" s="153"/>
      <c r="AM86" s="47"/>
      <c r="AN86" s="153"/>
      <c r="AO86" s="153"/>
      <c r="AP86" s="153"/>
      <c r="AQ86" s="153"/>
      <c r="AR86" s="47"/>
      <c r="AS86" s="47"/>
      <c r="AT86" s="47"/>
      <c r="AU86" s="47"/>
      <c r="AV86" s="47"/>
      <c r="AW86" s="47"/>
      <c r="AX86" s="47"/>
      <c r="AY86" s="47"/>
      <c r="AZ86" s="47"/>
      <c r="BA86" s="47"/>
      <c r="BB86" s="47"/>
      <c r="BC86" s="147">
        <f>BC84-BC85</f>
        <v>7.9787234042553168E-2</v>
      </c>
      <c r="BD86" s="147">
        <f>BD84-BD85</f>
        <v>5.1813471502590636E-2</v>
      </c>
      <c r="BE86" s="147">
        <f>BE84-BE85</f>
        <v>3.076923076923066E-2</v>
      </c>
      <c r="BF86" s="147">
        <f>BF84-BF85</f>
        <v>4.5918367346938771E-2</v>
      </c>
      <c r="BG86" s="47">
        <f>SUMPRODUCT(BC86:BF86,AX$83:BA$83)/BB$83</f>
        <v>5.1813471502590636E-2</v>
      </c>
      <c r="BH86" s="147">
        <f>BH84-BH85</f>
        <v>5.9113300492610765E-2</v>
      </c>
      <c r="BI86" s="147">
        <f>BI84-BI85</f>
        <v>6.8965517241379226E-2</v>
      </c>
      <c r="BJ86" s="147">
        <f>BJ84-BJ85</f>
        <v>0.10447761194029859</v>
      </c>
      <c r="BK86" s="147">
        <f>BK84-BK85</f>
        <v>0.12195121951219523</v>
      </c>
      <c r="BL86" s="47">
        <f>SUMPRODUCT(BH86:BK86,BC$83:BF$83)/BG$83</f>
        <v>8.8669950738916259E-2</v>
      </c>
      <c r="BM86" s="147">
        <f>BM84-BM85</f>
        <v>3.2558139534883734E-2</v>
      </c>
      <c r="BN86" s="147">
        <f>BN84-BN85</f>
        <v>4.1474654377880116E-2</v>
      </c>
      <c r="BO86" s="147">
        <f>BO84-BO85</f>
        <v>5.8558558558558627E-2</v>
      </c>
      <c r="BP86" s="147">
        <f>BP84-BP85</f>
        <v>5.6521739130434678E-2</v>
      </c>
      <c r="BQ86" s="47">
        <f>SUMPRODUCT(BM86:BP86,BH$83:BK$83)/BL$83</f>
        <v>4.7511312217194547E-2</v>
      </c>
      <c r="BR86" s="147">
        <f>BR84-BR85</f>
        <v>6.3063063063063085E-2</v>
      </c>
      <c r="BS86" s="147">
        <f>BS84-BS85</f>
        <v>0.10176991150442483</v>
      </c>
      <c r="BT86" s="147">
        <f>BT84-BT85</f>
        <v>7.2340425531914887E-2</v>
      </c>
      <c r="BU86" s="147">
        <f>BU87+BU88</f>
        <v>8.857829550491908E-2</v>
      </c>
      <c r="BV86" s="47">
        <f>SUMPRODUCT(BR86:BU86,BM$83:BP$83)/BQ$83</f>
        <v>8.155996307526496E-2</v>
      </c>
      <c r="BW86" s="147">
        <f>BW87+BW88</f>
        <v>9.9237919489525428E-2</v>
      </c>
      <c r="BX86" s="147">
        <f>BX87+BX88</f>
        <v>7.4116666410541807E-2</v>
      </c>
      <c r="BY86" s="147">
        <f>BY87+BY88</f>
        <v>7.196301884098269E-2</v>
      </c>
      <c r="BZ86" s="147">
        <f>BZ87+BZ88</f>
        <v>7.0023462498838077E-2</v>
      </c>
      <c r="CA86" s="47">
        <f>SUMPRODUCT(BW86:BZ86,BR$83:BU$83)/BV$83</f>
        <v>7.8413259858279169E-2</v>
      </c>
      <c r="CB86" s="147">
        <f>CB87+CB88</f>
        <v>6.954832691319783E-2</v>
      </c>
      <c r="CC86" s="147">
        <f>CC87+CC88</f>
        <v>6.954832691319783E-2</v>
      </c>
      <c r="CD86" s="147">
        <f>CD87+CD88</f>
        <v>6.954832691319783E-2</v>
      </c>
      <c r="CE86" s="147">
        <f>CE87+CE88</f>
        <v>6.954832691319783E-2</v>
      </c>
      <c r="CF86" s="47">
        <f>SUMPRODUCT(CB86:CE86,BW$83:BZ$83)/CA$83</f>
        <v>6.954832691319783E-2</v>
      </c>
      <c r="CI86"/>
      <c r="CJ86"/>
      <c r="CK86"/>
      <c r="CL86"/>
      <c r="CM86"/>
      <c r="CN86"/>
      <c r="CO86"/>
      <c r="CP86"/>
      <c r="CQ86"/>
      <c r="CR86"/>
      <c r="CS86"/>
    </row>
    <row r="87" spans="1:97" ht="12.75" hidden="1" customHeight="1" outlineLevel="1" x14ac:dyDescent="0.35">
      <c r="A87" s="41"/>
      <c r="B87" s="42" t="s">
        <v>27</v>
      </c>
      <c r="C87" s="43"/>
      <c r="D87" s="84"/>
      <c r="E87" s="43"/>
      <c r="F87" s="43"/>
      <c r="G87" s="43"/>
      <c r="H87" s="43"/>
      <c r="I87" s="44"/>
      <c r="J87" s="153"/>
      <c r="K87" s="153"/>
      <c r="L87" s="153"/>
      <c r="M87" s="153"/>
      <c r="N87" s="47"/>
      <c r="O87" s="153"/>
      <c r="P87" s="153"/>
      <c r="Q87" s="153"/>
      <c r="R87" s="153"/>
      <c r="S87" s="47"/>
      <c r="T87" s="153"/>
      <c r="U87" s="153"/>
      <c r="V87" s="153"/>
      <c r="W87" s="153"/>
      <c r="X87" s="47"/>
      <c r="Y87" s="153"/>
      <c r="Z87" s="153"/>
      <c r="AA87" s="153"/>
      <c r="AB87" s="153"/>
      <c r="AC87" s="47"/>
      <c r="AD87" s="153"/>
      <c r="AE87" s="153"/>
      <c r="AF87" s="153"/>
      <c r="AG87" s="153"/>
      <c r="AH87" s="47"/>
      <c r="AI87" s="153"/>
      <c r="AJ87" s="153"/>
      <c r="AK87" s="153"/>
      <c r="AL87" s="153"/>
      <c r="AM87" s="47"/>
      <c r="AN87" s="153"/>
      <c r="AO87" s="153"/>
      <c r="AP87" s="153"/>
      <c r="AQ87" s="153"/>
      <c r="AR87" s="47"/>
      <c r="AS87" s="47"/>
      <c r="AT87" s="47"/>
      <c r="AU87" s="47"/>
      <c r="AV87" s="47"/>
      <c r="AW87" s="47"/>
      <c r="AX87" s="47"/>
      <c r="AY87" s="47"/>
      <c r="AZ87" s="47"/>
      <c r="BA87" s="47"/>
      <c r="BB87" s="47"/>
      <c r="BC87" s="205">
        <f>-1/AX83</f>
        <v>-5.3191489361702126E-3</v>
      </c>
      <c r="BD87" s="205">
        <f>-4/AY83</f>
        <v>-2.072538860103627E-2</v>
      </c>
      <c r="BE87" s="205">
        <f>-10/AZ83</f>
        <v>-5.128205128205128E-2</v>
      </c>
      <c r="BF87" s="205">
        <f>-6/BA83</f>
        <v>-3.0612244897959183E-2</v>
      </c>
      <c r="BG87" s="47">
        <f>SUMPRODUCT(BC87:BF87,AX$83:BA$83)/BB$83</f>
        <v>-2.7202072538860103E-2</v>
      </c>
      <c r="BH87" s="205">
        <f>-3/BC83</f>
        <v>-1.4778325123152709E-2</v>
      </c>
      <c r="BI87" s="205">
        <v>3.0000000000000001E-3</v>
      </c>
      <c r="BJ87" s="205">
        <f>3/BE83</f>
        <v>1.4925373134328358E-2</v>
      </c>
      <c r="BK87" s="205">
        <f>2/BF83</f>
        <v>9.7560975609756097E-3</v>
      </c>
      <c r="BL87" s="47">
        <f>SUMPRODUCT(BH87:BK87,BC$83:BF$83)/BG$83</f>
        <v>3.2130541871921181E-3</v>
      </c>
      <c r="BM87" s="205">
        <v>0</v>
      </c>
      <c r="BN87" s="205">
        <v>0</v>
      </c>
      <c r="BO87" s="205">
        <f>2/BJ83</f>
        <v>9.0090090090090089E-3</v>
      </c>
      <c r="BP87" s="205">
        <v>0</v>
      </c>
      <c r="BQ87" s="47">
        <f>SUMPRODUCT(BM87:BP87,BH$83:BK$83)/BL$83</f>
        <v>2.2624434389140274E-3</v>
      </c>
      <c r="BR87" s="205">
        <f>-1/BM83</f>
        <v>-4.5045045045045045E-3</v>
      </c>
      <c r="BS87" s="205">
        <f>4/BN83</f>
        <v>1.7699115044247787E-2</v>
      </c>
      <c r="BT87" s="205">
        <f>3/BO83</f>
        <v>1.276595744680851E-2</v>
      </c>
      <c r="BU87" s="50">
        <f>BU$248</f>
        <v>2.8578295504919089E-2</v>
      </c>
      <c r="BV87" s="47">
        <f>SUMPRODUCT(BR87:BU87,BM$83:BP$83)/BQ$83</f>
        <v>1.3978969554746586E-2</v>
      </c>
      <c r="BW87" s="50">
        <f>BW$248</f>
        <v>2.9237919489525425E-2</v>
      </c>
      <c r="BX87" s="50">
        <f>BX$248</f>
        <v>4.1166664105418025E-3</v>
      </c>
      <c r="BY87" s="50">
        <f>BY$248</f>
        <v>-3.0369811590173091E-3</v>
      </c>
      <c r="BZ87" s="50">
        <f>BZ$248</f>
        <v>-4.9765375011619171E-3</v>
      </c>
      <c r="CA87" s="47">
        <f>SUMPRODUCT(BW87:BZ87,BR$83:BU$83)/BV$83</f>
        <v>5.8345685107500734E-3</v>
      </c>
      <c r="CB87" s="50">
        <f>CB$248</f>
        <v>-4.5167308680217231E-4</v>
      </c>
      <c r="CC87" s="50">
        <f>CC$248</f>
        <v>-4.5167308680217231E-4</v>
      </c>
      <c r="CD87" s="50">
        <f>CD$248</f>
        <v>-4.5167308680217231E-4</v>
      </c>
      <c r="CE87" s="50">
        <f>CE$248</f>
        <v>-4.5167308680217231E-4</v>
      </c>
      <c r="CF87" s="47">
        <f>SUMPRODUCT(CB87:CE87,BW$83:BZ$83)/CA$83</f>
        <v>-4.5167308680217231E-4</v>
      </c>
      <c r="CI87"/>
      <c r="CJ87"/>
      <c r="CK87"/>
      <c r="CL87"/>
      <c r="CM87"/>
      <c r="CN87"/>
      <c r="CO87"/>
      <c r="CP87"/>
      <c r="CQ87"/>
      <c r="CR87"/>
      <c r="CS87"/>
    </row>
    <row r="88" spans="1:97" s="1" customFormat="1" ht="12.75" hidden="1" customHeight="1" outlineLevel="1" x14ac:dyDescent="0.4">
      <c r="A88" s="58"/>
      <c r="B88" s="53" t="s">
        <v>462</v>
      </c>
      <c r="C88" s="54"/>
      <c r="D88" s="101"/>
      <c r="E88" s="54"/>
      <c r="F88" s="54"/>
      <c r="G88" s="54"/>
      <c r="H88" s="54"/>
      <c r="I88" s="55"/>
      <c r="J88" s="561"/>
      <c r="K88" s="561"/>
      <c r="L88" s="561"/>
      <c r="M88" s="561"/>
      <c r="N88" s="269"/>
      <c r="O88" s="561"/>
      <c r="P88" s="561"/>
      <c r="Q88" s="561"/>
      <c r="R88" s="561"/>
      <c r="S88" s="269"/>
      <c r="T88" s="561"/>
      <c r="U88" s="561"/>
      <c r="V88" s="561"/>
      <c r="W88" s="561"/>
      <c r="X88" s="269"/>
      <c r="Y88" s="561"/>
      <c r="Z88" s="561"/>
      <c r="AA88" s="561"/>
      <c r="AB88" s="561"/>
      <c r="AC88" s="269"/>
      <c r="AD88" s="561"/>
      <c r="AE88" s="561"/>
      <c r="AF88" s="561"/>
      <c r="AG88" s="561"/>
      <c r="AH88" s="269"/>
      <c r="AI88" s="561"/>
      <c r="AJ88" s="561"/>
      <c r="AK88" s="561"/>
      <c r="AL88" s="561"/>
      <c r="AM88" s="269"/>
      <c r="AN88" s="561"/>
      <c r="AO88" s="561"/>
      <c r="AP88" s="561"/>
      <c r="AQ88" s="561"/>
      <c r="AR88" s="269"/>
      <c r="AS88" s="269"/>
      <c r="AT88" s="269"/>
      <c r="AU88" s="269"/>
      <c r="AV88" s="269"/>
      <c r="AW88" s="269"/>
      <c r="AX88" s="269"/>
      <c r="AY88" s="269"/>
      <c r="AZ88" s="269"/>
      <c r="BA88" s="269"/>
      <c r="BB88" s="269"/>
      <c r="BC88" s="486">
        <f>BC84-BC85-BC87</f>
        <v>8.5106382978723374E-2</v>
      </c>
      <c r="BD88" s="486">
        <f>BD84-BD85-BD87</f>
        <v>7.2538860103626909E-2</v>
      </c>
      <c r="BE88" s="486">
        <f>BE84-BE85-BE87</f>
        <v>8.205128205128194E-2</v>
      </c>
      <c r="BF88" s="486">
        <f>BF84-BF85-BF87</f>
        <v>7.6530612244897961E-2</v>
      </c>
      <c r="BG88" s="269">
        <f>SUMPRODUCT(BC88:BF88,AX$83:BA$83)/BB$83</f>
        <v>7.9015544041450725E-2</v>
      </c>
      <c r="BH88" s="486">
        <f>BH84-BH85-BH87</f>
        <v>7.389162561576347E-2</v>
      </c>
      <c r="BI88" s="486">
        <f>BI84-BI85-BI87</f>
        <v>6.5965517241379223E-2</v>
      </c>
      <c r="BJ88" s="486">
        <f>BJ84-BJ85-BJ87</f>
        <v>8.9552238805970227E-2</v>
      </c>
      <c r="BK88" s="486">
        <f>BK84-BK85-BK87</f>
        <v>0.11219512195121963</v>
      </c>
      <c r="BL88" s="269">
        <f>SUMPRODUCT(BH88:BK88,BC$83:BF$83)/BG$83</f>
        <v>8.5456896551724143E-2</v>
      </c>
      <c r="BM88" s="486">
        <f>BM84-BM85-BM87</f>
        <v>3.2558139534883734E-2</v>
      </c>
      <c r="BN88" s="486">
        <f>BN84-BN85-BN87</f>
        <v>4.1474654377880116E-2</v>
      </c>
      <c r="BO88" s="486">
        <f>BO84-BO85-BO87</f>
        <v>4.9549549549549619E-2</v>
      </c>
      <c r="BP88" s="486">
        <f>BP84-BP85-BP87</f>
        <v>5.6521739130434678E-2</v>
      </c>
      <c r="BQ88" s="269">
        <f>SUMPRODUCT(BM88:BP88,BH$83:BK$83)/BL$83</f>
        <v>4.5248868778280528E-2</v>
      </c>
      <c r="BR88" s="486">
        <f>BR84-BR85-BR87</f>
        <v>6.7567567567567585E-2</v>
      </c>
      <c r="BS88" s="486">
        <f>BS84-BS85-BS87</f>
        <v>8.4070796460177039E-2</v>
      </c>
      <c r="BT88" s="486">
        <f>BT84-BT85-BT87</f>
        <v>5.9574468085106379E-2</v>
      </c>
      <c r="BU88" s="655">
        <v>0.06</v>
      </c>
      <c r="BV88" s="269">
        <f>SUMPRODUCT(BR88:BU88,BM$83:BP$83)/BQ$83</f>
        <v>6.758099352051837E-2</v>
      </c>
      <c r="BW88" s="655">
        <v>7.0000000000000007E-2</v>
      </c>
      <c r="BX88" s="655">
        <v>7.0000000000000007E-2</v>
      </c>
      <c r="BY88" s="655">
        <v>7.4999999999999997E-2</v>
      </c>
      <c r="BZ88" s="655">
        <v>7.4999999999999997E-2</v>
      </c>
      <c r="CA88" s="269">
        <f>SUMPRODUCT(BW88:BZ88,BR$83:BU$83)/BV$83</f>
        <v>7.257869134752909E-2</v>
      </c>
      <c r="CB88" s="655">
        <v>7.0000000000000007E-2</v>
      </c>
      <c r="CC88" s="655">
        <v>7.0000000000000007E-2</v>
      </c>
      <c r="CD88" s="655">
        <v>7.0000000000000007E-2</v>
      </c>
      <c r="CE88" s="655">
        <v>7.0000000000000007E-2</v>
      </c>
      <c r="CF88" s="269">
        <f>SUMPRODUCT(CB88:CE88,BW$83:BZ$83)/CA$83</f>
        <v>7.0000000000000007E-2</v>
      </c>
    </row>
    <row r="89" spans="1:97" ht="12.75" hidden="1" customHeight="1" outlineLevel="1" x14ac:dyDescent="0.35">
      <c r="A89" s="41"/>
      <c r="B89" s="2" t="s">
        <v>472</v>
      </c>
      <c r="C89" s="43"/>
      <c r="D89" s="84"/>
      <c r="E89" s="215"/>
      <c r="F89" s="215"/>
      <c r="G89" s="215"/>
      <c r="H89" s="215"/>
      <c r="I89" s="216"/>
      <c r="J89" s="215"/>
      <c r="K89" s="215"/>
      <c r="L89" s="215"/>
      <c r="M89" s="215"/>
      <c r="N89" s="216"/>
      <c r="O89" s="215"/>
      <c r="P89" s="215"/>
      <c r="Q89" s="215"/>
      <c r="R89" s="215"/>
      <c r="S89" s="216"/>
      <c r="T89" s="215"/>
      <c r="U89" s="215"/>
      <c r="V89" s="215"/>
      <c r="W89" s="215"/>
      <c r="X89" s="216"/>
      <c r="Y89" s="215"/>
      <c r="Z89" s="215"/>
      <c r="AA89" s="215"/>
      <c r="AB89" s="215"/>
      <c r="AC89" s="216"/>
      <c r="AD89" s="215"/>
      <c r="AE89" s="215"/>
      <c r="AF89" s="215"/>
      <c r="AG89" s="215"/>
      <c r="AH89" s="216"/>
      <c r="AI89" s="215"/>
      <c r="AJ89" s="215"/>
      <c r="AK89" s="215"/>
      <c r="AL89" s="215"/>
      <c r="AM89" s="216"/>
      <c r="AN89" s="160"/>
      <c r="AO89" s="160"/>
      <c r="AP89" s="160"/>
      <c r="AQ89" s="160"/>
      <c r="AR89" s="559"/>
      <c r="AS89" s="173">
        <v>181</v>
      </c>
      <c r="AT89" s="173">
        <v>180</v>
      </c>
      <c r="AU89" s="173">
        <v>199</v>
      </c>
      <c r="AV89" s="173">
        <v>208</v>
      </c>
      <c r="AW89" s="522">
        <f>SUM(AS89:AV89)</f>
        <v>768</v>
      </c>
      <c r="AX89" s="173">
        <v>208</v>
      </c>
      <c r="AY89" s="173">
        <v>204</v>
      </c>
      <c r="AZ89" s="173">
        <v>232</v>
      </c>
      <c r="BA89" s="173">
        <v>292</v>
      </c>
      <c r="BB89" s="522">
        <f>SUM(AX89:BA89)</f>
        <v>936</v>
      </c>
      <c r="BC89" s="173">
        <v>314</v>
      </c>
      <c r="BD89" s="173">
        <v>294</v>
      </c>
      <c r="BE89" s="173">
        <v>308</v>
      </c>
      <c r="BF89" s="173">
        <v>329</v>
      </c>
      <c r="BG89" s="341">
        <f>SUM(BC89:BF89)</f>
        <v>1245</v>
      </c>
      <c r="BH89" s="173">
        <f>668-BI89</f>
        <v>334</v>
      </c>
      <c r="BI89" s="173">
        <v>334</v>
      </c>
      <c r="BJ89" s="173">
        <v>354</v>
      </c>
      <c r="BK89" s="173">
        <v>361</v>
      </c>
      <c r="BL89" s="341">
        <f>SUM(BH89:BK89)</f>
        <v>1383</v>
      </c>
      <c r="BM89" s="173">
        <v>365</v>
      </c>
      <c r="BN89" s="173">
        <v>366</v>
      </c>
      <c r="BO89" s="173">
        <v>383</v>
      </c>
      <c r="BP89" s="173">
        <v>402</v>
      </c>
      <c r="BQ89" s="341">
        <f>SUM(BM89:BP89)</f>
        <v>1516</v>
      </c>
      <c r="BR89" s="173">
        <v>405</v>
      </c>
      <c r="BS89" s="173">
        <v>413</v>
      </c>
      <c r="BT89" s="173">
        <v>424</v>
      </c>
      <c r="BU89" s="175">
        <f>BP89*(1+BU90)</f>
        <v>447.62847479297744</v>
      </c>
      <c r="BV89" s="341">
        <f>SUM(BR89:BU89)</f>
        <v>1689.6284747929774</v>
      </c>
      <c r="BW89" s="175">
        <f>BR89*(1+BW90)</f>
        <v>449.29135739325778</v>
      </c>
      <c r="BX89" s="175">
        <f>BS89*(1+BX90)</f>
        <v>447.87018322755381</v>
      </c>
      <c r="BY89" s="175">
        <f>BT89*(1+BY90)</f>
        <v>465.35231998857671</v>
      </c>
      <c r="BZ89" s="175">
        <f>BU89*(1+BZ90)</f>
        <v>494.63996712880976</v>
      </c>
      <c r="CA89" s="341">
        <f>SUM(BW89:BZ89)</f>
        <v>1857.1538277381981</v>
      </c>
      <c r="CB89" s="175">
        <f>BW89*(1+CB90)</f>
        <v>494.01756031831621</v>
      </c>
      <c r="CC89" s="175">
        <f>BX89*(1+CC90)</f>
        <v>492.45491064216412</v>
      </c>
      <c r="CD89" s="175">
        <f>BY89*(1+CD90)</f>
        <v>511.67736486861457</v>
      </c>
      <c r="CE89" s="175">
        <f>BZ89*(1+CE90)</f>
        <v>543.88054828088195</v>
      </c>
      <c r="CF89" s="341">
        <f>SUM(CB89:CE89)</f>
        <v>2042.0303841099767</v>
      </c>
      <c r="CI89"/>
      <c r="CJ89"/>
      <c r="CK89"/>
      <c r="CL89"/>
      <c r="CM89"/>
      <c r="CN89"/>
      <c r="CO89"/>
      <c r="CP89"/>
      <c r="CQ89"/>
      <c r="CR89"/>
      <c r="CS89"/>
    </row>
    <row r="90" spans="1:97" ht="12.75" hidden="1" customHeight="1" outlineLevel="1" x14ac:dyDescent="0.35">
      <c r="A90" s="41"/>
      <c r="B90" s="42" t="s">
        <v>56</v>
      </c>
      <c r="C90" s="43"/>
      <c r="D90" s="43"/>
      <c r="E90" s="43"/>
      <c r="F90" s="43"/>
      <c r="G90" s="43"/>
      <c r="H90" s="43"/>
      <c r="I90" s="44"/>
      <c r="J90" s="153"/>
      <c r="K90" s="153"/>
      <c r="L90" s="153"/>
      <c r="M90" s="153"/>
      <c r="N90" s="47"/>
      <c r="O90" s="153"/>
      <c r="P90" s="153"/>
      <c r="Q90" s="153"/>
      <c r="R90" s="153"/>
      <c r="S90" s="47"/>
      <c r="T90" s="153"/>
      <c r="U90" s="153"/>
      <c r="V90" s="153"/>
      <c r="W90" s="153"/>
      <c r="X90" s="47"/>
      <c r="Y90" s="153"/>
      <c r="Z90" s="153"/>
      <c r="AA90" s="153"/>
      <c r="AB90" s="153"/>
      <c r="AC90" s="47"/>
      <c r="AD90" s="153"/>
      <c r="AE90" s="153"/>
      <c r="AF90" s="153"/>
      <c r="AG90" s="153"/>
      <c r="AH90" s="47"/>
      <c r="AI90" s="153"/>
      <c r="AJ90" s="153"/>
      <c r="AK90" s="153"/>
      <c r="AL90" s="153"/>
      <c r="AM90" s="47"/>
      <c r="AN90" s="153"/>
      <c r="AO90" s="153"/>
      <c r="AP90" s="153"/>
      <c r="AQ90" s="153"/>
      <c r="AR90" s="47"/>
      <c r="AS90" s="47"/>
      <c r="AT90" s="47"/>
      <c r="AU90" s="47"/>
      <c r="AV90" s="47"/>
      <c r="AW90" s="47"/>
      <c r="AX90" s="523">
        <f>AX89/AS89-1</f>
        <v>0.149171270718232</v>
      </c>
      <c r="AY90" s="523">
        <f>AY89/AT89-1</f>
        <v>0.1333333333333333</v>
      </c>
      <c r="AZ90" s="523">
        <f>AZ89/AU89-1</f>
        <v>0.16582914572864316</v>
      </c>
      <c r="BA90" s="523">
        <f>BA89/AV89-1</f>
        <v>0.40384615384615374</v>
      </c>
      <c r="BB90" s="49">
        <f>BB89/AW89-1</f>
        <v>0.21875</v>
      </c>
      <c r="BC90" s="147">
        <f t="shared" ref="BC90:BT90" si="107">BC89/AX89-1</f>
        <v>0.50961538461538458</v>
      </c>
      <c r="BD90" s="147">
        <f t="shared" si="107"/>
        <v>0.44117647058823528</v>
      </c>
      <c r="BE90" s="147">
        <f t="shared" si="107"/>
        <v>0.32758620689655182</v>
      </c>
      <c r="BF90" s="147">
        <f t="shared" si="107"/>
        <v>0.12671232876712324</v>
      </c>
      <c r="BG90" s="47">
        <f t="shared" si="107"/>
        <v>0.33012820512820507</v>
      </c>
      <c r="BH90" s="147">
        <f t="shared" si="107"/>
        <v>6.3694267515923553E-2</v>
      </c>
      <c r="BI90" s="147">
        <f t="shared" si="107"/>
        <v>0.13605442176870741</v>
      </c>
      <c r="BJ90" s="147">
        <f t="shared" si="107"/>
        <v>0.14935064935064934</v>
      </c>
      <c r="BK90" s="147">
        <f t="shared" si="107"/>
        <v>9.7264437689969618E-2</v>
      </c>
      <c r="BL90" s="47">
        <f>BL89/BG89-1</f>
        <v>0.11084337349397599</v>
      </c>
      <c r="BM90" s="147">
        <f t="shared" si="107"/>
        <v>9.2814371257484929E-2</v>
      </c>
      <c r="BN90" s="147">
        <f t="shared" si="107"/>
        <v>9.5808383233533023E-2</v>
      </c>
      <c r="BO90" s="147">
        <f t="shared" si="107"/>
        <v>8.1920903954802338E-2</v>
      </c>
      <c r="BP90" s="147">
        <f t="shared" si="107"/>
        <v>0.11357340720221609</v>
      </c>
      <c r="BQ90" s="47">
        <f>BQ89/BL89-1</f>
        <v>9.6167751265365142E-2</v>
      </c>
      <c r="BR90" s="147">
        <f t="shared" si="107"/>
        <v>0.1095890410958904</v>
      </c>
      <c r="BS90" s="147">
        <f t="shared" si="107"/>
        <v>0.12841530054644812</v>
      </c>
      <c r="BT90" s="147">
        <f t="shared" si="107"/>
        <v>0.10704960835509136</v>
      </c>
      <c r="BU90" s="147">
        <f>BU91+BU92</f>
        <v>0.11350366863924745</v>
      </c>
      <c r="BV90" s="47">
        <f>BV89/BQ89-1</f>
        <v>0.11453065619589542</v>
      </c>
      <c r="BW90" s="147">
        <f>BW91+BW92</f>
        <v>0.10936137627964887</v>
      </c>
      <c r="BX90" s="147">
        <f>BX91+BX92</f>
        <v>8.4431436386328718E-2</v>
      </c>
      <c r="BY90" s="147">
        <f>BY91+BY92</f>
        <v>9.7529056576831752E-2</v>
      </c>
      <c r="BZ90" s="147">
        <f>BZ91+BZ92</f>
        <v>0.10502346249883808</v>
      </c>
      <c r="CA90" s="47">
        <f>CA89/BV89-1</f>
        <v>9.9149224486020149E-2</v>
      </c>
      <c r="CB90" s="147">
        <f>CB91+CB92</f>
        <v>9.9548326913197829E-2</v>
      </c>
      <c r="CC90" s="147">
        <f>CC91+CC92</f>
        <v>9.9548326913197829E-2</v>
      </c>
      <c r="CD90" s="147">
        <f>CD91+CD92</f>
        <v>9.9548326913197829E-2</v>
      </c>
      <c r="CE90" s="147">
        <f>CE91+CE92</f>
        <v>9.9548326913197829E-2</v>
      </c>
      <c r="CF90" s="47">
        <f>CF89/CA89-1</f>
        <v>9.9548326913197815E-2</v>
      </c>
      <c r="CI90"/>
      <c r="CJ90"/>
      <c r="CK90"/>
      <c r="CL90"/>
      <c r="CM90"/>
      <c r="CN90"/>
      <c r="CO90"/>
      <c r="CP90"/>
      <c r="CQ90"/>
      <c r="CR90"/>
      <c r="CS90"/>
    </row>
    <row r="91" spans="1:97" ht="12.75" hidden="1" customHeight="1" outlineLevel="1" x14ac:dyDescent="0.35">
      <c r="A91" s="41"/>
      <c r="B91" s="42" t="s">
        <v>25</v>
      </c>
      <c r="C91" s="43"/>
      <c r="D91" s="43"/>
      <c r="E91" s="43"/>
      <c r="F91" s="43"/>
      <c r="G91" s="43"/>
      <c r="H91" s="43"/>
      <c r="I91" s="44"/>
      <c r="J91" s="153"/>
      <c r="K91" s="153"/>
      <c r="L91" s="153"/>
      <c r="M91" s="153"/>
      <c r="N91" s="47"/>
      <c r="O91" s="153"/>
      <c r="P91" s="153"/>
      <c r="Q91" s="153"/>
      <c r="R91" s="153"/>
      <c r="S91" s="47"/>
      <c r="T91" s="153"/>
      <c r="U91" s="153"/>
      <c r="V91" s="153"/>
      <c r="W91" s="153"/>
      <c r="X91" s="47"/>
      <c r="Y91" s="153"/>
      <c r="Z91" s="153"/>
      <c r="AA91" s="153"/>
      <c r="AB91" s="153"/>
      <c r="AC91" s="47"/>
      <c r="AD91" s="153"/>
      <c r="AE91" s="153"/>
      <c r="AF91" s="153"/>
      <c r="AG91" s="153"/>
      <c r="AH91" s="47"/>
      <c r="AI91" s="153"/>
      <c r="AJ91" s="153"/>
      <c r="AK91" s="153"/>
      <c r="AL91" s="153"/>
      <c r="AM91" s="47"/>
      <c r="AN91" s="153"/>
      <c r="AO91" s="153"/>
      <c r="AP91" s="153"/>
      <c r="AQ91" s="153"/>
      <c r="AR91" s="47"/>
      <c r="AS91" s="47"/>
      <c r="AT91" s="47"/>
      <c r="AU91" s="47"/>
      <c r="AV91" s="47"/>
      <c r="AW91" s="47"/>
      <c r="AX91" s="47"/>
      <c r="AY91" s="47"/>
      <c r="AZ91" s="47"/>
      <c r="BA91" s="47"/>
      <c r="BB91" s="47"/>
      <c r="BC91" s="205">
        <f>77/AX89</f>
        <v>0.37019230769230771</v>
      </c>
      <c r="BD91" s="205">
        <f>83/AY89</f>
        <v>0.40686274509803921</v>
      </c>
      <c r="BE91" s="205">
        <f>70/AZ89</f>
        <v>0.30172413793103448</v>
      </c>
      <c r="BF91" s="205">
        <f>4/BA89</f>
        <v>1.3698630136986301E-2</v>
      </c>
      <c r="BG91" s="47">
        <f>SUMPRODUCT(BC91:BF91,AX$83:BA$83)/BB$83</f>
        <v>0.27155673841123895</v>
      </c>
      <c r="BH91" s="205">
        <v>0</v>
      </c>
      <c r="BI91" s="205">
        <v>0</v>
      </c>
      <c r="BJ91" s="205">
        <v>0</v>
      </c>
      <c r="BK91" s="205">
        <v>0</v>
      </c>
      <c r="BL91" s="47">
        <f>SUMPRODUCT(BH91:BK91,BC$83:BF$83)/BG$83</f>
        <v>0</v>
      </c>
      <c r="BM91" s="205">
        <v>0</v>
      </c>
      <c r="BN91" s="205">
        <v>0</v>
      </c>
      <c r="BO91" s="205">
        <v>0</v>
      </c>
      <c r="BP91" s="205">
        <f>BP221/BK89</f>
        <v>5.5401662049861496E-3</v>
      </c>
      <c r="BQ91" s="47">
        <f>SUMPRODUCT(BM91:BP91,BH$83:BK$83)/BL$83</f>
        <v>1.4414459583108761E-3</v>
      </c>
      <c r="BR91" s="205">
        <f>BR221/BM89</f>
        <v>3.0136986301369864E-2</v>
      </c>
      <c r="BS91" s="205">
        <f>BS221/BN89</f>
        <v>3.825136612021858E-2</v>
      </c>
      <c r="BT91" s="205">
        <f>BT221/BO89</f>
        <v>3.3942558746736295E-2</v>
      </c>
      <c r="BU91" s="205">
        <f>BU221/BP89</f>
        <v>1.4925373134328358E-2</v>
      </c>
      <c r="BV91" s="47">
        <f>SUMPRODUCT(BR91:BU91,BM$83:BP$83)/BQ$83</f>
        <v>2.909134630582973E-2</v>
      </c>
      <c r="BW91" s="205">
        <f>BW221/BR89</f>
        <v>-9.876543209876543E-3</v>
      </c>
      <c r="BX91" s="205">
        <f>BX221/BS89</f>
        <v>-9.6852300242130755E-3</v>
      </c>
      <c r="BY91" s="205">
        <f>BY221/BT89</f>
        <v>-9.433962264150943E-3</v>
      </c>
      <c r="BZ91" s="205">
        <f>BZ221/BU89</f>
        <v>0</v>
      </c>
      <c r="CA91" s="47">
        <f>SUMPRODUCT(BW91:BZ91,BR$83:BU$83)/BV$83</f>
        <v>-7.1090070993359306E-3</v>
      </c>
      <c r="CB91" s="205">
        <f>CB221/BW89</f>
        <v>0</v>
      </c>
      <c r="CC91" s="205">
        <f>CC221/BX89</f>
        <v>0</v>
      </c>
      <c r="CD91" s="205">
        <f>CD221/BY89</f>
        <v>0</v>
      </c>
      <c r="CE91" s="205">
        <f>CE221/BZ89</f>
        <v>0</v>
      </c>
      <c r="CF91" s="47">
        <f>SUMPRODUCT(CB91:CE91,BW$83:BZ$83)/CA$83</f>
        <v>0</v>
      </c>
      <c r="CI91"/>
      <c r="CJ91"/>
      <c r="CK91"/>
      <c r="CL91"/>
      <c r="CM91"/>
      <c r="CN91"/>
      <c r="CO91"/>
      <c r="CP91"/>
      <c r="CQ91"/>
      <c r="CR91"/>
      <c r="CS91"/>
    </row>
    <row r="92" spans="1:97" ht="12.75" hidden="1" customHeight="1" outlineLevel="1" x14ac:dyDescent="0.35">
      <c r="A92" s="41"/>
      <c r="B92" s="42" t="s">
        <v>64</v>
      </c>
      <c r="C92" s="43"/>
      <c r="D92" s="43"/>
      <c r="E92" s="43"/>
      <c r="F92" s="43"/>
      <c r="G92" s="43"/>
      <c r="H92" s="43"/>
      <c r="I92" s="44"/>
      <c r="J92" s="153"/>
      <c r="K92" s="153"/>
      <c r="L92" s="153"/>
      <c r="M92" s="153"/>
      <c r="N92" s="47"/>
      <c r="O92" s="153"/>
      <c r="P92" s="153"/>
      <c r="Q92" s="153"/>
      <c r="R92" s="153"/>
      <c r="S92" s="47"/>
      <c r="T92" s="153"/>
      <c r="U92" s="153"/>
      <c r="V92" s="153"/>
      <c r="W92" s="153"/>
      <c r="X92" s="47"/>
      <c r="Y92" s="153"/>
      <c r="Z92" s="153"/>
      <c r="AA92" s="153"/>
      <c r="AB92" s="153"/>
      <c r="AC92" s="47"/>
      <c r="AD92" s="153"/>
      <c r="AE92" s="153"/>
      <c r="AF92" s="153"/>
      <c r="AG92" s="153"/>
      <c r="AH92" s="47"/>
      <c r="AI92" s="153"/>
      <c r="AJ92" s="153"/>
      <c r="AK92" s="153"/>
      <c r="AL92" s="153"/>
      <c r="AM92" s="47"/>
      <c r="AN92" s="153"/>
      <c r="AO92" s="153"/>
      <c r="AP92" s="153"/>
      <c r="AQ92" s="153"/>
      <c r="AR92" s="47"/>
      <c r="AS92" s="47"/>
      <c r="AT92" s="47"/>
      <c r="AU92" s="47"/>
      <c r="AV92" s="47"/>
      <c r="AW92" s="47"/>
      <c r="AX92" s="47"/>
      <c r="AY92" s="47"/>
      <c r="AZ92" s="47"/>
      <c r="BA92" s="47"/>
      <c r="BB92" s="47"/>
      <c r="BC92" s="147">
        <f>BC90-BC91</f>
        <v>0.13942307692307687</v>
      </c>
      <c r="BD92" s="147">
        <f>BD90-BD91</f>
        <v>3.4313725490196068E-2</v>
      </c>
      <c r="BE92" s="147">
        <f>BE90-BE91</f>
        <v>2.5862068965517349E-2</v>
      </c>
      <c r="BF92" s="147">
        <f>BF90-BF91</f>
        <v>0.11301369863013694</v>
      </c>
      <c r="BG92" s="47">
        <f>SUMPRODUCT(BC92:BF92,AX$83:BA$83)/BB$83</f>
        <v>7.7756315882032398E-2</v>
      </c>
      <c r="BH92" s="147">
        <f>BH90-BH91</f>
        <v>6.3694267515923553E-2</v>
      </c>
      <c r="BI92" s="147">
        <f>BI90-BI91</f>
        <v>0.13605442176870741</v>
      </c>
      <c r="BJ92" s="147">
        <f>BJ90-BJ91</f>
        <v>0.14935064935064934</v>
      </c>
      <c r="BK92" s="147">
        <f>BK90-BK91</f>
        <v>9.7264437689969618E-2</v>
      </c>
      <c r="BL92" s="47">
        <f>SUMPRODUCT(BH92:BK92,BC$83:BF$83)/BG$83</f>
        <v>0.11146265291958667</v>
      </c>
      <c r="BM92" s="147">
        <f>BM90-BM91</f>
        <v>9.2814371257484929E-2</v>
      </c>
      <c r="BN92" s="147">
        <f>BN90-BN91</f>
        <v>9.5808383233533023E-2</v>
      </c>
      <c r="BO92" s="147">
        <f>BO90-BO91</f>
        <v>8.1920903954802338E-2</v>
      </c>
      <c r="BP92" s="147">
        <f>BP90-BP91</f>
        <v>0.10803324099722994</v>
      </c>
      <c r="BQ92" s="47">
        <f>SUMPRODUCT(BM92:BP92,BH$83:BK$83)/BL$83</f>
        <v>9.4773297612403773E-2</v>
      </c>
      <c r="BR92" s="147">
        <f>BR90-BR91</f>
        <v>7.9452054794520541E-2</v>
      </c>
      <c r="BS92" s="147">
        <f>BS90-BS91</f>
        <v>9.0163934426229539E-2</v>
      </c>
      <c r="BT92" s="147">
        <f>BT90-BT91</f>
        <v>7.3107049608355068E-2</v>
      </c>
      <c r="BU92" s="147">
        <f>BU93+BU94</f>
        <v>9.8578295504919089E-2</v>
      </c>
      <c r="BV92" s="47">
        <f>SUMPRODUCT(BR92:BU92,BM$83:BP$83)/BQ$83</f>
        <v>8.5475256814654663E-2</v>
      </c>
      <c r="BW92" s="147">
        <f>BW93+BW94</f>
        <v>0.11923791948952542</v>
      </c>
      <c r="BX92" s="147">
        <f>BX93+BX94</f>
        <v>9.4116666410541797E-2</v>
      </c>
      <c r="BY92" s="147">
        <f>BY93+BY94</f>
        <v>0.10696301884098269</v>
      </c>
      <c r="BZ92" s="147">
        <f>BZ93+BZ94</f>
        <v>0.10502346249883808</v>
      </c>
      <c r="CA92" s="47">
        <f>SUMPRODUCT(BW92:BZ92,BR$83:BU$83)/BV$83</f>
        <v>0.10614933390086642</v>
      </c>
      <c r="CB92" s="147">
        <f>CB93+CB94</f>
        <v>9.9548326913197829E-2</v>
      </c>
      <c r="CC92" s="147">
        <f>CC93+CC94</f>
        <v>9.9548326913197829E-2</v>
      </c>
      <c r="CD92" s="147">
        <f>CD93+CD94</f>
        <v>9.9548326913197829E-2</v>
      </c>
      <c r="CE92" s="147">
        <f>CE93+CE94</f>
        <v>9.9548326913197829E-2</v>
      </c>
      <c r="CF92" s="47">
        <f>SUMPRODUCT(CB92:CE92,BW$83:BZ$83)/CA$83</f>
        <v>9.9548326913197829E-2</v>
      </c>
      <c r="CI92"/>
      <c r="CJ92"/>
      <c r="CK92"/>
      <c r="CL92"/>
      <c r="CM92"/>
      <c r="CN92"/>
      <c r="CO92"/>
      <c r="CP92"/>
      <c r="CQ92"/>
      <c r="CR92"/>
      <c r="CS92"/>
    </row>
    <row r="93" spans="1:97" ht="12.75" hidden="1" customHeight="1" outlineLevel="1" x14ac:dyDescent="0.35">
      <c r="A93" s="41"/>
      <c r="B93" s="42" t="s">
        <v>27</v>
      </c>
      <c r="C93" s="43"/>
      <c r="D93" s="43"/>
      <c r="E93" s="43"/>
      <c r="F93" s="43"/>
      <c r="G93" s="43"/>
      <c r="H93" s="43"/>
      <c r="I93" s="44"/>
      <c r="J93" s="153"/>
      <c r="K93" s="153"/>
      <c r="L93" s="153"/>
      <c r="M93" s="153"/>
      <c r="N93" s="47"/>
      <c r="O93" s="153"/>
      <c r="P93" s="153"/>
      <c r="Q93" s="153"/>
      <c r="R93" s="153"/>
      <c r="S93" s="47"/>
      <c r="T93" s="153"/>
      <c r="U93" s="153"/>
      <c r="V93" s="153"/>
      <c r="W93" s="153"/>
      <c r="X93" s="47"/>
      <c r="Y93" s="153"/>
      <c r="Z93" s="153"/>
      <c r="AA93" s="153"/>
      <c r="AB93" s="153"/>
      <c r="AC93" s="47"/>
      <c r="AD93" s="153"/>
      <c r="AE93" s="153"/>
      <c r="AF93" s="153"/>
      <c r="AG93" s="153"/>
      <c r="AH93" s="47"/>
      <c r="AI93" s="153"/>
      <c r="AJ93" s="153"/>
      <c r="AK93" s="153"/>
      <c r="AL93" s="153"/>
      <c r="AM93" s="47"/>
      <c r="AN93" s="153"/>
      <c r="AO93" s="153"/>
      <c r="AP93" s="153"/>
      <c r="AQ93" s="153"/>
      <c r="AR93" s="47"/>
      <c r="AS93" s="47"/>
      <c r="AT93" s="47"/>
      <c r="AU93" s="47"/>
      <c r="AV93" s="47"/>
      <c r="AW93" s="47"/>
      <c r="AX93" s="47"/>
      <c r="AY93" s="47"/>
      <c r="AZ93" s="47"/>
      <c r="BA93" s="47"/>
      <c r="BB93" s="47"/>
      <c r="BC93" s="205">
        <f>-5/AX89</f>
        <v>-2.403846153846154E-2</v>
      </c>
      <c r="BD93" s="205">
        <f>-11/AY89</f>
        <v>-5.3921568627450983E-2</v>
      </c>
      <c r="BE93" s="205">
        <f>-12/AZ89</f>
        <v>-5.1724137931034482E-2</v>
      </c>
      <c r="BF93" s="205">
        <f>-12/BA89</f>
        <v>-4.1095890410958902E-2</v>
      </c>
      <c r="BG93" s="47">
        <f>SUMPRODUCT(BC93:BF93,AX$83:BA$83)/BB$83</f>
        <v>-4.2833024522575751E-2</v>
      </c>
      <c r="BH93" s="205">
        <f>-7/BC89</f>
        <v>-2.2292993630573247E-2</v>
      </c>
      <c r="BI93" s="205">
        <v>3.0000000000000001E-3</v>
      </c>
      <c r="BJ93" s="205">
        <f>5/BE89</f>
        <v>1.6233766233766232E-2</v>
      </c>
      <c r="BK93" s="205">
        <f>5/BF89</f>
        <v>1.5197568389057751E-2</v>
      </c>
      <c r="BL93" s="47">
        <f>SUMPRODUCT(BH93:BK93,BC$83:BF$83)/BG$83</f>
        <v>3.0320330366225149E-3</v>
      </c>
      <c r="BM93" s="205">
        <f>2/BH89</f>
        <v>5.9880239520958087E-3</v>
      </c>
      <c r="BN93" s="205">
        <f>-1/BI89</f>
        <v>-2.9940119760479044E-3</v>
      </c>
      <c r="BO93" s="205">
        <f>1/BJ89</f>
        <v>2.8248587570621469E-3</v>
      </c>
      <c r="BP93" s="205">
        <v>0</v>
      </c>
      <c r="BQ93" s="47">
        <f>SUMPRODUCT(BM93:BP93,BH$83:BK$83)/BL$83</f>
        <v>1.4308180938529414E-3</v>
      </c>
      <c r="BR93" s="205">
        <f>-3/BM89</f>
        <v>-8.21917808219178E-3</v>
      </c>
      <c r="BS93" s="205">
        <f>5/BN89</f>
        <v>1.3661202185792349E-2</v>
      </c>
      <c r="BT93" s="205">
        <f>5/BO89</f>
        <v>1.3054830287206266E-2</v>
      </c>
      <c r="BU93" s="50">
        <f>BU$248</f>
        <v>2.8578295504919089E-2</v>
      </c>
      <c r="BV93" s="47">
        <f>SUMPRODUCT(BR93:BU93,BM$83:BP$83)/BQ$83</f>
        <v>1.2176225793662319E-2</v>
      </c>
      <c r="BW93" s="50">
        <f>BW$248</f>
        <v>2.9237919489525425E-2</v>
      </c>
      <c r="BX93" s="50">
        <f>BX$248</f>
        <v>4.1166664105418025E-3</v>
      </c>
      <c r="BY93" s="50">
        <f>BY$248</f>
        <v>-3.0369811590173091E-3</v>
      </c>
      <c r="BZ93" s="50">
        <f>BZ$248</f>
        <v>-4.9765375011619171E-3</v>
      </c>
      <c r="CA93" s="47">
        <f>SUMPRODUCT(BW93:BZ93,BR$83:BU$83)/BV$83</f>
        <v>5.8345685107500734E-3</v>
      </c>
      <c r="CB93" s="50">
        <f>CB$248</f>
        <v>-4.5167308680217231E-4</v>
      </c>
      <c r="CC93" s="50">
        <f>CC$248</f>
        <v>-4.5167308680217231E-4</v>
      </c>
      <c r="CD93" s="50">
        <f>CD$248</f>
        <v>-4.5167308680217231E-4</v>
      </c>
      <c r="CE93" s="50">
        <f>CE$248</f>
        <v>-4.5167308680217231E-4</v>
      </c>
      <c r="CF93" s="47">
        <f>SUMPRODUCT(CB93:CE93,BW$83:BZ$83)/CA$83</f>
        <v>-4.5167308680217231E-4</v>
      </c>
      <c r="CI93"/>
      <c r="CJ93"/>
      <c r="CK93"/>
      <c r="CL93"/>
      <c r="CM93"/>
      <c r="CN93"/>
      <c r="CO93"/>
      <c r="CP93"/>
      <c r="CQ93"/>
      <c r="CR93"/>
      <c r="CS93"/>
    </row>
    <row r="94" spans="1:97" s="1" customFormat="1" ht="12.75" hidden="1" customHeight="1" outlineLevel="1" thickBot="1" x14ac:dyDescent="0.45">
      <c r="A94" s="58"/>
      <c r="B94" s="53" t="s">
        <v>442</v>
      </c>
      <c r="C94" s="54"/>
      <c r="D94" s="54"/>
      <c r="E94" s="54"/>
      <c r="F94" s="54"/>
      <c r="G94" s="54"/>
      <c r="H94" s="54"/>
      <c r="I94" s="55"/>
      <c r="J94" s="561"/>
      <c r="K94" s="561"/>
      <c r="L94" s="561"/>
      <c r="M94" s="561"/>
      <c r="N94" s="269"/>
      <c r="O94" s="561"/>
      <c r="P94" s="561"/>
      <c r="Q94" s="561"/>
      <c r="R94" s="561"/>
      <c r="S94" s="269"/>
      <c r="T94" s="561"/>
      <c r="U94" s="561"/>
      <c r="V94" s="561"/>
      <c r="W94" s="561"/>
      <c r="X94" s="269"/>
      <c r="Y94" s="561"/>
      <c r="Z94" s="561"/>
      <c r="AA94" s="561"/>
      <c r="AB94" s="561"/>
      <c r="AC94" s="269"/>
      <c r="AD94" s="561"/>
      <c r="AE94" s="561"/>
      <c r="AF94" s="561"/>
      <c r="AG94" s="561"/>
      <c r="AH94" s="269"/>
      <c r="AI94" s="561"/>
      <c r="AJ94" s="561"/>
      <c r="AK94" s="561"/>
      <c r="AL94" s="561"/>
      <c r="AM94" s="269"/>
      <c r="AN94" s="561"/>
      <c r="AO94" s="561"/>
      <c r="AP94" s="561"/>
      <c r="AQ94" s="561"/>
      <c r="AR94" s="269"/>
      <c r="AS94" s="269"/>
      <c r="AT94" s="269"/>
      <c r="AU94" s="269"/>
      <c r="AV94" s="269"/>
      <c r="AW94" s="269"/>
      <c r="AX94" s="269"/>
      <c r="AY94" s="269"/>
      <c r="AZ94" s="269"/>
      <c r="BA94" s="269"/>
      <c r="BB94" s="269"/>
      <c r="BC94" s="486">
        <f>BC90-BC91-BC93</f>
        <v>0.16346153846153841</v>
      </c>
      <c r="BD94" s="486">
        <f>BD90-BD91-BD93</f>
        <v>8.8235294117647051E-2</v>
      </c>
      <c r="BE94" s="486">
        <f>BE90-BE91-BE93</f>
        <v>7.7586206896551824E-2</v>
      </c>
      <c r="BF94" s="486">
        <f>BF90-BF91-BF93</f>
        <v>0.15410958904109584</v>
      </c>
      <c r="BG94" s="269">
        <f>SUMPRODUCT(BC94:BF94,AX$83:BA$83)/BB$83</f>
        <v>0.12058934040460814</v>
      </c>
      <c r="BH94" s="486">
        <f>BH90-BH91-BH93</f>
        <v>8.5987261146496796E-2</v>
      </c>
      <c r="BI94" s="486">
        <f>BI90-BI91-BI93</f>
        <v>0.13305442176870741</v>
      </c>
      <c r="BJ94" s="486">
        <f>BJ90-BJ91-BJ93</f>
        <v>0.13311688311688311</v>
      </c>
      <c r="BK94" s="486">
        <f>BK90-BK91-BK93</f>
        <v>8.2066869300911865E-2</v>
      </c>
      <c r="BL94" s="269">
        <f>SUMPRODUCT(BH94:BK94,BC$83:BF$83)/BG$83</f>
        <v>0.10843061988296414</v>
      </c>
      <c r="BM94" s="486">
        <f>BM90-BM91-BM93</f>
        <v>8.6826347305389115E-2</v>
      </c>
      <c r="BN94" s="486">
        <f>BN90-BN91-BN93</f>
        <v>9.8802395209580923E-2</v>
      </c>
      <c r="BO94" s="486">
        <f>BO90-BO91-BO93</f>
        <v>7.9096045197740189E-2</v>
      </c>
      <c r="BP94" s="486">
        <f>BP90-BP91-BP93</f>
        <v>0.10803324099722994</v>
      </c>
      <c r="BQ94" s="269">
        <f>SUMPRODUCT(BM94:BP94,BH$83:BK$83)/BL$83</f>
        <v>9.3342479518550819E-2</v>
      </c>
      <c r="BR94" s="486">
        <f>BR90-BR91-BR93</f>
        <v>8.7671232876712316E-2</v>
      </c>
      <c r="BS94" s="486">
        <f>BS90-BS91-BS93</f>
        <v>7.6502732240437188E-2</v>
      </c>
      <c r="BT94" s="486">
        <f>BT90-BT91-BT93</f>
        <v>6.0052219321148806E-2</v>
      </c>
      <c r="BU94" s="655">
        <v>7.0000000000000007E-2</v>
      </c>
      <c r="BV94" s="269">
        <f>SUMPRODUCT(BR94:BU94,BM$83:BP$83)/BQ$83</f>
        <v>7.3299031020992347E-2</v>
      </c>
      <c r="BW94" s="655">
        <v>0.09</v>
      </c>
      <c r="BX94" s="655">
        <v>0.09</v>
      </c>
      <c r="BY94" s="655">
        <v>0.11</v>
      </c>
      <c r="BZ94" s="655">
        <v>0.11</v>
      </c>
      <c r="CA94" s="269">
        <f>SUMPRODUCT(BW94:BZ94,BR$83:BU$83)/BV$83</f>
        <v>0.10031476539011636</v>
      </c>
      <c r="CB94" s="655">
        <v>0.1</v>
      </c>
      <c r="CC94" s="655">
        <v>0.1</v>
      </c>
      <c r="CD94" s="655">
        <v>0.1</v>
      </c>
      <c r="CE94" s="655">
        <v>0.1</v>
      </c>
      <c r="CF94" s="269">
        <f>SUMPRODUCT(CB94:CE94,BW$83:BZ$83)/CA$83</f>
        <v>0.1</v>
      </c>
    </row>
    <row r="95" spans="1:97" ht="12.75" customHeight="1" collapsed="1" thickBot="1" x14ac:dyDescent="0.4">
      <c r="A95" s="24"/>
      <c r="B95" s="107" t="s">
        <v>101</v>
      </c>
      <c r="C95" s="107"/>
      <c r="D95" s="107"/>
      <c r="E95" s="254">
        <f t="shared" ref="E95:AU95" si="108">E72+E70+E74</f>
        <v>194.1</v>
      </c>
      <c r="F95" s="217">
        <f t="shared" si="108"/>
        <v>199.6</v>
      </c>
      <c r="G95" s="217">
        <f t="shared" si="108"/>
        <v>215</v>
      </c>
      <c r="H95" s="217">
        <f t="shared" si="108"/>
        <v>234.8</v>
      </c>
      <c r="I95" s="169">
        <f t="shared" si="108"/>
        <v>843.5</v>
      </c>
      <c r="J95" s="217">
        <f t="shared" si="108"/>
        <v>207.4</v>
      </c>
      <c r="K95" s="217">
        <f t="shared" si="108"/>
        <v>216</v>
      </c>
      <c r="L95" s="217">
        <f t="shared" si="108"/>
        <v>227.4</v>
      </c>
      <c r="M95" s="217">
        <f t="shared" si="108"/>
        <v>253.2</v>
      </c>
      <c r="N95" s="169">
        <f t="shared" si="108"/>
        <v>904</v>
      </c>
      <c r="O95" s="217">
        <f t="shared" si="108"/>
        <v>238.09999999999997</v>
      </c>
      <c r="P95" s="217">
        <f t="shared" si="108"/>
        <v>248.50000000000003</v>
      </c>
      <c r="Q95" s="217">
        <f t="shared" si="108"/>
        <v>269.5</v>
      </c>
      <c r="R95" s="217">
        <f t="shared" si="108"/>
        <v>312.39999999999998</v>
      </c>
      <c r="S95" s="169">
        <f t="shared" si="108"/>
        <v>1068.5</v>
      </c>
      <c r="T95" s="217">
        <f t="shared" si="108"/>
        <v>263.3</v>
      </c>
      <c r="U95" s="217">
        <f t="shared" si="108"/>
        <v>278.89999999999998</v>
      </c>
      <c r="V95" s="217">
        <f t="shared" si="108"/>
        <v>286.8</v>
      </c>
      <c r="W95" s="217">
        <f t="shared" si="108"/>
        <v>321.29999999999995</v>
      </c>
      <c r="X95" s="169">
        <f t="shared" si="108"/>
        <v>1150.3</v>
      </c>
      <c r="Y95" s="217">
        <f t="shared" si="108"/>
        <v>291</v>
      </c>
      <c r="Z95" s="217">
        <f t="shared" si="108"/>
        <v>303.3</v>
      </c>
      <c r="AA95" s="217">
        <f t="shared" si="108"/>
        <v>304.8</v>
      </c>
      <c r="AB95" s="217">
        <f t="shared" si="108"/>
        <v>334.3</v>
      </c>
      <c r="AC95" s="169">
        <f t="shared" si="108"/>
        <v>1233.4000000000001</v>
      </c>
      <c r="AD95" s="168">
        <f t="shared" si="108"/>
        <v>307</v>
      </c>
      <c r="AE95" s="168">
        <f t="shared" si="108"/>
        <v>313.8</v>
      </c>
      <c r="AF95" s="168">
        <f t="shared" si="108"/>
        <v>368.7</v>
      </c>
      <c r="AG95" s="168">
        <f t="shared" si="108"/>
        <v>440.8</v>
      </c>
      <c r="AH95" s="169">
        <f t="shared" si="108"/>
        <v>1430.3</v>
      </c>
      <c r="AI95" s="168">
        <f t="shared" si="108"/>
        <v>406.8</v>
      </c>
      <c r="AJ95" s="168">
        <f t="shared" si="108"/>
        <v>422.79999999999995</v>
      </c>
      <c r="AK95" s="168">
        <f t="shared" si="108"/>
        <v>436</v>
      </c>
      <c r="AL95" s="168">
        <f t="shared" si="108"/>
        <v>464.70000000000005</v>
      </c>
      <c r="AM95" s="169">
        <f t="shared" si="108"/>
        <v>1730.3</v>
      </c>
      <c r="AN95" s="168">
        <f t="shared" si="108"/>
        <v>472</v>
      </c>
      <c r="AO95" s="168">
        <f t="shared" si="108"/>
        <v>475.2</v>
      </c>
      <c r="AP95" s="168">
        <f t="shared" si="108"/>
        <v>493.90000000000003</v>
      </c>
      <c r="AQ95" s="168">
        <f t="shared" si="108"/>
        <v>513</v>
      </c>
      <c r="AR95" s="169">
        <f t="shared" si="108"/>
        <v>1954.1000000000001</v>
      </c>
      <c r="AS95" s="168">
        <f t="shared" si="108"/>
        <v>496</v>
      </c>
      <c r="AT95" s="168">
        <f t="shared" si="108"/>
        <v>497</v>
      </c>
      <c r="AU95" s="168">
        <f t="shared" si="108"/>
        <v>531</v>
      </c>
      <c r="AV95" s="168">
        <f t="shared" ref="AV95:BA95" si="109">AV72+AV70+AV74</f>
        <v>555</v>
      </c>
      <c r="AW95" s="169">
        <f t="shared" si="109"/>
        <v>2079</v>
      </c>
      <c r="AX95" s="168">
        <f t="shared" si="109"/>
        <v>564</v>
      </c>
      <c r="AY95" s="168">
        <f t="shared" si="109"/>
        <v>573</v>
      </c>
      <c r="AZ95" s="168">
        <f t="shared" si="109"/>
        <v>601</v>
      </c>
      <c r="BA95" s="168">
        <f t="shared" si="109"/>
        <v>668</v>
      </c>
      <c r="BB95" s="169">
        <f>SUM(AX95:BA95)</f>
        <v>2406</v>
      </c>
      <c r="BC95" s="168">
        <f>BC77+BC83+BC89</f>
        <v>695</v>
      </c>
      <c r="BD95" s="168">
        <f>BD77+BD83+BD89</f>
        <v>675</v>
      </c>
      <c r="BE95" s="168">
        <f>BE77+BE83+BE89</f>
        <v>685</v>
      </c>
      <c r="BF95" s="168">
        <f>BF77+BF83+BF89</f>
        <v>714</v>
      </c>
      <c r="BG95" s="169">
        <f>SUM(BC95:BF95)</f>
        <v>2769</v>
      </c>
      <c r="BH95" s="217">
        <f>BH77+BH83+BH89</f>
        <v>737</v>
      </c>
      <c r="BI95" s="217">
        <f>BI77+BI83+BI89</f>
        <v>747</v>
      </c>
      <c r="BJ95" s="217">
        <f>BJ77+BJ83+BJ89</f>
        <v>776</v>
      </c>
      <c r="BK95" s="217">
        <f>BK77+BK83+BK89</f>
        <v>796</v>
      </c>
      <c r="BL95" s="169">
        <f>SUM(BH95:BK95)</f>
        <v>3056</v>
      </c>
      <c r="BM95" s="217">
        <f>BM77+BM83+BM89</f>
        <v>799</v>
      </c>
      <c r="BN95" s="217">
        <f>BN77+BN83+BN89</f>
        <v>802</v>
      </c>
      <c r="BO95" s="217">
        <f>BO77+BO83+BO89</f>
        <v>831</v>
      </c>
      <c r="BP95" s="217">
        <f>BP77+BP83+BP89</f>
        <v>863</v>
      </c>
      <c r="BQ95" s="169">
        <f>SUM(BM95:BP95)</f>
        <v>3295</v>
      </c>
      <c r="BR95" s="217">
        <f>BR77+BR83+BR89</f>
        <v>859</v>
      </c>
      <c r="BS95" s="217">
        <f>BS77+BS83+BS89</f>
        <v>888</v>
      </c>
      <c r="BT95" s="217">
        <f>BT77+BT83+BT89</f>
        <v>909</v>
      </c>
      <c r="BU95" s="217">
        <f>BU77+BU83+BU89</f>
        <v>949.46306902074514</v>
      </c>
      <c r="BV95" s="169">
        <f>SUM(BR95:BU95)</f>
        <v>3605.463069020745</v>
      </c>
      <c r="BW95" s="217">
        <f>BW77+BW83+BW89</f>
        <v>947.25537284150232</v>
      </c>
      <c r="BX95" s="217">
        <f>BX77+BX83+BX89</f>
        <v>956.94559977256108</v>
      </c>
      <c r="BY95" s="217">
        <f>BY77+BY83+BY89</f>
        <v>982.92438412645333</v>
      </c>
      <c r="BZ95" s="217">
        <f>BZ77+BZ83+BZ89</f>
        <v>1030.4282069040048</v>
      </c>
      <c r="CA95" s="169">
        <f>SUM(BW95:BZ95)</f>
        <v>3917.5535636445211</v>
      </c>
      <c r="CB95" s="217">
        <f>CB77+CB83+CB89</f>
        <v>1027.8068592362074</v>
      </c>
      <c r="CC95" s="217">
        <f>CC77+CC83+CC89</f>
        <v>1038.14377251356</v>
      </c>
      <c r="CD95" s="217">
        <f>CD77+CD83+CD89</f>
        <v>1066.4828870412407</v>
      </c>
      <c r="CE95" s="217">
        <f>CE77+CE83+CE89</f>
        <v>1118.195667665982</v>
      </c>
      <c r="CF95" s="169">
        <f>SUM(CB95:CE95)</f>
        <v>4250.6291864569903</v>
      </c>
      <c r="CI95"/>
      <c r="CJ95"/>
      <c r="CK95"/>
      <c r="CL95"/>
      <c r="CM95"/>
      <c r="CN95"/>
      <c r="CO95"/>
      <c r="CP95"/>
      <c r="CQ95"/>
      <c r="CR95"/>
      <c r="CS95"/>
    </row>
    <row r="96" spans="1:97" ht="12.75" customHeight="1" x14ac:dyDescent="0.35">
      <c r="A96" s="24"/>
      <c r="B96" s="42" t="s">
        <v>24</v>
      </c>
      <c r="C96" s="42"/>
      <c r="E96" s="147"/>
      <c r="F96" s="147"/>
      <c r="G96" s="147"/>
      <c r="H96" s="147"/>
      <c r="I96" s="191"/>
      <c r="J96" s="153">
        <f t="shared" ref="J96:AH96" si="110">IFERROR( J95/E95-1, "NA")</f>
        <v>6.8521380731581649E-2</v>
      </c>
      <c r="K96" s="153">
        <f t="shared" si="110"/>
        <v>8.21643286573146E-2</v>
      </c>
      <c r="L96" s="153">
        <f t="shared" si="110"/>
        <v>5.7674418604651168E-2</v>
      </c>
      <c r="M96" s="153">
        <f t="shared" si="110"/>
        <v>7.8364565587734081E-2</v>
      </c>
      <c r="N96" s="47">
        <f t="shared" si="110"/>
        <v>7.1724955542382896E-2</v>
      </c>
      <c r="O96" s="153">
        <f t="shared" si="110"/>
        <v>0.14802314368370273</v>
      </c>
      <c r="P96" s="153">
        <f t="shared" si="110"/>
        <v>0.15046296296296302</v>
      </c>
      <c r="Q96" s="153">
        <f t="shared" si="110"/>
        <v>0.1851363236587511</v>
      </c>
      <c r="R96" s="153">
        <f t="shared" si="110"/>
        <v>0.23380726698262233</v>
      </c>
      <c r="S96" s="47">
        <f t="shared" si="110"/>
        <v>0.18196902654867264</v>
      </c>
      <c r="T96" s="153">
        <f t="shared" si="110"/>
        <v>0.10583788324233545</v>
      </c>
      <c r="U96" s="153">
        <f t="shared" si="110"/>
        <v>0.12233400402414474</v>
      </c>
      <c r="V96" s="153">
        <f t="shared" si="110"/>
        <v>6.4192949907235564E-2</v>
      </c>
      <c r="W96" s="153">
        <f t="shared" si="110"/>
        <v>2.8489116517285362E-2</v>
      </c>
      <c r="X96" s="47">
        <f t="shared" si="110"/>
        <v>7.6555919513336512E-2</v>
      </c>
      <c r="Y96" s="153">
        <f t="shared" si="110"/>
        <v>0.10520319027725034</v>
      </c>
      <c r="Z96" s="153">
        <f t="shared" si="110"/>
        <v>8.7486554320545196E-2</v>
      </c>
      <c r="AA96" s="153">
        <f t="shared" si="110"/>
        <v>6.2761506276150625E-2</v>
      </c>
      <c r="AB96" s="153">
        <f t="shared" si="110"/>
        <v>4.046062869592304E-2</v>
      </c>
      <c r="AC96" s="47">
        <f t="shared" si="110"/>
        <v>7.2242023819873102E-2</v>
      </c>
      <c r="AD96" s="153">
        <f t="shared" si="110"/>
        <v>5.4982817869415834E-2</v>
      </c>
      <c r="AE96" s="153">
        <f t="shared" si="110"/>
        <v>3.4619188921859445E-2</v>
      </c>
      <c r="AF96" s="153">
        <f t="shared" si="110"/>
        <v>0.20964566929133843</v>
      </c>
      <c r="AG96" s="153">
        <f t="shared" si="110"/>
        <v>0.3185761292252467</v>
      </c>
      <c r="AH96" s="47">
        <f t="shared" si="110"/>
        <v>0.15964001945840756</v>
      </c>
      <c r="AI96" s="153">
        <f>IFERROR( AI95/AD95-1, "NA")</f>
        <v>0.3250814332247558</v>
      </c>
      <c r="AJ96" s="153">
        <f>IFERROR( AJ95/AE95-1, "NA")</f>
        <v>0.34735500318674295</v>
      </c>
      <c r="AK96" s="153">
        <f>IFERROR( AK95/AF95-1, "NA")</f>
        <v>0.18253322484404677</v>
      </c>
      <c r="AL96" s="153">
        <f>IFERROR( AL95/AG95-1, "NA")</f>
        <v>5.4219600725952999E-2</v>
      </c>
      <c r="AM96" s="47">
        <f>IFERROR( AM95/AH95-1, "NA")</f>
        <v>0.20974620708942182</v>
      </c>
      <c r="AN96" s="153">
        <f t="shared" ref="AN96" si="111">IFERROR( AN95/AI95-1, "NA")</f>
        <v>0.16027531956735497</v>
      </c>
      <c r="AO96" s="153">
        <f t="shared" ref="AO96:BD96" si="112">IFERROR( AO95/AJ95-1, "NA")</f>
        <v>0.12393566698202463</v>
      </c>
      <c r="AP96" s="153">
        <f t="shared" si="112"/>
        <v>0.13279816513761467</v>
      </c>
      <c r="AQ96" s="153">
        <f t="shared" si="112"/>
        <v>0.10393802453195589</v>
      </c>
      <c r="AR96" s="47">
        <f t="shared" si="112"/>
        <v>0.12934173264751792</v>
      </c>
      <c r="AS96" s="153">
        <f t="shared" si="112"/>
        <v>5.0847457627118731E-2</v>
      </c>
      <c r="AT96" s="153">
        <f t="shared" si="112"/>
        <v>4.5875420875420847E-2</v>
      </c>
      <c r="AU96" s="153">
        <f t="shared" si="112"/>
        <v>7.5116420328001476E-2</v>
      </c>
      <c r="AV96" s="153">
        <f t="shared" si="112"/>
        <v>8.1871345029239873E-2</v>
      </c>
      <c r="AW96" s="47">
        <f t="shared" si="112"/>
        <v>6.391689268717049E-2</v>
      </c>
      <c r="AX96" s="153">
        <f t="shared" si="112"/>
        <v>0.13709677419354849</v>
      </c>
      <c r="AY96" s="153">
        <f t="shared" si="112"/>
        <v>0.15291750503018098</v>
      </c>
      <c r="AZ96" s="153">
        <f t="shared" si="112"/>
        <v>0.13182674199623357</v>
      </c>
      <c r="BA96" s="153">
        <f t="shared" si="112"/>
        <v>0.20360360360360352</v>
      </c>
      <c r="BB96" s="47">
        <f>IFERROR( BB95/AW95-1, "NA")</f>
        <v>0.15728715728715725</v>
      </c>
      <c r="BC96" s="147">
        <f t="shared" si="112"/>
        <v>0.23226950354609932</v>
      </c>
      <c r="BD96" s="147">
        <f t="shared" si="112"/>
        <v>0.17801047120418856</v>
      </c>
      <c r="BE96" s="147">
        <f t="shared" ref="BE96:BT96" si="113">IFERROR( BE95/AZ95-1, "NA")</f>
        <v>0.13976705490848595</v>
      </c>
      <c r="BF96" s="147">
        <f t="shared" si="113"/>
        <v>6.8862275449101729E-2</v>
      </c>
      <c r="BG96" s="191">
        <f t="shared" si="113"/>
        <v>0.1508728179551122</v>
      </c>
      <c r="BH96" s="147">
        <f t="shared" si="113"/>
        <v>6.0431654676258884E-2</v>
      </c>
      <c r="BI96" s="147">
        <f t="shared" si="113"/>
        <v>0.10666666666666669</v>
      </c>
      <c r="BJ96" s="147">
        <f t="shared" si="113"/>
        <v>0.13284671532846715</v>
      </c>
      <c r="BK96" s="147">
        <f t="shared" si="113"/>
        <v>0.11484593837535018</v>
      </c>
      <c r="BL96" s="191">
        <f>IFERROR( BL95/BG95-1, "NA")</f>
        <v>0.10364752618273743</v>
      </c>
      <c r="BM96" s="147">
        <f t="shared" si="113"/>
        <v>8.4124830393487171E-2</v>
      </c>
      <c r="BN96" s="147">
        <f>IFERROR( BN95/BI95-1, "NA")</f>
        <v>7.3627844712182089E-2</v>
      </c>
      <c r="BO96" s="147">
        <f>IFERROR( BO95/BJ95-1, "NA")</f>
        <v>7.0876288659793785E-2</v>
      </c>
      <c r="BP96" s="147">
        <f t="shared" si="113"/>
        <v>8.4170854271356843E-2</v>
      </c>
      <c r="BQ96" s="191">
        <f t="shared" si="113"/>
        <v>7.8206806282722585E-2</v>
      </c>
      <c r="BR96" s="147">
        <f t="shared" si="113"/>
        <v>7.5093867334167674E-2</v>
      </c>
      <c r="BS96" s="147">
        <f t="shared" si="113"/>
        <v>0.10723192019950134</v>
      </c>
      <c r="BT96" s="147">
        <f t="shared" si="113"/>
        <v>9.3862815884476536E-2</v>
      </c>
      <c r="BU96" s="147">
        <f t="shared" ref="BU96:CA96" si="114">IFERROR( BU95/BP95-1, "NA")</f>
        <v>0.10018895599159339</v>
      </c>
      <c r="BV96" s="191">
        <f t="shared" si="114"/>
        <v>9.4222479217221489E-2</v>
      </c>
      <c r="BW96" s="147">
        <f t="shared" si="114"/>
        <v>0.10274199399476402</v>
      </c>
      <c r="BX96" s="147">
        <f t="shared" si="114"/>
        <v>7.7641441185316573E-2</v>
      </c>
      <c r="BY96" s="147">
        <f t="shared" si="114"/>
        <v>8.132495503460202E-2</v>
      </c>
      <c r="BZ96" s="147">
        <f t="shared" si="114"/>
        <v>8.527465735635742E-2</v>
      </c>
      <c r="CA96" s="191">
        <f t="shared" si="114"/>
        <v>8.6560446924378143E-2</v>
      </c>
      <c r="CB96" s="147">
        <f>IFERROR( CB95/BW95-1, "NA")</f>
        <v>8.5036716290215475E-2</v>
      </c>
      <c r="CC96" s="147">
        <f>IFERROR( CC95/BX95-1, "NA")</f>
        <v>8.4851398825907642E-2</v>
      </c>
      <c r="CD96" s="147">
        <f>IFERROR( CD95/BY95-1, "NA")</f>
        <v>8.5010102775146423E-2</v>
      </c>
      <c r="CE96" s="147">
        <f>IFERROR( CE95/BZ95-1, "NA")</f>
        <v>8.5175716438975257E-2</v>
      </c>
      <c r="CF96" s="191">
        <f>IFERROR( CF95/CA95-1, "NA")</f>
        <v>8.5021332165936547E-2</v>
      </c>
      <c r="CI96"/>
      <c r="CJ96"/>
      <c r="CK96"/>
      <c r="CL96"/>
      <c r="CM96"/>
      <c r="CN96"/>
      <c r="CO96"/>
      <c r="CP96"/>
      <c r="CQ96"/>
      <c r="CR96"/>
      <c r="CS96"/>
    </row>
    <row r="97" spans="1:97" ht="12.75" customHeight="1" x14ac:dyDescent="0.35">
      <c r="A97" s="24"/>
      <c r="B97" s="42" t="s">
        <v>25</v>
      </c>
      <c r="C97" s="42"/>
      <c r="I97" s="36"/>
      <c r="J97" s="38"/>
      <c r="K97" s="38"/>
      <c r="L97" s="38"/>
      <c r="M97" s="38"/>
      <c r="N97" s="36"/>
      <c r="O97" s="50">
        <v>0.05</v>
      </c>
      <c r="P97" s="50">
        <v>0.05</v>
      </c>
      <c r="Q97" s="50">
        <v>7.0000000000000007E-2</v>
      </c>
      <c r="R97" s="50">
        <v>5.5E-2</v>
      </c>
      <c r="S97" s="52">
        <f>SUMPRODUCT(O97:R97,J$95:M$95)/N$95</f>
        <v>5.6431415929203546E-2</v>
      </c>
      <c r="T97" s="50">
        <v>4.3999999999999997E-2</v>
      </c>
      <c r="U97" s="50">
        <v>0.05</v>
      </c>
      <c r="V97" s="46">
        <f>(0.03*Q70)/Q95</f>
        <v>1.5951762523191096E-2</v>
      </c>
      <c r="W97" s="50">
        <v>0</v>
      </c>
      <c r="X97" s="52">
        <f>SUMPRODUCT(T97:W97,O$95:R$95)/S$95</f>
        <v>2.5456621431913899E-2</v>
      </c>
      <c r="Y97" s="51">
        <v>2.2499999999999999E-2</v>
      </c>
      <c r="Z97" s="51">
        <v>0.03</v>
      </c>
      <c r="AA97" s="51">
        <v>0.03</v>
      </c>
      <c r="AB97" s="51">
        <v>0.03</v>
      </c>
      <c r="AC97" s="52">
        <f>SUMPRODUCT(Y97:AB97,T$95:W$95)/X$95</f>
        <v>2.8283273928540374E-2</v>
      </c>
      <c r="AD97" s="51">
        <v>0.03</v>
      </c>
      <c r="AE97" s="51">
        <v>0</v>
      </c>
      <c r="AF97" s="48">
        <f>30.2/AA95</f>
        <v>9.9081364829396321E-2</v>
      </c>
      <c r="AG97" s="48">
        <f>62/AB95</f>
        <v>0.18546215973676339</v>
      </c>
      <c r="AH97" s="52">
        <f>SUMPRODUCT(AD97:AG97,Y$95:AB$95)/AC$95</f>
        <v>8.1830711853413327E-2</v>
      </c>
      <c r="AI97" s="48">
        <f>73.5/AD95</f>
        <v>0.23941368078175895</v>
      </c>
      <c r="AJ97" s="48">
        <f>80/AE95</f>
        <v>0.25493945188017847</v>
      </c>
      <c r="AK97" s="48">
        <f>(436-399.1)/AF95</f>
        <v>0.10008136696501214</v>
      </c>
      <c r="AL97" s="48">
        <f>(464.7-453.4)/AG95</f>
        <v>2.5635208711433783E-2</v>
      </c>
      <c r="AM97" s="52">
        <f>SUMPRODUCT(AI97:AL97,AD$95:AG$95)/AH$95</f>
        <v>0.14101936656645458</v>
      </c>
      <c r="AN97" s="48">
        <f>(2.5+8.9)/AI95</f>
        <v>2.8023598820058997E-2</v>
      </c>
      <c r="AO97" s="48">
        <f>(1.1+8.8)/AJ95</f>
        <v>2.341532639545885E-2</v>
      </c>
      <c r="AP97" s="48">
        <f>(1.1+9+2.5)/AK95</f>
        <v>2.8899082568807338E-2</v>
      </c>
      <c r="AQ97" s="48">
        <f>(1+5+2-16)/AL95</f>
        <v>-1.7215407789972024E-2</v>
      </c>
      <c r="AR97" s="52">
        <f>SUMPRODUCT(AN97:AQ97,AI$95:AL$95)/AM$95</f>
        <v>1.4968502571808356E-2</v>
      </c>
      <c r="AS97" s="48">
        <f>(-17/AN95)</f>
        <v>-3.6016949152542374E-2</v>
      </c>
      <c r="AT97" s="48">
        <f>(6+2+14-28)/AO95</f>
        <v>-1.2626262626262626E-2</v>
      </c>
      <c r="AU97" s="48">
        <f>(2+3+16-28)/AP95-0.005</f>
        <v>-1.917290949584936E-2</v>
      </c>
      <c r="AV97" s="48">
        <f>(15+2-11)/AQ95</f>
        <v>1.1695906432748537E-2</v>
      </c>
      <c r="AW97" s="52">
        <f>SUMPRODUCT(AS97:AV97,AN$95:AQ$95)/AR$95</f>
        <v>-1.3545622025484875E-2</v>
      </c>
      <c r="AX97" s="46">
        <f>19/AS95</f>
        <v>3.8306451612903226E-2</v>
      </c>
      <c r="AY97" s="46">
        <f>13/AT95</f>
        <v>2.6156941649899398E-2</v>
      </c>
      <c r="AZ97" s="46">
        <f>28/AU95</f>
        <v>5.2730696798493411E-2</v>
      </c>
      <c r="BA97" s="46">
        <f>78/AV95</f>
        <v>0.14054054054054055</v>
      </c>
      <c r="BB97" s="52">
        <f>SUMPRODUCT(AX97:BA97,AS$95:AV$95)/AW$95</f>
        <v>6.6378066378066383E-2</v>
      </c>
      <c r="BC97" s="50">
        <f>79/AX95</f>
        <v>0.14007092198581561</v>
      </c>
      <c r="BD97" s="262">
        <f>83/AY95</f>
        <v>0.14485165794066318</v>
      </c>
      <c r="BE97" s="262">
        <f>70/AZ95</f>
        <v>0.11647254575707154</v>
      </c>
      <c r="BF97" s="262">
        <f>4/BA95</f>
        <v>5.9880239520958087E-3</v>
      </c>
      <c r="BG97" s="259">
        <f>SUMPRODUCT(BC97:BF97,AX$95:BA$95)/BB$95</f>
        <v>9.8088113050706568E-2</v>
      </c>
      <c r="BH97" s="62">
        <f>SUM((BH79*BC$77),(BH85*BC$83),(BH91*BC$89))/BC$95</f>
        <v>0</v>
      </c>
      <c r="BI97" s="62">
        <f>SUM((BI79*BD$77),(BI85*BD$83),(BI91*BD$89))/BD$95</f>
        <v>0</v>
      </c>
      <c r="BJ97" s="62">
        <f>SUM((BJ79*BE$77),(BJ85*BE$83),(BJ91*BE$89))/BE$95</f>
        <v>0</v>
      </c>
      <c r="BK97" s="62">
        <f>SUM((BK79*BF$77),(BK85*BF$83),(BK91*BF$89))/BF$95</f>
        <v>0</v>
      </c>
      <c r="BL97" s="259">
        <f>SUMPRODUCT(BH97:BK97,BC$95:BF$95)/BG$95</f>
        <v>0</v>
      </c>
      <c r="BM97" s="62">
        <f>SUM((BM79*BH$77),(BM85*BH$83),(BM91*BH$89))/BH$95</f>
        <v>0</v>
      </c>
      <c r="BN97" s="62">
        <f>SUM((BN79*BI$77),(BN85*BI$83),(BN91*BI$89))/BI$95</f>
        <v>0</v>
      </c>
      <c r="BO97" s="62">
        <f>SUM((BO79*BJ$77),(BO85*BJ$83),(BO91*BJ$89))/BJ$95</f>
        <v>0</v>
      </c>
      <c r="BP97" s="62">
        <f>SUM((BP79*BK$77),(BP85*BK$83),(BP91*BK$89))/BK$95</f>
        <v>2.5125628140703518E-3</v>
      </c>
      <c r="BQ97" s="259">
        <f>SUMPRODUCT(BM97:BP97,BH$95:BK$95)/BL$95</f>
        <v>6.5445026178010475E-4</v>
      </c>
      <c r="BR97" s="62">
        <f>SUM((BR79*BM$77),(BR85*BM$83),(BR91*BM$89))/BM$95</f>
        <v>1.3767209011264081E-2</v>
      </c>
      <c r="BS97" s="62">
        <f>SUM((BS79*BN$77),(BS85*BN$83),(BS91*BN$89))/BN$95</f>
        <v>1.7456359102244388E-2</v>
      </c>
      <c r="BT97" s="62">
        <f>SUM((BT79*BO$77),(BT85*BO$83),(BT91*BO$89))/BO$95</f>
        <v>1.5643802647412757E-2</v>
      </c>
      <c r="BU97" s="62">
        <f>SUM((BU79*BP$77),(BU85*BP$83),(BU91*BP$89))/BP$95</f>
        <v>6.9524913093858632E-3</v>
      </c>
      <c r="BV97" s="259">
        <f>SUMPRODUCT(BR97:BU97,BM$95:BP$95)/BQ$95</f>
        <v>1.3353566009104704E-2</v>
      </c>
      <c r="BW97" s="62">
        <f>SUM((BW79*BR$77),(BW85*BR$83),(BW91*BR$89))/BR$95</f>
        <v>-4.6565774155995342E-3</v>
      </c>
      <c r="BX97" s="62">
        <f>SUM((BX79*BS$77),(BX85*BS$83),(BX91*BS$89))/BS$95</f>
        <v>-4.5045045045045045E-3</v>
      </c>
      <c r="BY97" s="62">
        <f>SUM((BY79*BT$77),(BY85*BT$83),(BY91*BT$89))/BT$95</f>
        <v>-4.4004400440044002E-3</v>
      </c>
      <c r="BZ97" s="62">
        <f>SUM((BZ79*BU$77),(BZ85*BU$83),(BZ91*BU$89))/BU$95</f>
        <v>0</v>
      </c>
      <c r="CA97" s="259">
        <f>SUMPRODUCT(BW97:BZ97,BR$95:BU$95)/BV$95</f>
        <v>-3.3282826006755459E-3</v>
      </c>
      <c r="CB97" s="62">
        <f>SUM((CB79*BW$77),(CB85*BW$83),(CB91*BW$89))/BW$95</f>
        <v>0</v>
      </c>
      <c r="CC97" s="62">
        <f>SUM((CC79*BX$77),(CC85*BX$83),(CC91*BX$89))/BX$95</f>
        <v>0</v>
      </c>
      <c r="CD97" s="62">
        <f>SUM((CD79*BY$77),(CD85*BY$83),(CD91*BY$89))/BY$95</f>
        <v>0</v>
      </c>
      <c r="CE97" s="62">
        <f>SUM((CE79*BZ$77),(CE85*BZ$83),(CE91*BZ$89))/BZ$95</f>
        <v>0</v>
      </c>
      <c r="CF97" s="259">
        <f>SUMPRODUCT(CB97:CE97,BW$95:BZ$95)/CA$95</f>
        <v>0</v>
      </c>
      <c r="CI97"/>
      <c r="CJ97"/>
      <c r="CK97"/>
      <c r="CL97"/>
      <c r="CM97"/>
      <c r="CN97"/>
      <c r="CO97"/>
      <c r="CP97"/>
      <c r="CQ97"/>
      <c r="CR97"/>
      <c r="CS97"/>
    </row>
    <row r="98" spans="1:97" s="1" customFormat="1" ht="12.75" customHeight="1" x14ac:dyDescent="0.4">
      <c r="A98" s="24"/>
      <c r="B98" s="53" t="s">
        <v>64</v>
      </c>
      <c r="C98" s="53"/>
      <c r="D98" s="24"/>
      <c r="E98" s="24"/>
      <c r="F98" s="24"/>
      <c r="G98" s="24"/>
      <c r="H98" s="24"/>
      <c r="I98" s="64"/>
      <c r="J98" s="65"/>
      <c r="K98" s="65"/>
      <c r="L98" s="65"/>
      <c r="M98" s="65"/>
      <c r="N98" s="64"/>
      <c r="O98" s="155">
        <f>O96-O97</f>
        <v>9.8023143683702726E-2</v>
      </c>
      <c r="P98" s="155">
        <f>P96-P97</f>
        <v>0.10046296296296302</v>
      </c>
      <c r="Q98" s="155">
        <f>Q96-Q97</f>
        <v>0.11513632365875109</v>
      </c>
      <c r="R98" s="155">
        <f>R96-R97</f>
        <v>0.17880726698262234</v>
      </c>
      <c r="S98" s="57">
        <f>SUMPRODUCT(O98:R98,J$95:M$95)/N$95</f>
        <v>0.12553761061946894</v>
      </c>
      <c r="T98" s="155">
        <f>T96-T97</f>
        <v>6.1837883242335454E-2</v>
      </c>
      <c r="U98" s="155">
        <f>U96-U97</f>
        <v>7.2334004024144735E-2</v>
      </c>
      <c r="V98" s="155">
        <f>V96-V97</f>
        <v>4.8241187384044468E-2</v>
      </c>
      <c r="W98" s="155">
        <f>W96-W97</f>
        <v>2.8489116517285362E-2</v>
      </c>
      <c r="X98" s="57">
        <f>SUMPRODUCT(T98:W98,O$95:R$95)/S$95</f>
        <v>5.109929808142253E-2</v>
      </c>
      <c r="Y98" s="155">
        <f>Y96-Y97</f>
        <v>8.2703190277250344E-2</v>
      </c>
      <c r="Z98" s="155">
        <f>Z96-Z97</f>
        <v>5.7486554320545197E-2</v>
      </c>
      <c r="AA98" s="155">
        <f>AA96-AA97</f>
        <v>3.2761506276150626E-2</v>
      </c>
      <c r="AB98" s="155">
        <f>AB96-AB97</f>
        <v>1.0460628695923041E-2</v>
      </c>
      <c r="AC98" s="57">
        <f>SUMPRODUCT(Y98:AB98,T$95:W$95)/X$95</f>
        <v>4.3958749891332825E-2</v>
      </c>
      <c r="AD98" s="155">
        <f>AD96-AD97</f>
        <v>2.4982817869415835E-2</v>
      </c>
      <c r="AE98" s="155">
        <f>AE96-AE97</f>
        <v>3.4619188921859445E-2</v>
      </c>
      <c r="AF98" s="155">
        <f>AF96-AF97</f>
        <v>0.11056430446194211</v>
      </c>
      <c r="AG98" s="155">
        <f>AG96-AG97</f>
        <v>0.13311396948848331</v>
      </c>
      <c r="AH98" s="57">
        <f>SUMPRODUCT(AD98:AG98,Y$95:AB$95)/AC$95</f>
        <v>7.7809307604994243E-2</v>
      </c>
      <c r="AI98" s="155">
        <f>AI96-AI97</f>
        <v>8.5667752442996847E-2</v>
      </c>
      <c r="AJ98" s="155">
        <f>AJ96-AJ97</f>
        <v>9.2415551306564481E-2</v>
      </c>
      <c r="AK98" s="155">
        <f>AK96-AK97</f>
        <v>8.2451857879034626E-2</v>
      </c>
      <c r="AL98" s="155">
        <f>AL96-AL97</f>
        <v>2.8584392014519216E-2</v>
      </c>
      <c r="AM98" s="57">
        <f>SUMPRODUCT(AI98:AL98,AD$95:AG$95)/AH$95</f>
        <v>6.8726840522967278E-2</v>
      </c>
      <c r="AN98" s="155">
        <f>AN96-AN97</f>
        <v>0.13225172074729596</v>
      </c>
      <c r="AO98" s="155">
        <f>AO96-AO97</f>
        <v>0.10052034058656578</v>
      </c>
      <c r="AP98" s="155">
        <f>AP96-AP97</f>
        <v>0.10389908256880732</v>
      </c>
      <c r="AQ98" s="155">
        <f>AQ96-AQ97</f>
        <v>0.12115343232192791</v>
      </c>
      <c r="AR98" s="57">
        <f>SUMPRODUCT(AN98:AQ98,AI$95:AL$95)/AM$95</f>
        <v>0.11437323007570936</v>
      </c>
      <c r="AS98" s="155">
        <f>AS96-AS97</f>
        <v>8.6864406779661105E-2</v>
      </c>
      <c r="AT98" s="155">
        <f>AT96-AT97</f>
        <v>5.8501683501683471E-2</v>
      </c>
      <c r="AU98" s="155">
        <f>AU96-AU97</f>
        <v>9.428932982385084E-2</v>
      </c>
      <c r="AV98" s="155">
        <f>AV96-AV97</f>
        <v>7.0175438596491335E-2</v>
      </c>
      <c r="AW98" s="57">
        <f>SUMPRODUCT(AS98:AV98,AN$95:AQ$95)/AR$95</f>
        <v>7.7462514712655445E-2</v>
      </c>
      <c r="AX98" s="155">
        <f>AX96-AX97</f>
        <v>9.8790322580645268E-2</v>
      </c>
      <c r="AY98" s="155">
        <f>AY96-AY97</f>
        <v>0.12676056338028158</v>
      </c>
      <c r="AZ98" s="155">
        <f>AZ96-AZ97</f>
        <v>7.9096045197740161E-2</v>
      </c>
      <c r="BA98" s="155">
        <f>BA96-BA97</f>
        <v>6.3063063063062974E-2</v>
      </c>
      <c r="BB98" s="57">
        <f>SUMPRODUCT(AX98:BA98,AS$95:AV$95)/AW$95</f>
        <v>9.0909090909090898E-2</v>
      </c>
      <c r="BC98" s="363">
        <f>BC96-BC97</f>
        <v>9.219858156028371E-2</v>
      </c>
      <c r="BD98" s="332">
        <f>BD96-BD97</f>
        <v>3.3158813263525377E-2</v>
      </c>
      <c r="BE98" s="332">
        <f>BE96-BE97</f>
        <v>2.3294509151414414E-2</v>
      </c>
      <c r="BF98" s="332">
        <f>BF96-BF97</f>
        <v>6.2874251497005915E-2</v>
      </c>
      <c r="BG98" s="416">
        <f>SUMPRODUCT(BC98:BF98,AX$95:BA$95)/BB$95</f>
        <v>5.2784704904405677E-2</v>
      </c>
      <c r="BH98" s="332">
        <f>BH96-BH97</f>
        <v>6.0431654676258884E-2</v>
      </c>
      <c r="BI98" s="332">
        <f>BI96-BI97</f>
        <v>0.10666666666666669</v>
      </c>
      <c r="BJ98" s="332">
        <f>BJ96-BJ97</f>
        <v>0.13284671532846715</v>
      </c>
      <c r="BK98" s="332">
        <f>BK96-BK97</f>
        <v>0.11484593837535018</v>
      </c>
      <c r="BL98" s="416">
        <f>SUMPRODUCT(BH98:BK98,BC$95:BF$95)/BG$95</f>
        <v>0.10364752618273745</v>
      </c>
      <c r="BM98" s="332">
        <f>BM96-BM97</f>
        <v>8.4124830393487171E-2</v>
      </c>
      <c r="BN98" s="332">
        <f>BN96-BN97</f>
        <v>7.3627844712182089E-2</v>
      </c>
      <c r="BO98" s="332">
        <f>BO96-BO97</f>
        <v>7.0876288659793785E-2</v>
      </c>
      <c r="BP98" s="332">
        <f>BP96-BP97</f>
        <v>8.1658291457286494E-2</v>
      </c>
      <c r="BQ98" s="416">
        <f>SUMPRODUCT(BM98:BP98,BH$95:BK$95)/BL$95</f>
        <v>7.7552356020942431E-2</v>
      </c>
      <c r="BR98" s="332">
        <f>BR96-BR97</f>
        <v>6.1326658322903592E-2</v>
      </c>
      <c r="BS98" s="332">
        <f>BS96-BS97</f>
        <v>8.9775561097256956E-2</v>
      </c>
      <c r="BT98" s="332">
        <f>BT96-BT97</f>
        <v>7.8219013237063775E-2</v>
      </c>
      <c r="BU98" s="332">
        <f>BU96-BU97</f>
        <v>9.3236464682207518E-2</v>
      </c>
      <c r="BV98" s="416">
        <f>SUMPRODUCT(BR98:BU98,BM$95:BP$95)/BQ$95</f>
        <v>8.0868913208116885E-2</v>
      </c>
      <c r="BW98" s="332">
        <f>BW96-BW97</f>
        <v>0.10739857141036356</v>
      </c>
      <c r="BX98" s="332">
        <f>BX96-BX97</f>
        <v>8.2145945689821073E-2</v>
      </c>
      <c r="BY98" s="332">
        <f>BY96-BY97</f>
        <v>8.5725395078606423E-2</v>
      </c>
      <c r="BZ98" s="332">
        <f>BZ96-BZ97</f>
        <v>8.527465735635742E-2</v>
      </c>
      <c r="CA98" s="416">
        <f>SUMPRODUCT(BW98:BZ98,BR$95:BU$95)/BV$95</f>
        <v>8.988872952505382E-2</v>
      </c>
      <c r="CB98" s="332">
        <f>CB96-CB97</f>
        <v>8.5036716290215475E-2</v>
      </c>
      <c r="CC98" s="332">
        <f>CC96-CC97</f>
        <v>8.4851398825907642E-2</v>
      </c>
      <c r="CD98" s="332">
        <f>CD96-CD97</f>
        <v>8.5010102775146423E-2</v>
      </c>
      <c r="CE98" s="332">
        <f>CE96-CE97</f>
        <v>8.5175716438975257E-2</v>
      </c>
      <c r="CF98" s="416">
        <f>SUMPRODUCT(CB98:CE98,BW$95:BZ$95)/CA$95</f>
        <v>8.5021332165936381E-2</v>
      </c>
    </row>
    <row r="99" spans="1:97" ht="12.75" customHeight="1" x14ac:dyDescent="0.35">
      <c r="A99" s="24"/>
      <c r="B99" s="42" t="s">
        <v>27</v>
      </c>
      <c r="C99" s="42"/>
      <c r="I99" s="36"/>
      <c r="J99" s="38"/>
      <c r="K99" s="38"/>
      <c r="L99" s="38"/>
      <c r="M99" s="38"/>
      <c r="N99" s="36"/>
      <c r="O99" s="50">
        <v>0</v>
      </c>
      <c r="P99" s="50">
        <v>0.03</v>
      </c>
      <c r="Q99" s="50">
        <v>0.02</v>
      </c>
      <c r="R99" s="50">
        <v>-0.03</v>
      </c>
      <c r="S99" s="52">
        <f>SUMPRODUCT(O99:R99,J$95:M$95)/N$95</f>
        <v>3.7964601769911498E-3</v>
      </c>
      <c r="T99" s="50">
        <v>-0.05</v>
      </c>
      <c r="U99" s="50">
        <v>-0.06</v>
      </c>
      <c r="V99" s="50">
        <v>-0.05</v>
      </c>
      <c r="W99" s="50">
        <v>-0.03</v>
      </c>
      <c r="X99" s="52">
        <f>SUMPRODUCT(T99:W99,O$95:R$95)/S$95</f>
        <v>-4.6478240524099212E-2</v>
      </c>
      <c r="Y99" s="51">
        <v>-0.02</v>
      </c>
      <c r="Z99" s="51">
        <v>-0.01</v>
      </c>
      <c r="AA99" s="51">
        <v>-0.03</v>
      </c>
      <c r="AB99" s="51">
        <v>-0.04</v>
      </c>
      <c r="AC99" s="52">
        <f>SUMPRODUCT(Y99:AB99,T$95:W$95)/X$95</f>
        <v>-2.5655046509606188E-2</v>
      </c>
      <c r="AD99" s="51">
        <v>-0.01</v>
      </c>
      <c r="AE99" s="51">
        <v>0</v>
      </c>
      <c r="AF99" s="51">
        <v>0.01</v>
      </c>
      <c r="AG99" s="51">
        <v>0.03</v>
      </c>
      <c r="AH99" s="52">
        <f>SUMPRODUCT(AD99:AG99,Y$95:AB$95)/AC$95</f>
        <v>8.2430679422733893E-3</v>
      </c>
      <c r="AI99" s="51">
        <v>0.04</v>
      </c>
      <c r="AJ99" s="51">
        <v>0.02</v>
      </c>
      <c r="AK99" s="51">
        <v>-0.01</v>
      </c>
      <c r="AL99" s="51">
        <v>-0.02</v>
      </c>
      <c r="AM99" s="52">
        <f>SUMPRODUCT(AI99:AL99,AD$95:AG$95)/AH$95</f>
        <v>4.2319793050409008E-3</v>
      </c>
      <c r="AN99" s="51">
        <v>-0.03</v>
      </c>
      <c r="AO99" s="51">
        <v>-0.03</v>
      </c>
      <c r="AP99" s="51">
        <v>-0.02</v>
      </c>
      <c r="AQ99" s="51">
        <v>0</v>
      </c>
      <c r="AR99" s="52">
        <f>SUMPRODUCT(AN99:AQ99,AI$95:AL$95)/AM$95</f>
        <v>-1.9423221406692479E-2</v>
      </c>
      <c r="AS99" s="51">
        <v>-0.01</v>
      </c>
      <c r="AT99" s="51">
        <v>-0.02</v>
      </c>
      <c r="AU99" s="51">
        <f>8/AP95</f>
        <v>1.619761085239927E-2</v>
      </c>
      <c r="AV99" s="51">
        <v>0.02</v>
      </c>
      <c r="AW99" s="52">
        <f>SUMPRODUCT(AS99:AV99,AN$95:AQ$95)/AR$95</f>
        <v>2.0654009518448388E-3</v>
      </c>
      <c r="AX99" s="51">
        <v>0.04</v>
      </c>
      <c r="AY99" s="51">
        <v>0.05</v>
      </c>
      <c r="AZ99" s="51">
        <v>0.01</v>
      </c>
      <c r="BA99" s="50">
        <v>-0.01</v>
      </c>
      <c r="BB99" s="52">
        <f>SUMPRODUCT(AX99:BA99,AS$95:AV$95)/AW$95</f>
        <v>2.1380471380471382E-2</v>
      </c>
      <c r="BC99" s="62">
        <f>-13/AX95</f>
        <v>-2.3049645390070921E-2</v>
      </c>
      <c r="BD99" s="260">
        <f>-27/AY95</f>
        <v>-4.712041884816754E-2</v>
      </c>
      <c r="BE99" s="260">
        <f>-41/AZ95</f>
        <v>-6.8219633943427616E-2</v>
      </c>
      <c r="BF99" s="260">
        <f>-32/BA95</f>
        <v>-4.790419161676647E-2</v>
      </c>
      <c r="BG99" s="259">
        <f>SUMPRODUCT(BC99:BF99,AX$95:BA$95)/BB$95</f>
        <v>-4.6965918536990857E-2</v>
      </c>
      <c r="BH99" s="62">
        <f>SUM((BH81*BC$77),(BH87*BC$83),(BH93*BC$89))/BC$95</f>
        <v>-2.5899280575539568E-2</v>
      </c>
      <c r="BI99" s="62">
        <f>SUM((BI81*BD$77),(BI87*BD$83),(BI93*BD$89))/BD$95</f>
        <v>3.0000000000000001E-3</v>
      </c>
      <c r="BJ99" s="62">
        <f>SUM((BJ81*BE$77),(BJ87*BE$83),(BJ93*BE$89))/BE$95</f>
        <v>2.4817518248175182E-2</v>
      </c>
      <c r="BK99" s="62">
        <f>SUM((BK81*BF$77),(BK87*BF$83),(BK93*BF$89))/BF$95</f>
        <v>1.680672268907563E-2</v>
      </c>
      <c r="BL99" s="259">
        <f>SUMPRODUCT(BH99:BK99,BC$95:BF$95)/BG$95</f>
        <v>4.7038642109064645E-3</v>
      </c>
      <c r="BM99" s="62">
        <f>SUM((BM81*BH$77),(BM87*BH$83),(BM93*BH$89))/BH$95</f>
        <v>2.7137042062415195E-3</v>
      </c>
      <c r="BN99" s="62">
        <f>SUM((BN81*BI$77),(BN87*BI$83),(BN93*BI$89))/BI$95</f>
        <v>-2.6773761713520749E-3</v>
      </c>
      <c r="BO99" s="62">
        <f>SUM((BO81*BJ$77),(BO87*BJ$83),(BO93*BJ$89))/BJ$95</f>
        <v>6.4432989690721646E-3</v>
      </c>
      <c r="BP99" s="62">
        <f>SUM((BP81*BK$77),(BP87*BK$83),(BP93*BK$89))/BK$95</f>
        <v>0</v>
      </c>
      <c r="BQ99" s="259">
        <f>SUMPRODUCT(BM99:BP99,BH$95:BK$95)/BL$95</f>
        <v>1.6361256544502618E-3</v>
      </c>
      <c r="BR99" s="62">
        <f>SUM((BR81*BM$77),(BR87*BM$83),(BR93*BM$89))/BM$95</f>
        <v>-1.0012515644555695E-2</v>
      </c>
      <c r="BS99" s="62">
        <f>SUM((BS81*BN$77),(BS87*BN$83),(BS93*BN$89))/BN$95</f>
        <v>1.8703241895261846E-2</v>
      </c>
      <c r="BT99" s="62">
        <f>SUM((BT81*BO$77),(BT87*BO$83),(BT93*BO$89))/BO$95</f>
        <v>1.684717208182912E-2</v>
      </c>
      <c r="BU99" s="62">
        <f>SUM((BU81*BP$77),(BU87*BP$83),(BU93*BP$89))/BP$95</f>
        <v>2.8578295504919089E-2</v>
      </c>
      <c r="BV99" s="259">
        <f>SUMPRODUCT(BR99:BU99,BM$95:BP$95)/BQ$95</f>
        <v>1.3858291053336925E-2</v>
      </c>
      <c r="BW99" s="62">
        <f>SUM((BW81*BR$77),(BW87*BR$83),(BW93*BR$89))/BR$95</f>
        <v>2.9237919489525428E-2</v>
      </c>
      <c r="BX99" s="62">
        <f>SUM((BX81*BS$77),(BX87*BS$83),(BX93*BS$89))/BS$95</f>
        <v>4.1166664105418025E-3</v>
      </c>
      <c r="BY99" s="62">
        <f>SUM((BY81*BT$77),(BY87*BT$83),(BY93*BT$89))/BT$95</f>
        <v>-3.0369811590173091E-3</v>
      </c>
      <c r="BZ99" s="62">
        <f>SUM((BZ81*BU$77),(BZ87*BU$83),(BZ93*BU$89))/BU$95</f>
        <v>-4.976537501161918E-3</v>
      </c>
      <c r="CA99" s="259">
        <f>SUMPRODUCT(BW99:BZ99,BR$95:BU$95)/BV$95</f>
        <v>5.9036295100223747E-3</v>
      </c>
      <c r="CB99" s="62">
        <f>SUM((CB81*BW$77),(CB87*BW$83),(CB93*BW$89))/BW$95</f>
        <v>-4.5167308680217231E-4</v>
      </c>
      <c r="CC99" s="62">
        <f>SUM((CC81*BX$77),(CC87*BX$83),(CC93*BX$89))/BX$95</f>
        <v>-4.5167308680217231E-4</v>
      </c>
      <c r="CD99" s="62">
        <f>SUM((CD81*BY$77),(CD87*BY$83),(CD93*BY$89))/BY$95</f>
        <v>-4.5167308680217231E-4</v>
      </c>
      <c r="CE99" s="62">
        <f>SUM((CE81*BZ$77),(CE87*BZ$83),(CE93*BZ$89))/BZ$95</f>
        <v>-4.5167308680217237E-4</v>
      </c>
      <c r="CF99" s="259">
        <f>SUMPRODUCT(CB99:CE99,BW$95:BZ$95)/CA$95</f>
        <v>-4.5167308680217231E-4</v>
      </c>
      <c r="CI99"/>
      <c r="CJ99"/>
      <c r="CK99"/>
      <c r="CL99"/>
      <c r="CM99"/>
      <c r="CN99"/>
      <c r="CO99"/>
      <c r="CP99"/>
      <c r="CQ99"/>
      <c r="CR99"/>
      <c r="CS99"/>
    </row>
    <row r="100" spans="1:97" ht="12.75" customHeight="1" x14ac:dyDescent="0.35">
      <c r="A100" s="24"/>
      <c r="B100" s="342" t="s">
        <v>267</v>
      </c>
      <c r="C100" s="342"/>
      <c r="D100" s="348"/>
      <c r="E100" s="348"/>
      <c r="F100" s="348"/>
      <c r="G100" s="348"/>
      <c r="H100" s="348"/>
      <c r="I100" s="349"/>
      <c r="J100" s="350"/>
      <c r="K100" s="350"/>
      <c r="L100" s="350"/>
      <c r="M100" s="350"/>
      <c r="N100" s="349"/>
      <c r="O100" s="346">
        <f>IFERROR(O96-O97-O99,"NA")</f>
        <v>9.8023143683702726E-2</v>
      </c>
      <c r="P100" s="346">
        <f>IFERROR(P96-P97-P99,"NA")</f>
        <v>7.0462962962963019E-2</v>
      </c>
      <c r="Q100" s="346">
        <f>IFERROR(Q96-Q97-Q99,"NA")</f>
        <v>9.513632365875109E-2</v>
      </c>
      <c r="R100" s="346">
        <f>IFERROR(R96-R97-R99,"NA")</f>
        <v>0.20880726698262234</v>
      </c>
      <c r="S100" s="347">
        <f>SUMPRODUCT(O100:R100,J$95:M$95)/N$95</f>
        <v>0.1217411504424778</v>
      </c>
      <c r="T100" s="346">
        <f>IFERROR(T96-T97-T99,"NA")</f>
        <v>0.11183788324233546</v>
      </c>
      <c r="U100" s="346">
        <f>IFERROR(U96-U97-U99,"NA")</f>
        <v>0.13233400402414475</v>
      </c>
      <c r="V100" s="346">
        <f>IFERROR(V96-V97-V99,"NA")</f>
        <v>9.824118738404447E-2</v>
      </c>
      <c r="W100" s="346">
        <f>IFERROR(W96-W97-W99,"NA")</f>
        <v>5.8489116517285361E-2</v>
      </c>
      <c r="X100" s="347">
        <f>SUMPRODUCT(T100:W100,O$95:R$95)/S$95</f>
        <v>9.7577538605521735E-2</v>
      </c>
      <c r="Y100" s="346">
        <f>IFERROR(Y96-Y97-Y99,"NA")</f>
        <v>0.10270319027725035</v>
      </c>
      <c r="Z100" s="346">
        <f>IFERROR(Z96-Z97-Z99,"NA")</f>
        <v>6.7486554320545192E-2</v>
      </c>
      <c r="AA100" s="346">
        <f>IFERROR(AA96-AA97-AA99,"NA")</f>
        <v>6.2761506276150625E-2</v>
      </c>
      <c r="AB100" s="346">
        <f>IFERROR(AB96-AB97-AB99,"NA")</f>
        <v>5.0460628695923042E-2</v>
      </c>
      <c r="AC100" s="347">
        <f>SUMPRODUCT(Y100:AB100,T$95:W$95)/X$95</f>
        <v>6.961379640093901E-2</v>
      </c>
      <c r="AD100" s="351">
        <f>AD96-AD97-AD99</f>
        <v>3.4982817869415837E-2</v>
      </c>
      <c r="AE100" s="351">
        <f>AE96-AE97-AE99</f>
        <v>3.4619188921859445E-2</v>
      </c>
      <c r="AF100" s="351">
        <f>AF96-AF97-AF99</f>
        <v>0.10056430446194212</v>
      </c>
      <c r="AG100" s="351">
        <f>AG96-AG97-AG99</f>
        <v>0.10311396948848331</v>
      </c>
      <c r="AH100" s="347">
        <f>SUMPRODUCT(AD100:AG100,Y$95:AB$95)/AC$95</f>
        <v>6.9566239662720852E-2</v>
      </c>
      <c r="AI100" s="351">
        <f>AI96-AI97-AI99</f>
        <v>4.5667752442996846E-2</v>
      </c>
      <c r="AJ100" s="351">
        <f>AJ96-AJ97-AJ99</f>
        <v>7.2415551306564477E-2</v>
      </c>
      <c r="AK100" s="351">
        <f>AK96-AK97-AK99</f>
        <v>9.2451857879034621E-2</v>
      </c>
      <c r="AL100" s="351">
        <f>AL96-AL97-AL99</f>
        <v>4.8584392014519216E-2</v>
      </c>
      <c r="AM100" s="347">
        <f>SUMPRODUCT(AI100:AL100,AD$95:AG$95)/AH$95</f>
        <v>6.4494861217926386E-2</v>
      </c>
      <c r="AN100" s="351">
        <f>AN96-AN97-AN99</f>
        <v>0.16225172074729596</v>
      </c>
      <c r="AO100" s="351">
        <f>AO96-AO97-AO99</f>
        <v>0.13052034058656578</v>
      </c>
      <c r="AP100" s="351">
        <f>AP96-AP97-AP99</f>
        <v>0.12389908256880733</v>
      </c>
      <c r="AQ100" s="351">
        <f>AQ96-AQ97-AQ99</f>
        <v>0.12115343232192791</v>
      </c>
      <c r="AR100" s="347">
        <f>SUMPRODUCT(AN100:AQ100,AI$95:AL$95)/AM$95</f>
        <v>0.13379645148240185</v>
      </c>
      <c r="AS100" s="351">
        <f>AS96-AS97-AS99</f>
        <v>9.68644067796611E-2</v>
      </c>
      <c r="AT100" s="351">
        <f>AT96-AT97-AT99</f>
        <v>7.8501683501683475E-2</v>
      </c>
      <c r="AU100" s="351">
        <f>AU96-AU97-AU99</f>
        <v>7.8091718971451562E-2</v>
      </c>
      <c r="AV100" s="351">
        <f>AV96-AV97-AV99</f>
        <v>5.0175438596491331E-2</v>
      </c>
      <c r="AW100" s="347">
        <f>SUMPRODUCT(AS100:AV100,AN$95:AQ$95)/AR$95</f>
        <v>7.5397113760810611E-2</v>
      </c>
      <c r="AX100" s="351">
        <f>AX96-AX97-AX99</f>
        <v>5.8790322580645267E-2</v>
      </c>
      <c r="AY100" s="351">
        <f>AY96-AY97-AY99</f>
        <v>7.6760563380281574E-2</v>
      </c>
      <c r="AZ100" s="351">
        <f>AZ96-AZ97-AZ99</f>
        <v>6.9096045197740166E-2</v>
      </c>
      <c r="BA100" s="351">
        <f>BA96-BA97-BA99</f>
        <v>7.3063063063062969E-2</v>
      </c>
      <c r="BB100" s="347">
        <f>SUMPRODUCT(AX100:BA100,AS$95:AV$95)/AW$95</f>
        <v>6.9528619528619523E-2</v>
      </c>
      <c r="BC100" s="569">
        <f>BC96-BC97-BC99</f>
        <v>0.11524822695035464</v>
      </c>
      <c r="BD100" s="570">
        <f>BD96-BD97-BD99</f>
        <v>8.0279232111692911E-2</v>
      </c>
      <c r="BE100" s="570">
        <f>BE96-BE97-BE99</f>
        <v>9.1514143094842029E-2</v>
      </c>
      <c r="BF100" s="570">
        <f>BF96-BF97-BF99</f>
        <v>0.11077844311377238</v>
      </c>
      <c r="BG100" s="571">
        <f>SUMPRODUCT(BC100:BF100,AX$95:BA$95)/BB$95</f>
        <v>9.9750623441396527E-2</v>
      </c>
      <c r="BH100" s="570">
        <f>BH96-BH97-BH99</f>
        <v>8.6330935251798455E-2</v>
      </c>
      <c r="BI100" s="570">
        <f>BI96-BI97-BI99</f>
        <v>0.10366666666666668</v>
      </c>
      <c r="BJ100" s="570">
        <f>BJ96-BJ97-BJ99</f>
        <v>0.10802919708029196</v>
      </c>
      <c r="BK100" s="570">
        <f>BK96-BK97-BK99</f>
        <v>9.803921568627455E-2</v>
      </c>
      <c r="BL100" s="571">
        <f>SUMPRODUCT(BH100:BK100,BC$95:BF$95)/BG$95</f>
        <v>9.8943661971830979E-2</v>
      </c>
      <c r="BM100" s="570">
        <f>BM96-BM97-BM99</f>
        <v>8.141112618724565E-2</v>
      </c>
      <c r="BN100" s="570">
        <f>BN96-BN97-BN99</f>
        <v>7.6305220883534169E-2</v>
      </c>
      <c r="BO100" s="570">
        <f>BO96-BO97-BO99</f>
        <v>6.4432989690721615E-2</v>
      </c>
      <c r="BP100" s="570">
        <f>BP96-BP97-BP99</f>
        <v>8.1658291457286494E-2</v>
      </c>
      <c r="BQ100" s="571">
        <f>SUMPRODUCT(BM100:BP100,BH$95:BK$95)/BL$95</f>
        <v>7.5916230366492171E-2</v>
      </c>
      <c r="BR100" s="570">
        <f>BR96-BR97-BR99</f>
        <v>7.1339173967459285E-2</v>
      </c>
      <c r="BS100" s="570">
        <f>BS96-BS97-BS99</f>
        <v>7.107231920199511E-2</v>
      </c>
      <c r="BT100" s="570">
        <f>BT96-BT97-BT99</f>
        <v>6.1371841155234655E-2</v>
      </c>
      <c r="BU100" s="570">
        <f>BU96-BU97-BU99</f>
        <v>6.4658169177288422E-2</v>
      </c>
      <c r="BV100" s="571">
        <f>SUMPRODUCT(BR100:BU100,BM$95:BP$95)/BQ$95</f>
        <v>6.7010622154779959E-2</v>
      </c>
      <c r="BW100" s="570">
        <f>BW96-BW97-BW99</f>
        <v>7.8160651920838126E-2</v>
      </c>
      <c r="BX100" s="570">
        <f>BX96-BX97-BX99</f>
        <v>7.8029279279279273E-2</v>
      </c>
      <c r="BY100" s="570">
        <f>BY96-BY97-BY99</f>
        <v>8.876237623762373E-2</v>
      </c>
      <c r="BZ100" s="570">
        <f>BZ96-BZ97-BZ99</f>
        <v>9.025119485751934E-2</v>
      </c>
      <c r="CA100" s="571">
        <f>SUMPRODUCT(BW100:BZ100,BR$95:BU$95)/BV$95</f>
        <v>8.3985100015031455E-2</v>
      </c>
      <c r="CB100" s="570">
        <f>CB96-CB97-CB99</f>
        <v>8.5488389377017651E-2</v>
      </c>
      <c r="CC100" s="570">
        <f>CC96-CC97-CC99</f>
        <v>8.5303071912709819E-2</v>
      </c>
      <c r="CD100" s="570">
        <f>CD96-CD97-CD99</f>
        <v>8.54617758619486E-2</v>
      </c>
      <c r="CE100" s="570">
        <f>CE96-CE97-CE99</f>
        <v>8.5627389525777434E-2</v>
      </c>
      <c r="CF100" s="571">
        <f>SUMPRODUCT(CB100:CE100,BW$95:BZ$95)/CA$95</f>
        <v>8.5473005252738557E-2</v>
      </c>
      <c r="CI100"/>
      <c r="CJ100"/>
      <c r="CK100"/>
      <c r="CL100"/>
      <c r="CM100"/>
      <c r="CN100"/>
      <c r="CO100"/>
      <c r="CP100"/>
      <c r="CQ100"/>
      <c r="CR100"/>
      <c r="CS100"/>
    </row>
    <row r="101" spans="1:97" ht="12.75" customHeight="1" x14ac:dyDescent="0.35">
      <c r="A101" s="24"/>
      <c r="B101" s="42" t="s">
        <v>265</v>
      </c>
      <c r="C101" s="42"/>
      <c r="D101" s="43"/>
      <c r="E101" s="43"/>
      <c r="F101" s="43"/>
      <c r="G101" s="43"/>
      <c r="H101" s="43"/>
      <c r="I101" s="191"/>
      <c r="J101" s="147"/>
      <c r="K101" s="147"/>
      <c r="L101" s="147"/>
      <c r="M101" s="147"/>
      <c r="N101" s="191"/>
      <c r="O101" s="153">
        <f>O95/M95-1</f>
        <v>-5.9636650868878482E-2</v>
      </c>
      <c r="P101" s="153">
        <f>P95/O95-1</f>
        <v>4.3679126417471847E-2</v>
      </c>
      <c r="Q101" s="153">
        <f>Q95/P95-1</f>
        <v>8.4507042253521014E-2</v>
      </c>
      <c r="R101" s="153">
        <f>R95/Q95-1</f>
        <v>0.15918367346938767</v>
      </c>
      <c r="S101" s="191"/>
      <c r="T101" s="153">
        <f>T95/R95-1</f>
        <v>-0.15717029449423803</v>
      </c>
      <c r="U101" s="153">
        <f>U95/T95-1</f>
        <v>5.9248006076718429E-2</v>
      </c>
      <c r="V101" s="153">
        <f>V95/U95-1</f>
        <v>2.8325564718537199E-2</v>
      </c>
      <c r="W101" s="153">
        <f>W95/V95-1</f>
        <v>0.12029288702928853</v>
      </c>
      <c r="X101" s="191"/>
      <c r="Y101" s="153">
        <f>Y95/W95-1</f>
        <v>-9.4304388422035368E-2</v>
      </c>
      <c r="Z101" s="153">
        <f>Z95/Y95-1</f>
        <v>4.2268041237113474E-2</v>
      </c>
      <c r="AA101" s="153">
        <f>AA95/Z95-1</f>
        <v>4.9455984174084922E-3</v>
      </c>
      <c r="AB101" s="153">
        <f>AB95/AA95-1</f>
        <v>9.6784776902887115E-2</v>
      </c>
      <c r="AC101" s="191"/>
      <c r="AD101" s="153">
        <f>AD95/AB95-1</f>
        <v>-8.1663176787316827E-2</v>
      </c>
      <c r="AE101" s="153">
        <f>AE95/AD95-1</f>
        <v>2.2149837133550454E-2</v>
      </c>
      <c r="AF101" s="153">
        <f>AF95/AE95-1</f>
        <v>0.17495219885277247</v>
      </c>
      <c r="AG101" s="153">
        <f>AG95/AF95-1</f>
        <v>0.19555193924599945</v>
      </c>
      <c r="AH101" s="191"/>
      <c r="AI101" s="153">
        <f>AI95/AG95-1</f>
        <v>-7.7132486388384769E-2</v>
      </c>
      <c r="AJ101" s="153">
        <f>AJ95/AI95-1</f>
        <v>3.9331366764995046E-2</v>
      </c>
      <c r="AK101" s="153">
        <f>AK95/AJ95-1</f>
        <v>3.1220435193945129E-2</v>
      </c>
      <c r="AL101" s="153">
        <f>AL95/AK95-1</f>
        <v>6.5825688073394506E-2</v>
      </c>
      <c r="AM101" s="191"/>
      <c r="AN101" s="153">
        <f>AN95/AL95-1</f>
        <v>1.5709059608349341E-2</v>
      </c>
      <c r="AO101" s="153">
        <f>AO95/AN95-1</f>
        <v>6.7796610169490457E-3</v>
      </c>
      <c r="AP101" s="153">
        <f>AP95/AO95-1</f>
        <v>3.935185185185186E-2</v>
      </c>
      <c r="AQ101" s="153">
        <f>AQ95/AP95-1</f>
        <v>3.8671795910103279E-2</v>
      </c>
      <c r="AR101" s="191"/>
      <c r="AS101" s="153">
        <f>AS95/AQ95-1</f>
        <v>-3.3138401559454245E-2</v>
      </c>
      <c r="AT101" s="153">
        <f>AT95/AS95-1</f>
        <v>2.0161290322580072E-3</v>
      </c>
      <c r="AU101" s="153">
        <f>AU95/AT95-1</f>
        <v>6.8410462776659964E-2</v>
      </c>
      <c r="AV101" s="153">
        <f>AV95/AU95-1</f>
        <v>4.5197740112994378E-2</v>
      </c>
      <c r="AW101" s="191"/>
      <c r="AX101" s="153">
        <f>AX95/AV95-1</f>
        <v>1.6216216216216273E-2</v>
      </c>
      <c r="AY101" s="153">
        <f>AY95/AW95-1</f>
        <v>-0.72438672438672436</v>
      </c>
      <c r="AZ101" s="153">
        <f>AZ95/AY95-1</f>
        <v>4.8865619546247796E-2</v>
      </c>
      <c r="BA101" s="153">
        <f>BA95/AZ95-1</f>
        <v>0.11148086522462552</v>
      </c>
      <c r="BB101" s="191"/>
      <c r="BC101" s="147">
        <f>BC95/BA95-1</f>
        <v>4.041916167664672E-2</v>
      </c>
      <c r="BD101" s="147">
        <f>BD95/BC95-1</f>
        <v>-2.877697841726623E-2</v>
      </c>
      <c r="BE101" s="147">
        <f>BE95/BD95-1</f>
        <v>1.4814814814814836E-2</v>
      </c>
      <c r="BF101" s="147">
        <f>BF95/BE95-1</f>
        <v>4.2335766423357679E-2</v>
      </c>
      <c r="BG101" s="191"/>
      <c r="BH101" s="147">
        <f>BH95/BF95-1</f>
        <v>3.2212885154061732E-2</v>
      </c>
      <c r="BI101" s="147">
        <f>BI95/BH95-1</f>
        <v>1.3568521031207537E-2</v>
      </c>
      <c r="BJ101" s="147">
        <f>BJ95/BI95-1</f>
        <v>3.8821954484605126E-2</v>
      </c>
      <c r="BK101" s="147">
        <f>BK95/BJ95-1</f>
        <v>2.5773195876288568E-2</v>
      </c>
      <c r="BL101" s="191"/>
      <c r="BM101" s="147">
        <f>BM95/BK95-1</f>
        <v>3.7688442211054607E-3</v>
      </c>
      <c r="BN101" s="147">
        <f>BN95/BM95-1</f>
        <v>3.754693366708306E-3</v>
      </c>
      <c r="BO101" s="147">
        <f>BO95/BN95-1</f>
        <v>3.6159600997506258E-2</v>
      </c>
      <c r="BP101" s="147">
        <f>BP95/BO95-1</f>
        <v>3.8507821901323736E-2</v>
      </c>
      <c r="BQ101" s="191"/>
      <c r="BR101" s="147">
        <f>BR95/BP95-1</f>
        <v>-4.6349942062572369E-3</v>
      </c>
      <c r="BS101" s="147">
        <f>BS95/BR95-1</f>
        <v>3.3760186263096514E-2</v>
      </c>
      <c r="BT101" s="147">
        <f>BT95/BS95-1</f>
        <v>2.3648648648648685E-2</v>
      </c>
      <c r="BU101" s="147">
        <f>BU95/BT95-1</f>
        <v>4.4513827305550313E-2</v>
      </c>
      <c r="BV101" s="191"/>
      <c r="BW101" s="147">
        <f>BW95/BU95-1</f>
        <v>-2.3252048987221219E-3</v>
      </c>
      <c r="BX101" s="147">
        <f>BX95/BW95-1</f>
        <v>1.0229793579307644E-2</v>
      </c>
      <c r="BY101" s="147">
        <f>BY95/BX95-1</f>
        <v>2.7147608348966346E-2</v>
      </c>
      <c r="BZ101" s="147">
        <f>BZ95/BY95-1</f>
        <v>4.8329071436933768E-2</v>
      </c>
      <c r="CA101" s="191"/>
      <c r="CB101" s="147">
        <f>CB95/BZ95-1</f>
        <v>-2.5439401311357912E-3</v>
      </c>
      <c r="CC101" s="147">
        <f>CC95/CB95-1</f>
        <v>1.005725266810753E-2</v>
      </c>
      <c r="CD101" s="147">
        <f>CD95/CC95-1</f>
        <v>2.7297870755479181E-2</v>
      </c>
      <c r="CE101" s="147">
        <f>CE95/CD95-1</f>
        <v>4.8489086185160346E-2</v>
      </c>
      <c r="CF101" s="191"/>
      <c r="CI101"/>
      <c r="CJ101"/>
      <c r="CK101"/>
      <c r="CL101"/>
      <c r="CM101"/>
      <c r="CN101"/>
      <c r="CO101"/>
      <c r="CP101"/>
      <c r="CQ101"/>
      <c r="CR101"/>
      <c r="CS101"/>
    </row>
    <row r="102" spans="1:97" ht="13.5" customHeight="1" x14ac:dyDescent="0.35">
      <c r="A102" s="24"/>
      <c r="B102" s="42"/>
      <c r="C102" s="42"/>
      <c r="D102" s="43"/>
      <c r="E102" s="43"/>
      <c r="F102" s="43"/>
      <c r="G102" s="43"/>
      <c r="H102" s="43"/>
      <c r="I102" s="44"/>
      <c r="J102" s="37"/>
      <c r="K102" s="37"/>
      <c r="L102" s="37"/>
      <c r="M102" s="37"/>
      <c r="N102" s="44"/>
      <c r="S102" s="191"/>
      <c r="T102" s="62"/>
      <c r="U102" s="62"/>
      <c r="V102" s="62"/>
      <c r="W102" s="62"/>
      <c r="X102" s="191"/>
      <c r="Y102" s="62"/>
      <c r="Z102" s="62"/>
      <c r="AA102" s="62"/>
      <c r="AB102" s="62"/>
      <c r="AC102" s="191"/>
      <c r="AD102" s="255"/>
      <c r="AE102" s="255"/>
      <c r="AF102" s="255"/>
      <c r="AG102" s="255"/>
      <c r="AH102" s="259"/>
      <c r="AI102" s="255"/>
      <c r="AJ102" s="255"/>
      <c r="AK102" s="340"/>
      <c r="AL102" s="255"/>
      <c r="AM102" s="259"/>
      <c r="AN102" s="255"/>
      <c r="AO102" s="362"/>
      <c r="AP102" s="362"/>
      <c r="AQ102" s="362"/>
      <c r="AR102" s="49"/>
      <c r="AS102" s="362"/>
      <c r="AT102" s="362"/>
      <c r="AU102" s="362"/>
      <c r="AV102" s="362"/>
      <c r="AW102" s="49"/>
      <c r="AX102" s="362"/>
      <c r="AY102" s="362"/>
      <c r="AZ102" s="362"/>
      <c r="BA102" s="362"/>
      <c r="BB102" s="49"/>
      <c r="BC102" s="499"/>
      <c r="BD102" s="37"/>
      <c r="BE102" s="37"/>
      <c r="BF102" s="37"/>
      <c r="BG102" s="49"/>
      <c r="BH102" s="37"/>
      <c r="BI102" s="62"/>
      <c r="BJ102" s="37"/>
      <c r="BK102" s="37"/>
      <c r="BL102" s="49"/>
      <c r="BM102" s="37"/>
      <c r="BN102" s="499"/>
      <c r="BO102" s="499"/>
      <c r="BP102" s="499"/>
      <c r="BQ102" s="49"/>
      <c r="BR102" s="37"/>
      <c r="BS102" s="37"/>
      <c r="BT102" s="37"/>
      <c r="BU102" s="37"/>
      <c r="BV102" s="49"/>
      <c r="BW102" s="37"/>
      <c r="BX102" s="37"/>
      <c r="BY102" s="37"/>
      <c r="BZ102" s="37"/>
      <c r="CA102" s="49"/>
      <c r="CB102" s="37"/>
      <c r="CC102" s="37"/>
      <c r="CD102" s="37"/>
      <c r="CE102" s="37"/>
      <c r="CF102" s="49"/>
      <c r="CI102"/>
      <c r="CJ102"/>
      <c r="CK102"/>
      <c r="CL102"/>
      <c r="CM102"/>
      <c r="CN102"/>
      <c r="CO102"/>
      <c r="CP102"/>
      <c r="CQ102"/>
      <c r="CR102"/>
      <c r="CS102"/>
    </row>
    <row r="103" spans="1:97" ht="12.75" customHeight="1" x14ac:dyDescent="0.35">
      <c r="B103" s="218" t="s">
        <v>505</v>
      </c>
      <c r="C103" s="58"/>
      <c r="D103" s="58"/>
      <c r="E103" s="58"/>
      <c r="F103" s="58"/>
      <c r="G103" s="58"/>
      <c r="H103" s="58"/>
      <c r="I103" s="66"/>
      <c r="J103" s="56"/>
      <c r="K103" s="56"/>
      <c r="L103" s="56"/>
      <c r="M103" s="56"/>
      <c r="N103" s="66"/>
      <c r="O103" s="56"/>
      <c r="P103" s="56"/>
      <c r="Q103" s="56"/>
      <c r="R103" s="56"/>
      <c r="S103" s="67"/>
      <c r="T103" s="56"/>
      <c r="U103" s="56"/>
      <c r="V103" s="56"/>
      <c r="W103" s="56"/>
      <c r="X103" s="67"/>
      <c r="Y103" s="56"/>
      <c r="Z103" s="56"/>
      <c r="AA103" s="56"/>
      <c r="AB103" s="56"/>
      <c r="AC103" s="67"/>
      <c r="AD103" s="56"/>
      <c r="AE103" s="56"/>
      <c r="AF103" s="56"/>
      <c r="AG103" s="56"/>
      <c r="AH103" s="67"/>
      <c r="AI103" s="56"/>
      <c r="AJ103" s="56"/>
      <c r="AK103" s="56"/>
      <c r="AL103" s="56"/>
      <c r="AM103" s="67"/>
      <c r="AN103" s="56"/>
      <c r="AO103" s="56"/>
      <c r="AP103" s="56"/>
      <c r="AQ103" s="56"/>
      <c r="AR103" s="67"/>
      <c r="AS103" s="56"/>
      <c r="AT103" s="56"/>
      <c r="AU103" s="466"/>
      <c r="AV103" s="56"/>
      <c r="AW103" s="67"/>
      <c r="AX103" s="56"/>
      <c r="AY103" s="56"/>
      <c r="AZ103" s="56"/>
      <c r="BA103" s="56"/>
      <c r="BB103" s="67"/>
      <c r="BC103" s="56"/>
      <c r="BD103" s="56"/>
      <c r="BE103" s="56"/>
      <c r="BF103" s="56"/>
      <c r="BG103" s="67"/>
      <c r="BH103" s="173"/>
      <c r="BI103" s="56"/>
      <c r="BJ103" s="56"/>
      <c r="BK103" s="56"/>
      <c r="BL103" s="67"/>
      <c r="BM103" s="56"/>
      <c r="BN103" s="56"/>
      <c r="BO103" s="56"/>
      <c r="BP103" s="56"/>
      <c r="BQ103" s="67"/>
      <c r="BR103" s="56"/>
      <c r="BS103" s="56"/>
      <c r="BT103" s="56"/>
      <c r="BU103" s="56"/>
      <c r="BV103" s="67"/>
      <c r="BW103" s="56"/>
      <c r="BX103" s="56"/>
      <c r="BY103" s="56"/>
      <c r="BZ103" s="56"/>
      <c r="CA103" s="67"/>
      <c r="CB103" s="56"/>
      <c r="CC103" s="56"/>
      <c r="CD103" s="56"/>
      <c r="CE103" s="56"/>
      <c r="CF103" s="67"/>
      <c r="CI103"/>
      <c r="CJ103"/>
      <c r="CK103"/>
      <c r="CL103"/>
      <c r="CM103"/>
      <c r="CN103"/>
      <c r="CO103"/>
      <c r="CP103"/>
      <c r="CQ103"/>
      <c r="CR103"/>
      <c r="CS103"/>
    </row>
    <row r="104" spans="1:97" ht="12.75" customHeight="1" x14ac:dyDescent="0.35">
      <c r="B104" s="613" t="s">
        <v>481</v>
      </c>
      <c r="C104" s="613"/>
      <c r="D104" s="58"/>
      <c r="E104" s="58"/>
      <c r="F104" s="58"/>
      <c r="G104" s="58"/>
      <c r="H104" s="58"/>
      <c r="I104" s="66"/>
      <c r="J104" s="56"/>
      <c r="K104" s="56"/>
      <c r="L104" s="56"/>
      <c r="M104" s="56"/>
      <c r="N104" s="66"/>
      <c r="O104" s="56"/>
      <c r="P104" s="56"/>
      <c r="Q104" s="56"/>
      <c r="R104" s="56"/>
      <c r="S104" s="67"/>
      <c r="T104" s="56"/>
      <c r="U104" s="56"/>
      <c r="V104" s="56"/>
      <c r="W104" s="56"/>
      <c r="X104" s="67"/>
      <c r="Y104" s="56"/>
      <c r="Z104" s="56"/>
      <c r="AA104" s="56"/>
      <c r="AB104" s="56"/>
      <c r="AC104" s="67"/>
      <c r="AD104" s="56"/>
      <c r="AE104" s="56"/>
      <c r="AF104" s="56"/>
      <c r="AG104" s="56"/>
      <c r="AH104" s="67"/>
      <c r="AI104" s="56"/>
      <c r="AJ104" s="56"/>
      <c r="AK104" s="56"/>
      <c r="AL104" s="56"/>
      <c r="AM104" s="67"/>
      <c r="AN104" s="56"/>
      <c r="AO104" s="56"/>
      <c r="AP104" s="56"/>
      <c r="AQ104" s="56"/>
      <c r="AR104" s="67"/>
      <c r="AS104" s="56"/>
      <c r="AT104" s="56"/>
      <c r="AU104" s="466"/>
      <c r="AV104" s="56"/>
      <c r="AW104" s="67"/>
      <c r="AX104" s="67"/>
      <c r="AY104" s="67"/>
      <c r="AZ104" s="67"/>
      <c r="BA104" s="67"/>
      <c r="BB104" s="67"/>
      <c r="BC104" s="67"/>
      <c r="BD104" s="67"/>
      <c r="BE104" s="67"/>
      <c r="BF104" s="67"/>
      <c r="BG104" s="67"/>
      <c r="BH104" s="67"/>
      <c r="BI104" s="173">
        <v>390</v>
      </c>
      <c r="BJ104" s="173">
        <v>397</v>
      </c>
      <c r="BK104" s="173">
        <v>418</v>
      </c>
      <c r="BL104" s="584">
        <f t="shared" ref="BL104:BL109" si="115">BK104</f>
        <v>418</v>
      </c>
      <c r="BM104" s="173">
        <v>424</v>
      </c>
      <c r="BN104" s="173">
        <v>428</v>
      </c>
      <c r="BO104" s="173">
        <v>439</v>
      </c>
      <c r="BP104" s="173">
        <v>457</v>
      </c>
      <c r="BQ104" s="584">
        <f t="shared" ref="BQ104:BQ109" si="116">BP104</f>
        <v>457</v>
      </c>
      <c r="BR104" s="173">
        <v>453</v>
      </c>
      <c r="BS104" s="173">
        <v>456</v>
      </c>
      <c r="BT104" s="56"/>
      <c r="BU104" s="56"/>
      <c r="BV104" s="67"/>
      <c r="BW104" s="56"/>
      <c r="BX104" s="56"/>
      <c r="BY104" s="56"/>
      <c r="BZ104" s="56"/>
      <c r="CA104" s="67"/>
      <c r="CB104" s="56"/>
      <c r="CC104" s="56"/>
      <c r="CD104" s="56"/>
      <c r="CE104" s="56"/>
      <c r="CF104" s="67"/>
      <c r="CI104"/>
      <c r="CJ104"/>
      <c r="CK104"/>
      <c r="CL104"/>
      <c r="CM104"/>
      <c r="CN104"/>
      <c r="CO104"/>
      <c r="CP104"/>
      <c r="CQ104"/>
      <c r="CR104"/>
      <c r="CS104"/>
    </row>
    <row r="105" spans="1:97" ht="12.75" customHeight="1" x14ac:dyDescent="0.35">
      <c r="B105" s="613" t="s">
        <v>482</v>
      </c>
      <c r="C105" s="613"/>
      <c r="D105" s="58"/>
      <c r="E105" s="58"/>
      <c r="F105" s="58"/>
      <c r="G105" s="58"/>
      <c r="H105" s="58"/>
      <c r="I105" s="66"/>
      <c r="J105" s="56"/>
      <c r="K105" s="56"/>
      <c r="L105" s="56"/>
      <c r="M105" s="56"/>
      <c r="N105" s="66"/>
      <c r="O105" s="56"/>
      <c r="P105" s="56"/>
      <c r="Q105" s="56"/>
      <c r="R105" s="56"/>
      <c r="S105" s="67"/>
      <c r="T105" s="56"/>
      <c r="U105" s="56"/>
      <c r="V105" s="56"/>
      <c r="W105" s="56"/>
      <c r="X105" s="67"/>
      <c r="Y105" s="56"/>
      <c r="Z105" s="56"/>
      <c r="AA105" s="56"/>
      <c r="AB105" s="56"/>
      <c r="AC105" s="67"/>
      <c r="AD105" s="56"/>
      <c r="AE105" s="56"/>
      <c r="AF105" s="56"/>
      <c r="AG105" s="56"/>
      <c r="AH105" s="67"/>
      <c r="AI105" s="56"/>
      <c r="AJ105" s="56"/>
      <c r="AK105" s="56"/>
      <c r="AL105" s="56"/>
      <c r="AM105" s="67"/>
      <c r="AN105" s="56"/>
      <c r="AO105" s="56"/>
      <c r="AP105" s="56"/>
      <c r="AQ105" s="56"/>
      <c r="AR105" s="67"/>
      <c r="AS105" s="56"/>
      <c r="AT105" s="56"/>
      <c r="AU105" s="466"/>
      <c r="AV105" s="56"/>
      <c r="AW105" s="67"/>
      <c r="AX105" s="67"/>
      <c r="AY105" s="67"/>
      <c r="AZ105" s="67"/>
      <c r="BA105" s="67"/>
      <c r="BB105" s="67"/>
      <c r="BC105" s="67"/>
      <c r="BD105" s="67"/>
      <c r="BE105" s="67"/>
      <c r="BF105" s="67"/>
      <c r="BG105" s="67"/>
      <c r="BH105" s="67"/>
      <c r="BI105" s="173">
        <v>497</v>
      </c>
      <c r="BJ105" s="173">
        <v>511</v>
      </c>
      <c r="BK105" s="173">
        <v>533</v>
      </c>
      <c r="BL105" s="584">
        <f t="shared" si="115"/>
        <v>533</v>
      </c>
      <c r="BM105" s="173">
        <v>552</v>
      </c>
      <c r="BN105" s="173">
        <v>569</v>
      </c>
      <c r="BO105" s="173">
        <v>579</v>
      </c>
      <c r="BP105" s="173">
        <v>601</v>
      </c>
      <c r="BQ105" s="584">
        <f t="shared" si="116"/>
        <v>601</v>
      </c>
      <c r="BR105" s="173">
        <v>609</v>
      </c>
      <c r="BS105" s="173">
        <v>616</v>
      </c>
      <c r="BT105" s="56"/>
      <c r="BU105" s="56"/>
      <c r="BV105" s="67"/>
      <c r="BW105" s="56"/>
      <c r="BX105" s="56"/>
      <c r="BY105" s="56"/>
      <c r="BZ105" s="56"/>
      <c r="CA105" s="67"/>
      <c r="CB105" s="56"/>
      <c r="CC105" s="56"/>
      <c r="CD105" s="56"/>
      <c r="CE105" s="56"/>
      <c r="CF105" s="67"/>
      <c r="CI105"/>
      <c r="CJ105"/>
      <c r="CK105"/>
      <c r="CL105"/>
      <c r="CM105"/>
      <c r="CN105"/>
      <c r="CO105"/>
      <c r="CP105"/>
      <c r="CQ105"/>
      <c r="CR105"/>
      <c r="CS105"/>
    </row>
    <row r="106" spans="1:97" ht="12.75" customHeight="1" x14ac:dyDescent="0.35">
      <c r="B106" s="613" t="s">
        <v>480</v>
      </c>
      <c r="C106" s="613"/>
      <c r="D106" s="58"/>
      <c r="E106" s="58"/>
      <c r="F106" s="58"/>
      <c r="G106" s="58"/>
      <c r="H106" s="58"/>
      <c r="I106" s="66"/>
      <c r="J106" s="56"/>
      <c r="K106" s="56"/>
      <c r="L106" s="56"/>
      <c r="M106" s="56"/>
      <c r="N106" s="66"/>
      <c r="O106" s="56"/>
      <c r="P106" s="56"/>
      <c r="Q106" s="56"/>
      <c r="R106" s="56"/>
      <c r="S106" s="67"/>
      <c r="T106" s="56"/>
      <c r="U106" s="56"/>
      <c r="V106" s="56"/>
      <c r="W106" s="56"/>
      <c r="X106" s="67"/>
      <c r="Y106" s="56"/>
      <c r="Z106" s="56"/>
      <c r="AA106" s="56"/>
      <c r="AB106" s="56"/>
      <c r="AC106" s="67"/>
      <c r="AD106" s="56"/>
      <c r="AE106" s="56"/>
      <c r="AF106" s="56"/>
      <c r="AG106" s="56"/>
      <c r="AH106" s="67"/>
      <c r="AI106" s="56"/>
      <c r="AJ106" s="56"/>
      <c r="AK106" s="56"/>
      <c r="AL106" s="56"/>
      <c r="AM106" s="67"/>
      <c r="AN106" s="56"/>
      <c r="AO106" s="56"/>
      <c r="AP106" s="56"/>
      <c r="AQ106" s="56"/>
      <c r="AR106" s="67"/>
      <c r="AS106" s="56"/>
      <c r="AT106" s="56"/>
      <c r="AU106" s="466"/>
      <c r="AV106" s="56"/>
      <c r="AW106" s="67"/>
      <c r="AX106" s="67"/>
      <c r="AY106" s="67"/>
      <c r="AZ106" s="67"/>
      <c r="BA106" s="67"/>
      <c r="BB106" s="67"/>
      <c r="BC106" s="67"/>
      <c r="BD106" s="67"/>
      <c r="BE106" s="67"/>
      <c r="BF106" s="67"/>
      <c r="BG106" s="67"/>
      <c r="BH106" s="67"/>
      <c r="BI106" s="173">
        <v>292</v>
      </c>
      <c r="BJ106" s="173">
        <v>308</v>
      </c>
      <c r="BK106" s="173">
        <v>326</v>
      </c>
      <c r="BL106" s="584">
        <f t="shared" si="115"/>
        <v>326</v>
      </c>
      <c r="BM106" s="173">
        <v>344</v>
      </c>
      <c r="BN106" s="173">
        <v>352</v>
      </c>
      <c r="BO106" s="173">
        <v>360</v>
      </c>
      <c r="BP106" s="173">
        <v>390</v>
      </c>
      <c r="BQ106" s="584">
        <f t="shared" si="116"/>
        <v>390</v>
      </c>
      <c r="BR106" s="173">
        <v>393</v>
      </c>
      <c r="BS106" s="173">
        <v>395</v>
      </c>
      <c r="BT106" s="56"/>
      <c r="BU106" s="56"/>
      <c r="BV106" s="67"/>
      <c r="BW106" s="56"/>
      <c r="BX106" s="56"/>
      <c r="BY106" s="56"/>
      <c r="BZ106" s="56"/>
      <c r="CA106" s="67"/>
      <c r="CB106" s="56"/>
      <c r="CC106" s="56"/>
      <c r="CD106" s="56"/>
      <c r="CE106" s="56"/>
      <c r="CF106" s="67"/>
      <c r="CI106"/>
      <c r="CJ106"/>
      <c r="CK106"/>
      <c r="CL106"/>
      <c r="CM106"/>
      <c r="CN106"/>
      <c r="CO106"/>
      <c r="CP106"/>
      <c r="CQ106"/>
      <c r="CR106"/>
      <c r="CS106"/>
    </row>
    <row r="107" spans="1:97" ht="12.75" customHeight="1" x14ac:dyDescent="0.35">
      <c r="B107" s="635" t="s">
        <v>414</v>
      </c>
      <c r="C107" s="635"/>
      <c r="D107" s="636"/>
      <c r="E107" s="636"/>
      <c r="F107" s="636"/>
      <c r="G107" s="636"/>
      <c r="H107" s="636"/>
      <c r="I107" s="637"/>
      <c r="J107" s="638"/>
      <c r="K107" s="638"/>
      <c r="L107" s="638"/>
      <c r="M107" s="638"/>
      <c r="N107" s="637"/>
      <c r="O107" s="638"/>
      <c r="P107" s="638"/>
      <c r="Q107" s="638"/>
      <c r="R107" s="638"/>
      <c r="S107" s="639"/>
      <c r="T107" s="638"/>
      <c r="U107" s="638"/>
      <c r="V107" s="638"/>
      <c r="W107" s="638"/>
      <c r="X107" s="639"/>
      <c r="Y107" s="638"/>
      <c r="Z107" s="638"/>
      <c r="AA107" s="638"/>
      <c r="AB107" s="638"/>
      <c r="AC107" s="639"/>
      <c r="AD107" s="638"/>
      <c r="AE107" s="638"/>
      <c r="AF107" s="638"/>
      <c r="AG107" s="638"/>
      <c r="AH107" s="639"/>
      <c r="AI107" s="638"/>
      <c r="AJ107" s="638"/>
      <c r="AK107" s="638"/>
      <c r="AL107" s="638"/>
      <c r="AM107" s="639"/>
      <c r="AN107" s="638"/>
      <c r="AO107" s="638"/>
      <c r="AP107" s="638"/>
      <c r="AQ107" s="638"/>
      <c r="AR107" s="639"/>
      <c r="AS107" s="638"/>
      <c r="AT107" s="638"/>
      <c r="AU107" s="640"/>
      <c r="AV107" s="638"/>
      <c r="AW107" s="639"/>
      <c r="AX107" s="639"/>
      <c r="AY107" s="639"/>
      <c r="AZ107" s="651">
        <v>1071</v>
      </c>
      <c r="BA107" s="651">
        <v>1110</v>
      </c>
      <c r="BB107" s="652">
        <f>BA107</f>
        <v>1110</v>
      </c>
      <c r="BC107" s="639"/>
      <c r="BD107" s="639"/>
      <c r="BE107" s="651">
        <v>1177</v>
      </c>
      <c r="BF107" s="651">
        <v>1235</v>
      </c>
      <c r="BG107" s="652">
        <f>BF107</f>
        <v>1235</v>
      </c>
      <c r="BH107" s="651">
        <v>1234</v>
      </c>
      <c r="BI107" s="653">
        <f>SUM(BI104:BI106)</f>
        <v>1179</v>
      </c>
      <c r="BJ107" s="653">
        <f>SUM(BJ104:BJ106)</f>
        <v>1216</v>
      </c>
      <c r="BK107" s="653">
        <f>SUM(BK104:BK106)</f>
        <v>1277</v>
      </c>
      <c r="BL107" s="652">
        <f t="shared" si="115"/>
        <v>1277</v>
      </c>
      <c r="BM107" s="653">
        <f>SUM(BM104:BM106)</f>
        <v>1320</v>
      </c>
      <c r="BN107" s="653">
        <f>SUM(BN104:BN106)</f>
        <v>1349</v>
      </c>
      <c r="BO107" s="653">
        <f>SUM(BO104:BO106)</f>
        <v>1378</v>
      </c>
      <c r="BP107" s="653">
        <f>SUM(BP104:BP106)</f>
        <v>1448</v>
      </c>
      <c r="BQ107" s="652">
        <f t="shared" si="116"/>
        <v>1448</v>
      </c>
      <c r="BR107" s="653">
        <f>SUM(BR104:BR106)</f>
        <v>1455</v>
      </c>
      <c r="BS107" s="653">
        <f>SUM(BS104:BS106)</f>
        <v>1467</v>
      </c>
      <c r="BT107" s="56"/>
      <c r="BU107" s="507"/>
      <c r="BV107" s="67"/>
      <c r="BW107" s="56"/>
      <c r="BX107" s="56"/>
      <c r="BY107" s="56"/>
      <c r="BZ107" s="56"/>
      <c r="CA107" s="67"/>
      <c r="CB107" s="56"/>
      <c r="CC107" s="56"/>
      <c r="CD107" s="56"/>
      <c r="CE107" s="56"/>
      <c r="CF107" s="67"/>
      <c r="CI107"/>
      <c r="CJ107"/>
      <c r="CK107"/>
      <c r="CL107"/>
      <c r="CM107"/>
      <c r="CN107"/>
      <c r="CO107"/>
      <c r="CP107"/>
      <c r="CQ107"/>
      <c r="CR107"/>
      <c r="CS107"/>
    </row>
    <row r="108" spans="1:97" ht="12.75" customHeight="1" x14ac:dyDescent="0.35">
      <c r="B108" s="35" t="s">
        <v>454</v>
      </c>
      <c r="C108" s="35"/>
      <c r="D108" s="58"/>
      <c r="E108" s="58"/>
      <c r="F108" s="58"/>
      <c r="G108" s="58"/>
      <c r="H108" s="58"/>
      <c r="I108" s="66"/>
      <c r="J108" s="56"/>
      <c r="K108" s="56"/>
      <c r="L108" s="56"/>
      <c r="M108" s="56"/>
      <c r="N108" s="66"/>
      <c r="O108" s="56"/>
      <c r="P108" s="56"/>
      <c r="Q108" s="56"/>
      <c r="R108" s="56"/>
      <c r="S108" s="67"/>
      <c r="T108" s="56"/>
      <c r="U108" s="56"/>
      <c r="V108" s="56"/>
      <c r="W108" s="56"/>
      <c r="X108" s="67"/>
      <c r="Y108" s="56"/>
      <c r="Z108" s="56"/>
      <c r="AA108" s="56"/>
      <c r="AB108" s="56"/>
      <c r="AC108" s="67"/>
      <c r="AD108" s="56"/>
      <c r="AE108" s="56"/>
      <c r="AF108" s="56"/>
      <c r="AG108" s="56"/>
      <c r="AH108" s="67"/>
      <c r="AI108" s="56"/>
      <c r="AJ108" s="56"/>
      <c r="AK108" s="56"/>
      <c r="AL108" s="56"/>
      <c r="AM108" s="67"/>
      <c r="AN108" s="56"/>
      <c r="AO108" s="56"/>
      <c r="AP108" s="56"/>
      <c r="AQ108" s="56"/>
      <c r="AR108" s="67"/>
      <c r="AS108" s="56"/>
      <c r="AT108" s="56"/>
      <c r="AU108" s="466"/>
      <c r="AV108" s="56"/>
      <c r="AW108" s="67"/>
      <c r="AX108" s="67"/>
      <c r="AY108" s="67"/>
      <c r="AZ108" s="173">
        <v>688</v>
      </c>
      <c r="BA108" s="173">
        <v>707</v>
      </c>
      <c r="BB108" s="584">
        <f>BA108</f>
        <v>707</v>
      </c>
      <c r="BC108" s="67"/>
      <c r="BD108" s="67"/>
      <c r="BE108" s="173">
        <v>740</v>
      </c>
      <c r="BF108" s="173">
        <v>770</v>
      </c>
      <c r="BG108" s="584">
        <f>BF108</f>
        <v>770</v>
      </c>
      <c r="BH108" s="173">
        <v>770</v>
      </c>
      <c r="BI108" s="173">
        <v>843</v>
      </c>
      <c r="BJ108" s="173">
        <v>853</v>
      </c>
      <c r="BK108" s="173">
        <v>879</v>
      </c>
      <c r="BL108" s="584">
        <f t="shared" si="115"/>
        <v>879</v>
      </c>
      <c r="BM108" s="173">
        <v>895</v>
      </c>
      <c r="BN108" s="173">
        <v>902</v>
      </c>
      <c r="BO108" s="173">
        <v>910</v>
      </c>
      <c r="BP108" s="173">
        <v>942</v>
      </c>
      <c r="BQ108" s="584">
        <f t="shared" si="116"/>
        <v>942</v>
      </c>
      <c r="BR108" s="173">
        <v>945</v>
      </c>
      <c r="BS108" s="173">
        <v>956</v>
      </c>
      <c r="BT108" s="56"/>
      <c r="BU108" s="507"/>
      <c r="BV108" s="67"/>
      <c r="BW108" s="56"/>
      <c r="BX108" s="56"/>
      <c r="BY108" s="56"/>
      <c r="BZ108" s="56"/>
      <c r="CA108" s="67"/>
      <c r="CB108" s="56"/>
      <c r="CC108" s="56"/>
      <c r="CD108" s="56"/>
      <c r="CE108" s="56"/>
      <c r="CF108" s="67"/>
      <c r="CI108"/>
      <c r="CJ108"/>
      <c r="CK108"/>
      <c r="CL108"/>
      <c r="CM108"/>
      <c r="CN108"/>
      <c r="CO108"/>
      <c r="CP108"/>
      <c r="CQ108"/>
      <c r="CR108"/>
      <c r="CS108"/>
    </row>
    <row r="109" spans="1:97" ht="12.75" customHeight="1" x14ac:dyDescent="0.35">
      <c r="B109" s="35" t="s">
        <v>455</v>
      </c>
      <c r="C109" s="35"/>
      <c r="D109" s="58"/>
      <c r="E109" s="58"/>
      <c r="F109" s="58"/>
      <c r="G109" s="58"/>
      <c r="H109" s="58"/>
      <c r="I109" s="66"/>
      <c r="J109" s="56"/>
      <c r="K109" s="56"/>
      <c r="L109" s="56"/>
      <c r="M109" s="56"/>
      <c r="N109" s="66"/>
      <c r="O109" s="56"/>
      <c r="P109" s="56"/>
      <c r="Q109" s="56"/>
      <c r="R109" s="56"/>
      <c r="S109" s="67"/>
      <c r="T109" s="56"/>
      <c r="U109" s="56"/>
      <c r="V109" s="56"/>
      <c r="W109" s="56"/>
      <c r="X109" s="67"/>
      <c r="Y109" s="56"/>
      <c r="Z109" s="56"/>
      <c r="AA109" s="56"/>
      <c r="AB109" s="56"/>
      <c r="AC109" s="67"/>
      <c r="AD109" s="56"/>
      <c r="AE109" s="56"/>
      <c r="AF109" s="56"/>
      <c r="AG109" s="56"/>
      <c r="AH109" s="67"/>
      <c r="AI109" s="56"/>
      <c r="AJ109" s="56"/>
      <c r="AK109" s="56"/>
      <c r="AL109" s="56"/>
      <c r="AM109" s="67"/>
      <c r="AN109" s="56"/>
      <c r="AO109" s="56"/>
      <c r="AP109" s="56"/>
      <c r="AQ109" s="56"/>
      <c r="AR109" s="67"/>
      <c r="AS109" s="56"/>
      <c r="AT109" s="56"/>
      <c r="AU109" s="466"/>
      <c r="AV109" s="56"/>
      <c r="AW109" s="67"/>
      <c r="AX109" s="67"/>
      <c r="AY109" s="67"/>
      <c r="AZ109" s="173">
        <v>683</v>
      </c>
      <c r="BA109" s="173">
        <v>705</v>
      </c>
      <c r="BB109" s="584">
        <f>BA109</f>
        <v>705</v>
      </c>
      <c r="BC109" s="67"/>
      <c r="BD109" s="67"/>
      <c r="BE109" s="173">
        <v>745</v>
      </c>
      <c r="BF109" s="173">
        <v>768</v>
      </c>
      <c r="BG109" s="584">
        <f>BF109</f>
        <v>768</v>
      </c>
      <c r="BH109" s="173">
        <v>748</v>
      </c>
      <c r="BI109" s="173">
        <v>759</v>
      </c>
      <c r="BJ109" s="173">
        <v>782</v>
      </c>
      <c r="BK109" s="173">
        <v>806</v>
      </c>
      <c r="BL109" s="584">
        <f t="shared" si="115"/>
        <v>806</v>
      </c>
      <c r="BM109" s="173">
        <v>844</v>
      </c>
      <c r="BN109" s="173">
        <v>854</v>
      </c>
      <c r="BO109" s="173">
        <v>859</v>
      </c>
      <c r="BP109" s="173">
        <v>888</v>
      </c>
      <c r="BQ109" s="584">
        <f t="shared" si="116"/>
        <v>888</v>
      </c>
      <c r="BR109" s="173">
        <v>866</v>
      </c>
      <c r="BS109" s="173">
        <v>874</v>
      </c>
      <c r="BT109" s="56"/>
      <c r="BU109" s="507"/>
      <c r="BV109" s="67"/>
      <c r="BW109" s="56"/>
      <c r="BX109" s="56"/>
      <c r="BY109" s="56"/>
      <c r="BZ109" s="56"/>
      <c r="CA109" s="67"/>
      <c r="CB109" s="56"/>
      <c r="CC109" s="56"/>
      <c r="CD109" s="56"/>
      <c r="CE109" s="56"/>
      <c r="CF109" s="67"/>
      <c r="CI109"/>
      <c r="CJ109"/>
      <c r="CK109"/>
      <c r="CL109"/>
      <c r="CM109"/>
      <c r="CN109"/>
      <c r="CO109"/>
      <c r="CP109"/>
      <c r="CQ109"/>
      <c r="CR109"/>
      <c r="CS109"/>
    </row>
    <row r="110" spans="1:97" s="1" customFormat="1" ht="12.75" customHeight="1" x14ac:dyDescent="0.4">
      <c r="A110" s="24"/>
      <c r="B110" s="348" t="s">
        <v>501</v>
      </c>
      <c r="C110" s="628"/>
      <c r="D110" s="628"/>
      <c r="E110" s="628"/>
      <c r="F110" s="628"/>
      <c r="G110" s="628"/>
      <c r="H110" s="628"/>
      <c r="I110" s="629"/>
      <c r="J110" s="345"/>
      <c r="K110" s="345"/>
      <c r="L110" s="345"/>
      <c r="M110" s="345"/>
      <c r="N110" s="629"/>
      <c r="O110" s="345"/>
      <c r="P110" s="345"/>
      <c r="Q110" s="345"/>
      <c r="R110" s="345"/>
      <c r="S110" s="630"/>
      <c r="T110" s="345"/>
      <c r="U110" s="345"/>
      <c r="V110" s="345"/>
      <c r="W110" s="345"/>
      <c r="X110" s="630"/>
      <c r="Y110" s="345"/>
      <c r="Z110" s="345"/>
      <c r="AA110" s="345"/>
      <c r="AB110" s="345"/>
      <c r="AC110" s="630"/>
      <c r="AD110" s="631">
        <v>495.6</v>
      </c>
      <c r="AE110" s="631">
        <v>511.9</v>
      </c>
      <c r="AF110" s="631">
        <v>528.1</v>
      </c>
      <c r="AG110" s="631">
        <v>584.9</v>
      </c>
      <c r="AH110" s="632"/>
      <c r="AI110" s="632"/>
      <c r="AJ110" s="632"/>
      <c r="AK110" s="632"/>
      <c r="AL110" s="632"/>
      <c r="AM110" s="632"/>
      <c r="AN110" s="632"/>
      <c r="AO110" s="632"/>
      <c r="AP110" s="632"/>
      <c r="AQ110" s="632"/>
      <c r="AR110" s="632"/>
      <c r="AS110" s="632"/>
      <c r="AT110" s="632"/>
      <c r="AU110" s="632"/>
      <c r="AV110" s="632"/>
      <c r="AW110" s="632"/>
      <c r="AX110" s="631">
        <v>2063</v>
      </c>
      <c r="AY110" s="631">
        <v>2084</v>
      </c>
      <c r="AZ110" s="633">
        <f>SUM(AZ107:AZ109)</f>
        <v>2442</v>
      </c>
      <c r="BA110" s="633">
        <f>SUM(BA107:BA109)</f>
        <v>2522</v>
      </c>
      <c r="BB110" s="634">
        <f>BA110</f>
        <v>2522</v>
      </c>
      <c r="BC110" s="631">
        <v>2573</v>
      </c>
      <c r="BD110" s="631">
        <v>2608</v>
      </c>
      <c r="BE110" s="633">
        <f>SUM(BE107:BE109)</f>
        <v>2662</v>
      </c>
      <c r="BF110" s="633">
        <f>SUM(BF107:BF109)</f>
        <v>2773</v>
      </c>
      <c r="BG110" s="634">
        <f>BF110</f>
        <v>2773</v>
      </c>
      <c r="BH110" s="633">
        <f>SUM(BH107:BH109)</f>
        <v>2752</v>
      </c>
      <c r="BI110" s="633">
        <f>SUM(BI107:BI109)</f>
        <v>2781</v>
      </c>
      <c r="BJ110" s="633">
        <f>SUM(BJ107:BJ109)</f>
        <v>2851</v>
      </c>
      <c r="BK110" s="633">
        <f>SUM(BK107:BK109)</f>
        <v>2962</v>
      </c>
      <c r="BL110" s="634">
        <f>BK110</f>
        <v>2962</v>
      </c>
      <c r="BM110" s="633">
        <f>SUM(BM107:BM109)</f>
        <v>3059</v>
      </c>
      <c r="BN110" s="633">
        <f>SUM(BN107:BN109)</f>
        <v>3105</v>
      </c>
      <c r="BO110" s="633">
        <f>SUM(BO107:BO109)</f>
        <v>3147</v>
      </c>
      <c r="BP110" s="633">
        <f>SUM(BP107:BP109)</f>
        <v>3278</v>
      </c>
      <c r="BQ110" s="634">
        <f>BP110</f>
        <v>3278</v>
      </c>
      <c r="BR110" s="633">
        <f>SUM(BR107:BR109)</f>
        <v>3266</v>
      </c>
      <c r="BS110" s="633">
        <f>SUM(BS107:BS109)</f>
        <v>3297</v>
      </c>
      <c r="BT110" s="56"/>
      <c r="BU110" s="56"/>
      <c r="BV110" s="67"/>
      <c r="BW110" s="56"/>
      <c r="BX110" s="56"/>
      <c r="BY110" s="56"/>
      <c r="BZ110" s="56"/>
      <c r="CA110" s="67"/>
      <c r="CB110" s="56"/>
      <c r="CC110" s="56"/>
      <c r="CD110" s="56"/>
      <c r="CE110" s="56"/>
      <c r="CF110" s="67"/>
    </row>
    <row r="111" spans="1:97" ht="12.75" customHeight="1" x14ac:dyDescent="0.35">
      <c r="B111" s="42" t="s">
        <v>483</v>
      </c>
      <c r="C111" s="58"/>
      <c r="D111" s="58"/>
      <c r="E111" s="58"/>
      <c r="F111" s="58"/>
      <c r="G111" s="58"/>
      <c r="H111" s="58"/>
      <c r="I111" s="66"/>
      <c r="J111" s="56"/>
      <c r="K111" s="56"/>
      <c r="L111" s="56"/>
      <c r="M111" s="56"/>
      <c r="N111" s="66"/>
      <c r="O111" s="56"/>
      <c r="P111" s="56"/>
      <c r="Q111" s="56"/>
      <c r="R111" s="56"/>
      <c r="S111" s="67"/>
      <c r="T111" s="56"/>
      <c r="U111" s="56"/>
      <c r="V111" s="56"/>
      <c r="W111" s="56"/>
      <c r="X111" s="67"/>
      <c r="Y111" s="56"/>
      <c r="Z111" s="56"/>
      <c r="AA111" s="56"/>
      <c r="AB111" s="56"/>
      <c r="AC111" s="67"/>
      <c r="AD111" s="153" t="str">
        <f>IFERROR(AD110/Y110-1,"NA")</f>
        <v>NA</v>
      </c>
      <c r="AE111" s="153" t="str">
        <f>IFERROR(AE110/Z110-1,"NA")</f>
        <v>NA</v>
      </c>
      <c r="AF111" s="153" t="str">
        <f>IFERROR(AF110/AA110-1,"NA")</f>
        <v>NA</v>
      </c>
      <c r="AG111" s="153" t="str">
        <f>IFERROR(AG110/AB110-1,"NA")</f>
        <v>NA</v>
      </c>
      <c r="AH111" s="455"/>
      <c r="AI111" s="455"/>
      <c r="AJ111" s="455"/>
      <c r="AK111" s="455"/>
      <c r="AL111" s="455"/>
      <c r="AM111" s="455"/>
      <c r="AN111" s="455"/>
      <c r="AO111" s="455"/>
      <c r="AP111" s="455"/>
      <c r="AQ111" s="455"/>
      <c r="AR111" s="455"/>
      <c r="AS111" s="455"/>
      <c r="AT111" s="455"/>
      <c r="AU111" s="455"/>
      <c r="AV111" s="455"/>
      <c r="AW111" s="455"/>
      <c r="AX111" s="67"/>
      <c r="AY111" s="67"/>
      <c r="AZ111" s="67"/>
      <c r="BA111" s="67"/>
      <c r="BB111" s="455"/>
      <c r="BC111" s="523">
        <f>BC110/AX110-1</f>
        <v>0.2472127968977218</v>
      </c>
      <c r="BD111" s="523">
        <f>BD110/AY110-1</f>
        <v>0.25143953934740892</v>
      </c>
      <c r="BE111" s="523">
        <f>BE110/AZ110-1</f>
        <v>9.0090090090090058E-2</v>
      </c>
      <c r="BF111" s="523">
        <f>BF110/BA110-1</f>
        <v>9.9524187153053223E-2</v>
      </c>
      <c r="BG111" s="616">
        <f t="shared" ref="BG111:BT111" si="117">BG110/BB110-1</f>
        <v>9.9524187153053223E-2</v>
      </c>
      <c r="BH111" s="523">
        <f t="shared" si="117"/>
        <v>6.9568596968519136E-2</v>
      </c>
      <c r="BI111" s="523">
        <f t="shared" si="117"/>
        <v>6.6334355828220781E-2</v>
      </c>
      <c r="BJ111" s="523">
        <f t="shared" si="117"/>
        <v>7.0999248685199134E-2</v>
      </c>
      <c r="BK111" s="523">
        <f t="shared" si="117"/>
        <v>6.8157230436350469E-2</v>
      </c>
      <c r="BL111" s="616">
        <f t="shared" si="117"/>
        <v>6.8157230436350469E-2</v>
      </c>
      <c r="BM111" s="523">
        <f>BM110/BH110-1</f>
        <v>0.11155523255813948</v>
      </c>
      <c r="BN111" s="523">
        <f>BN110/BI110-1</f>
        <v>0.11650485436893199</v>
      </c>
      <c r="BO111" s="523">
        <f>BO110/BJ110-1</f>
        <v>0.10382321992283416</v>
      </c>
      <c r="BP111" s="523">
        <f>BP110/BK110-1</f>
        <v>0.10668467251856861</v>
      </c>
      <c r="BQ111" s="616">
        <f>BQ110/BL110-1</f>
        <v>0.10668467251856861</v>
      </c>
      <c r="BR111" s="523">
        <f t="shared" si="117"/>
        <v>6.7669172932330879E-2</v>
      </c>
      <c r="BS111" s="523">
        <f t="shared" si="117"/>
        <v>6.1835748792270495E-2</v>
      </c>
      <c r="BT111" s="56"/>
      <c r="BU111" s="56"/>
      <c r="BV111" s="67"/>
      <c r="BW111" s="56"/>
      <c r="BX111" s="56"/>
      <c r="BY111" s="56"/>
      <c r="BZ111" s="56"/>
      <c r="CA111" s="67"/>
      <c r="CB111" s="56"/>
      <c r="CC111" s="56"/>
      <c r="CD111" s="56"/>
      <c r="CE111" s="56"/>
      <c r="CF111" s="67"/>
      <c r="CI111"/>
      <c r="CJ111"/>
      <c r="CK111"/>
      <c r="CL111"/>
      <c r="CM111"/>
      <c r="CN111"/>
      <c r="CO111"/>
      <c r="CP111"/>
      <c r="CQ111"/>
      <c r="CR111"/>
      <c r="CS111"/>
    </row>
    <row r="112" spans="1:97" s="129" customFormat="1" ht="12.75" customHeight="1" x14ac:dyDescent="0.35">
      <c r="A112" s="58"/>
      <c r="B112" s="53"/>
      <c r="C112" s="58"/>
      <c r="D112" s="58"/>
      <c r="E112" s="58"/>
      <c r="F112" s="58"/>
      <c r="G112" s="58"/>
      <c r="H112" s="58"/>
      <c r="I112" s="66"/>
      <c r="J112" s="56"/>
      <c r="K112" s="56"/>
      <c r="L112" s="56"/>
      <c r="M112" s="56"/>
      <c r="N112" s="66"/>
      <c r="O112" s="56"/>
      <c r="P112" s="56"/>
      <c r="Q112" s="56"/>
      <c r="R112" s="56"/>
      <c r="S112" s="67"/>
      <c r="T112" s="56"/>
      <c r="U112" s="56"/>
      <c r="V112" s="56"/>
      <c r="W112" s="56"/>
      <c r="X112" s="67"/>
      <c r="Y112" s="56"/>
      <c r="Z112" s="56"/>
      <c r="AA112" s="56"/>
      <c r="AB112" s="56"/>
      <c r="AC112" s="67"/>
      <c r="AD112" s="561"/>
      <c r="AE112" s="561"/>
      <c r="AF112" s="561"/>
      <c r="AG112" s="561"/>
      <c r="AH112" s="614"/>
      <c r="AI112" s="614"/>
      <c r="AJ112" s="614"/>
      <c r="AK112" s="614"/>
      <c r="AL112" s="614"/>
      <c r="AM112" s="614"/>
      <c r="AN112" s="614"/>
      <c r="AO112" s="614"/>
      <c r="AP112" s="614"/>
      <c r="AQ112" s="614"/>
      <c r="AR112" s="614"/>
      <c r="AS112" s="614"/>
      <c r="AT112" s="614"/>
      <c r="AU112" s="614"/>
      <c r="AV112" s="614"/>
      <c r="AW112" s="614"/>
      <c r="AX112" s="67"/>
      <c r="AY112" s="67"/>
      <c r="AZ112" s="67"/>
      <c r="BA112" s="67"/>
      <c r="BB112" s="614"/>
      <c r="BC112" s="615"/>
      <c r="BD112" s="615"/>
      <c r="BE112" s="615"/>
      <c r="BF112" s="615"/>
      <c r="BG112" s="67"/>
      <c r="BH112" s="615"/>
      <c r="BI112" s="615"/>
      <c r="BJ112" s="615"/>
      <c r="BK112" s="615"/>
      <c r="BL112" s="538"/>
      <c r="BM112" s="615"/>
      <c r="BN112" s="615"/>
      <c r="BO112" s="56"/>
      <c r="BP112" s="56"/>
      <c r="BQ112" s="67"/>
      <c r="BR112" s="615"/>
      <c r="BS112" s="56"/>
      <c r="BT112" s="56"/>
      <c r="BU112" s="56"/>
      <c r="BV112" s="67"/>
      <c r="BW112" s="56"/>
      <c r="BX112" s="56"/>
      <c r="BY112" s="56"/>
      <c r="BZ112" s="56"/>
      <c r="CA112" s="67"/>
      <c r="CB112" s="56"/>
      <c r="CC112" s="56"/>
      <c r="CD112" s="56"/>
      <c r="CE112" s="56"/>
      <c r="CF112" s="67"/>
    </row>
    <row r="113" spans="1:97" ht="12.75" customHeight="1" x14ac:dyDescent="0.35">
      <c r="B113" s="218" t="s">
        <v>500</v>
      </c>
      <c r="C113" s="58"/>
      <c r="D113" s="58"/>
      <c r="E113" s="58"/>
      <c r="F113" s="58"/>
      <c r="G113" s="58"/>
      <c r="H113" s="58"/>
      <c r="I113" s="66"/>
      <c r="J113" s="56"/>
      <c r="K113" s="56"/>
      <c r="L113" s="56"/>
      <c r="M113" s="56"/>
      <c r="N113" s="66"/>
      <c r="O113" s="56"/>
      <c r="P113" s="56"/>
      <c r="Q113" s="56"/>
      <c r="R113" s="56"/>
      <c r="S113" s="67"/>
      <c r="T113" s="56"/>
      <c r="U113" s="56"/>
      <c r="V113" s="56"/>
      <c r="W113" s="56"/>
      <c r="X113" s="67"/>
      <c r="Y113" s="56"/>
      <c r="Z113" s="56"/>
      <c r="AA113" s="56"/>
      <c r="AB113" s="56"/>
      <c r="AC113" s="67"/>
      <c r="AD113" s="56"/>
      <c r="AE113" s="56"/>
      <c r="AF113" s="56"/>
      <c r="AG113" s="56"/>
      <c r="AH113" s="67"/>
      <c r="AI113" s="56"/>
      <c r="AJ113" s="56"/>
      <c r="AK113" s="56"/>
      <c r="AL113" s="56"/>
      <c r="AM113" s="67"/>
      <c r="AN113" s="56"/>
      <c r="AO113" s="56"/>
      <c r="AP113" s="56"/>
      <c r="AQ113" s="56"/>
      <c r="AR113" s="67"/>
      <c r="AS113" s="56"/>
      <c r="AT113" s="56"/>
      <c r="AU113" s="466"/>
      <c r="AV113" s="56"/>
      <c r="AW113" s="67"/>
      <c r="AX113" s="56"/>
      <c r="AY113" s="56"/>
      <c r="AZ113" s="56"/>
      <c r="BA113" s="56"/>
      <c r="BB113" s="67"/>
      <c r="BC113" s="56"/>
      <c r="BD113" s="56"/>
      <c r="BE113" s="56"/>
      <c r="BF113" s="56"/>
      <c r="BG113" s="67"/>
      <c r="BH113" s="173"/>
      <c r="BI113" s="56"/>
      <c r="BJ113" s="56"/>
      <c r="BK113" s="56"/>
      <c r="BL113" s="67"/>
      <c r="BM113" s="56"/>
      <c r="BN113" s="56"/>
      <c r="BO113" s="656"/>
      <c r="BP113" s="56"/>
      <c r="BQ113" s="67"/>
      <c r="BR113" s="56"/>
      <c r="BS113" s="56"/>
      <c r="BT113" s="56"/>
      <c r="BU113" s="56"/>
      <c r="BV113" s="67"/>
      <c r="BW113" s="56"/>
      <c r="BX113" s="56"/>
      <c r="BY113" s="56"/>
      <c r="BZ113" s="56"/>
      <c r="CA113" s="67"/>
      <c r="CB113" s="56"/>
      <c r="CC113" s="56"/>
      <c r="CD113" s="56"/>
      <c r="CE113" s="56"/>
      <c r="CF113" s="67"/>
      <c r="CI113"/>
      <c r="CJ113"/>
      <c r="CK113"/>
      <c r="CL113"/>
      <c r="CM113"/>
      <c r="CN113"/>
      <c r="CO113"/>
      <c r="CP113"/>
      <c r="CQ113"/>
      <c r="CR113"/>
      <c r="CS113"/>
    </row>
    <row r="114" spans="1:97" ht="12.75" customHeight="1" x14ac:dyDescent="0.35">
      <c r="B114" s="613" t="s">
        <v>481</v>
      </c>
      <c r="C114" s="58"/>
      <c r="D114" s="58"/>
      <c r="E114" s="58"/>
      <c r="F114" s="58"/>
      <c r="G114" s="58"/>
      <c r="H114" s="58"/>
      <c r="I114" s="66"/>
      <c r="J114" s="56"/>
      <c r="K114" s="56"/>
      <c r="L114" s="56"/>
      <c r="M114" s="56"/>
      <c r="N114" s="66"/>
      <c r="O114" s="56"/>
      <c r="P114" s="56"/>
      <c r="Q114" s="56"/>
      <c r="R114" s="56"/>
      <c r="S114" s="67"/>
      <c r="T114" s="56"/>
      <c r="U114" s="56"/>
      <c r="V114" s="56"/>
      <c r="W114" s="56"/>
      <c r="X114" s="67"/>
      <c r="Y114" s="56"/>
      <c r="Z114" s="56"/>
      <c r="AA114" s="56"/>
      <c r="AB114" s="56"/>
      <c r="AC114" s="67"/>
      <c r="AD114" s="56"/>
      <c r="AE114" s="56"/>
      <c r="AF114" s="56"/>
      <c r="AG114" s="56"/>
      <c r="AH114" s="67"/>
      <c r="AI114" s="56"/>
      <c r="AJ114" s="56"/>
      <c r="AK114" s="56"/>
      <c r="AL114" s="56"/>
      <c r="AM114" s="67"/>
      <c r="AN114" s="56"/>
      <c r="AO114" s="56"/>
      <c r="AP114" s="56"/>
      <c r="AQ114" s="56"/>
      <c r="AR114" s="67"/>
      <c r="AS114" s="56"/>
      <c r="AT114" s="56"/>
      <c r="AU114" s="466"/>
      <c r="AV114" s="56"/>
      <c r="AW114" s="67"/>
      <c r="AX114" s="67"/>
      <c r="AY114" s="67"/>
      <c r="AZ114" s="67"/>
      <c r="BA114" s="67"/>
      <c r="BB114" s="67"/>
      <c r="BC114" s="67"/>
      <c r="BD114" s="67"/>
      <c r="BE114" s="67"/>
      <c r="BF114" s="67"/>
      <c r="BG114" s="67"/>
      <c r="BH114" s="67"/>
      <c r="BI114" s="627">
        <v>0.1</v>
      </c>
      <c r="BJ114" s="627">
        <v>0.1</v>
      </c>
      <c r="BK114" s="627">
        <v>0.09</v>
      </c>
      <c r="BL114" s="506">
        <f t="shared" ref="BL114:BL119" si="118">BK114</f>
        <v>0.09</v>
      </c>
      <c r="BM114" s="627">
        <v>0.09</v>
      </c>
      <c r="BN114" s="627">
        <v>0.09</v>
      </c>
      <c r="BO114" s="627">
        <v>0.1</v>
      </c>
      <c r="BP114" s="627">
        <v>0.09</v>
      </c>
      <c r="BQ114" s="506">
        <f t="shared" ref="BQ114:BQ119" si="119">BP114</f>
        <v>0.09</v>
      </c>
      <c r="BR114" s="627">
        <v>0.08</v>
      </c>
      <c r="BS114" s="627">
        <v>7.0000000000000007E-2</v>
      </c>
      <c r="BT114" s="56"/>
      <c r="BU114" s="56"/>
      <c r="BV114" s="67"/>
      <c r="BW114" s="56"/>
      <c r="BX114" s="56"/>
      <c r="BY114" s="56"/>
      <c r="BZ114" s="56"/>
      <c r="CA114" s="67"/>
      <c r="CB114" s="56"/>
      <c r="CC114" s="56"/>
      <c r="CD114" s="56"/>
      <c r="CE114" s="56"/>
      <c r="CF114" s="67"/>
      <c r="CI114"/>
      <c r="CJ114"/>
      <c r="CK114"/>
      <c r="CL114"/>
      <c r="CM114"/>
      <c r="CN114"/>
      <c r="CO114"/>
      <c r="CP114"/>
      <c r="CQ114"/>
      <c r="CR114"/>
      <c r="CS114"/>
    </row>
    <row r="115" spans="1:97" ht="12.75" customHeight="1" x14ac:dyDescent="0.35">
      <c r="B115" s="613" t="s">
        <v>482</v>
      </c>
      <c r="C115" s="58"/>
      <c r="D115" s="58"/>
      <c r="E115" s="58"/>
      <c r="F115" s="58"/>
      <c r="G115" s="58"/>
      <c r="H115" s="58"/>
      <c r="I115" s="66"/>
      <c r="J115" s="56"/>
      <c r="K115" s="56"/>
      <c r="L115" s="56"/>
      <c r="M115" s="56"/>
      <c r="N115" s="66"/>
      <c r="O115" s="56"/>
      <c r="P115" s="56"/>
      <c r="Q115" s="56"/>
      <c r="R115" s="56"/>
      <c r="S115" s="67"/>
      <c r="T115" s="56"/>
      <c r="U115" s="56"/>
      <c r="V115" s="56"/>
      <c r="W115" s="56"/>
      <c r="X115" s="67"/>
      <c r="Y115" s="56"/>
      <c r="Z115" s="56"/>
      <c r="AA115" s="56"/>
      <c r="AB115" s="56"/>
      <c r="AC115" s="67"/>
      <c r="AD115" s="56"/>
      <c r="AE115" s="56"/>
      <c r="AF115" s="56"/>
      <c r="AG115" s="56"/>
      <c r="AH115" s="67"/>
      <c r="AI115" s="56"/>
      <c r="AJ115" s="56"/>
      <c r="AK115" s="56"/>
      <c r="AL115" s="56"/>
      <c r="AM115" s="67"/>
      <c r="AN115" s="56"/>
      <c r="AO115" s="56"/>
      <c r="AP115" s="56"/>
      <c r="AQ115" s="56"/>
      <c r="AR115" s="67"/>
      <c r="AS115" s="56"/>
      <c r="AT115" s="56"/>
      <c r="AU115" s="466"/>
      <c r="AV115" s="56"/>
      <c r="AW115" s="67"/>
      <c r="AX115" s="67"/>
      <c r="AY115" s="67"/>
      <c r="AZ115" s="67"/>
      <c r="BA115" s="67"/>
      <c r="BB115" s="67"/>
      <c r="BC115" s="67"/>
      <c r="BD115" s="67"/>
      <c r="BE115" s="67"/>
      <c r="BF115" s="67"/>
      <c r="BG115" s="67"/>
      <c r="BH115" s="67"/>
      <c r="BI115" s="627">
        <v>0.06</v>
      </c>
      <c r="BJ115" s="627">
        <v>0.08</v>
      </c>
      <c r="BK115" s="627">
        <v>0.11</v>
      </c>
      <c r="BL115" s="506">
        <f t="shared" si="118"/>
        <v>0.11</v>
      </c>
      <c r="BM115" s="627">
        <v>0.1</v>
      </c>
      <c r="BN115" s="627">
        <v>0.14000000000000001</v>
      </c>
      <c r="BO115" s="627">
        <v>0.13</v>
      </c>
      <c r="BP115" s="627">
        <v>0.12</v>
      </c>
      <c r="BQ115" s="506">
        <f t="shared" si="119"/>
        <v>0.12</v>
      </c>
      <c r="BR115" s="627">
        <v>0.11</v>
      </c>
      <c r="BS115" s="627">
        <v>0.09</v>
      </c>
      <c r="BT115" s="56"/>
      <c r="BU115" s="56"/>
      <c r="BV115" s="67"/>
      <c r="BW115" s="56"/>
      <c r="BX115" s="56"/>
      <c r="BY115" s="56"/>
      <c r="BZ115" s="56"/>
      <c r="CA115" s="67"/>
      <c r="CB115" s="56"/>
      <c r="CC115" s="56"/>
      <c r="CD115" s="56"/>
      <c r="CE115" s="56"/>
      <c r="CF115" s="67"/>
      <c r="CI115"/>
      <c r="CJ115"/>
      <c r="CK115"/>
      <c r="CL115"/>
      <c r="CM115"/>
      <c r="CN115"/>
      <c r="CO115"/>
      <c r="CP115"/>
      <c r="CQ115"/>
      <c r="CR115"/>
      <c r="CS115"/>
    </row>
    <row r="116" spans="1:97" ht="12.75" customHeight="1" x14ac:dyDescent="0.35">
      <c r="B116" s="613" t="s">
        <v>480</v>
      </c>
      <c r="C116" s="58"/>
      <c r="D116" s="58"/>
      <c r="E116" s="58"/>
      <c r="F116" s="58"/>
      <c r="G116" s="58"/>
      <c r="H116" s="58"/>
      <c r="I116" s="66"/>
      <c r="J116" s="56"/>
      <c r="K116" s="56"/>
      <c r="L116" s="56"/>
      <c r="M116" s="56"/>
      <c r="N116" s="66"/>
      <c r="O116" s="56"/>
      <c r="P116" s="56"/>
      <c r="Q116" s="56"/>
      <c r="R116" s="56"/>
      <c r="S116" s="67"/>
      <c r="T116" s="56"/>
      <c r="U116" s="56"/>
      <c r="V116" s="56"/>
      <c r="W116" s="56"/>
      <c r="X116" s="67"/>
      <c r="Y116" s="56"/>
      <c r="Z116" s="56"/>
      <c r="AA116" s="56"/>
      <c r="AB116" s="56"/>
      <c r="AC116" s="67"/>
      <c r="AD116" s="56"/>
      <c r="AE116" s="56"/>
      <c r="AF116" s="56"/>
      <c r="AG116" s="56"/>
      <c r="AH116" s="67"/>
      <c r="AI116" s="56"/>
      <c r="AJ116" s="56"/>
      <c r="AK116" s="56"/>
      <c r="AL116" s="56"/>
      <c r="AM116" s="67"/>
      <c r="AN116" s="56"/>
      <c r="AO116" s="56"/>
      <c r="AP116" s="56"/>
      <c r="AQ116" s="56"/>
      <c r="AR116" s="67"/>
      <c r="AS116" s="56"/>
      <c r="AT116" s="56"/>
      <c r="AU116" s="466"/>
      <c r="AV116" s="56"/>
      <c r="AW116" s="67"/>
      <c r="AX116" s="67"/>
      <c r="AY116" s="67"/>
      <c r="AZ116" s="67"/>
      <c r="BA116" s="67"/>
      <c r="BB116" s="67"/>
      <c r="BC116" s="67"/>
      <c r="BD116" s="67"/>
      <c r="BE116" s="67"/>
      <c r="BF116" s="67"/>
      <c r="BG116" s="67"/>
      <c r="BH116" s="67"/>
      <c r="BI116" s="627">
        <v>0.18</v>
      </c>
      <c r="BJ116" s="627">
        <v>0.18</v>
      </c>
      <c r="BK116" s="627">
        <v>0.17</v>
      </c>
      <c r="BL116" s="506">
        <f t="shared" si="118"/>
        <v>0.17</v>
      </c>
      <c r="BM116" s="627">
        <v>0.18</v>
      </c>
      <c r="BN116" s="627">
        <v>0.18</v>
      </c>
      <c r="BO116" s="627">
        <v>0.14000000000000001</v>
      </c>
      <c r="BP116" s="627">
        <v>0.17</v>
      </c>
      <c r="BQ116" s="506">
        <f t="shared" si="119"/>
        <v>0.17</v>
      </c>
      <c r="BR116" s="627">
        <v>0.17</v>
      </c>
      <c r="BS116" s="627">
        <v>0.15</v>
      </c>
      <c r="BT116" s="56"/>
      <c r="BU116" s="56"/>
      <c r="BV116" s="67"/>
      <c r="BW116" s="56"/>
      <c r="BX116" s="56"/>
      <c r="BY116" s="56"/>
      <c r="BZ116" s="56"/>
      <c r="CA116" s="67"/>
      <c r="CB116" s="56"/>
      <c r="CC116" s="56"/>
      <c r="CD116" s="56"/>
      <c r="CE116" s="56"/>
      <c r="CF116" s="67"/>
      <c r="CI116"/>
      <c r="CJ116"/>
      <c r="CK116"/>
      <c r="CL116"/>
      <c r="CM116"/>
      <c r="CN116"/>
      <c r="CO116"/>
      <c r="CP116"/>
      <c r="CQ116"/>
      <c r="CR116"/>
      <c r="CS116"/>
    </row>
    <row r="117" spans="1:97" ht="12.75" customHeight="1" x14ac:dyDescent="0.35">
      <c r="B117" s="635" t="s">
        <v>414</v>
      </c>
      <c r="C117" s="636"/>
      <c r="D117" s="636"/>
      <c r="E117" s="636"/>
      <c r="F117" s="636"/>
      <c r="G117" s="636"/>
      <c r="H117" s="636"/>
      <c r="I117" s="637"/>
      <c r="J117" s="638"/>
      <c r="K117" s="638"/>
      <c r="L117" s="638"/>
      <c r="M117" s="638"/>
      <c r="N117" s="637"/>
      <c r="O117" s="638"/>
      <c r="P117" s="638"/>
      <c r="Q117" s="638"/>
      <c r="R117" s="638"/>
      <c r="S117" s="639"/>
      <c r="T117" s="638"/>
      <c r="U117" s="638"/>
      <c r="V117" s="638"/>
      <c r="W117" s="638"/>
      <c r="X117" s="639"/>
      <c r="Y117" s="638"/>
      <c r="Z117" s="638"/>
      <c r="AA117" s="638"/>
      <c r="AB117" s="638"/>
      <c r="AC117" s="639"/>
      <c r="AD117" s="638"/>
      <c r="AE117" s="638"/>
      <c r="AF117" s="638"/>
      <c r="AG117" s="638"/>
      <c r="AH117" s="639"/>
      <c r="AI117" s="638"/>
      <c r="AJ117" s="638"/>
      <c r="AK117" s="638"/>
      <c r="AL117" s="638"/>
      <c r="AM117" s="639"/>
      <c r="AN117" s="638"/>
      <c r="AO117" s="638"/>
      <c r="AP117" s="638"/>
      <c r="AQ117" s="638"/>
      <c r="AR117" s="639"/>
      <c r="AS117" s="638"/>
      <c r="AT117" s="638"/>
      <c r="AU117" s="640"/>
      <c r="AV117" s="638"/>
      <c r="AW117" s="639"/>
      <c r="AX117" s="639"/>
      <c r="AY117" s="639"/>
      <c r="AZ117" s="639"/>
      <c r="BA117" s="639"/>
      <c r="BB117" s="639"/>
      <c r="BC117" s="639"/>
      <c r="BD117" s="639"/>
      <c r="BE117" s="641">
        <v>0.1</v>
      </c>
      <c r="BF117" s="641">
        <v>0.11</v>
      </c>
      <c r="BG117" s="642">
        <f>BF117</f>
        <v>0.11</v>
      </c>
      <c r="BH117" s="641">
        <v>0.11</v>
      </c>
      <c r="BI117" s="641">
        <v>0.1</v>
      </c>
      <c r="BJ117" s="641">
        <v>0.11</v>
      </c>
      <c r="BK117" s="641">
        <v>0.11</v>
      </c>
      <c r="BL117" s="642">
        <f t="shared" si="118"/>
        <v>0.11</v>
      </c>
      <c r="BM117" s="641">
        <v>0.12</v>
      </c>
      <c r="BN117" s="641">
        <v>0.13</v>
      </c>
      <c r="BO117" s="641">
        <v>0.12</v>
      </c>
      <c r="BP117" s="641">
        <v>0.12</v>
      </c>
      <c r="BQ117" s="642">
        <f t="shared" si="119"/>
        <v>0.12</v>
      </c>
      <c r="BR117" s="641">
        <v>0.12</v>
      </c>
      <c r="BS117" s="641">
        <v>0.1</v>
      </c>
      <c r="BT117" s="56"/>
      <c r="BU117" s="56"/>
      <c r="BV117" s="67"/>
      <c r="BW117" s="56"/>
      <c r="BX117" s="56"/>
      <c r="BY117" s="56"/>
      <c r="BZ117" s="56"/>
      <c r="CA117" s="67"/>
      <c r="CB117" s="56"/>
      <c r="CC117" s="56"/>
      <c r="CD117" s="56"/>
      <c r="CE117" s="56"/>
      <c r="CF117" s="67"/>
      <c r="CI117"/>
      <c r="CJ117"/>
      <c r="CK117"/>
      <c r="CL117"/>
      <c r="CM117"/>
      <c r="CN117"/>
      <c r="CO117"/>
      <c r="CP117"/>
      <c r="CQ117"/>
      <c r="CR117"/>
      <c r="CS117"/>
    </row>
    <row r="118" spans="1:97" ht="12.75" customHeight="1" x14ac:dyDescent="0.35">
      <c r="B118" s="35" t="s">
        <v>454</v>
      </c>
      <c r="C118" s="58"/>
      <c r="D118" s="58"/>
      <c r="E118" s="58"/>
      <c r="F118" s="58"/>
      <c r="G118" s="58"/>
      <c r="H118" s="58"/>
      <c r="I118" s="66"/>
      <c r="J118" s="56"/>
      <c r="K118" s="56"/>
      <c r="L118" s="56"/>
      <c r="M118" s="56"/>
      <c r="N118" s="66"/>
      <c r="O118" s="56"/>
      <c r="P118" s="56"/>
      <c r="Q118" s="56"/>
      <c r="R118" s="56"/>
      <c r="S118" s="67"/>
      <c r="T118" s="56"/>
      <c r="U118" s="56"/>
      <c r="V118" s="56"/>
      <c r="W118" s="56"/>
      <c r="X118" s="67"/>
      <c r="Y118" s="56"/>
      <c r="Z118" s="56"/>
      <c r="AA118" s="56"/>
      <c r="AB118" s="56"/>
      <c r="AC118" s="67"/>
      <c r="AD118" s="56"/>
      <c r="AE118" s="56"/>
      <c r="AF118" s="56"/>
      <c r="AG118" s="56"/>
      <c r="AH118" s="67"/>
      <c r="AI118" s="56"/>
      <c r="AJ118" s="56"/>
      <c r="AK118" s="56"/>
      <c r="AL118" s="56"/>
      <c r="AM118" s="67"/>
      <c r="AN118" s="56"/>
      <c r="AO118" s="56"/>
      <c r="AP118" s="56"/>
      <c r="AQ118" s="56"/>
      <c r="AR118" s="67"/>
      <c r="AS118" s="56"/>
      <c r="AT118" s="56"/>
      <c r="AU118" s="466"/>
      <c r="AV118" s="56"/>
      <c r="AW118" s="67"/>
      <c r="AX118" s="67"/>
      <c r="AY118" s="67"/>
      <c r="AZ118" s="67"/>
      <c r="BA118" s="67"/>
      <c r="BB118" s="67"/>
      <c r="BC118" s="67"/>
      <c r="BD118" s="67"/>
      <c r="BE118" s="627">
        <v>0.08</v>
      </c>
      <c r="BF118" s="627">
        <v>0.09</v>
      </c>
      <c r="BG118" s="506">
        <f>BF118</f>
        <v>0.09</v>
      </c>
      <c r="BH118" s="627">
        <v>0.09</v>
      </c>
      <c r="BI118" s="627">
        <v>0.09</v>
      </c>
      <c r="BJ118" s="627">
        <v>0.08</v>
      </c>
      <c r="BK118" s="627">
        <v>7.0000000000000007E-2</v>
      </c>
      <c r="BL118" s="506">
        <f t="shared" si="118"/>
        <v>7.0000000000000007E-2</v>
      </c>
      <c r="BM118" s="627">
        <v>0.06</v>
      </c>
      <c r="BN118" s="627">
        <v>0.06</v>
      </c>
      <c r="BO118" s="627">
        <v>0.06</v>
      </c>
      <c r="BP118" s="627">
        <v>0.06</v>
      </c>
      <c r="BQ118" s="506">
        <f>BP118</f>
        <v>0.06</v>
      </c>
      <c r="BR118" s="627">
        <v>7.0000000000000007E-2</v>
      </c>
      <c r="BS118" s="627">
        <v>7.0000000000000007E-2</v>
      </c>
      <c r="BT118" s="56"/>
      <c r="BU118" s="56"/>
      <c r="BV118" s="67"/>
      <c r="BW118" s="56"/>
      <c r="BX118" s="56"/>
      <c r="BY118" s="56"/>
      <c r="BZ118" s="56"/>
      <c r="CA118" s="67"/>
      <c r="CB118" s="56"/>
      <c r="CC118" s="56"/>
      <c r="CD118" s="56"/>
      <c r="CE118" s="56"/>
      <c r="CF118" s="67"/>
      <c r="CI118"/>
      <c r="CJ118"/>
      <c r="CK118"/>
      <c r="CL118"/>
      <c r="CM118"/>
      <c r="CN118"/>
      <c r="CO118"/>
      <c r="CP118"/>
      <c r="CQ118"/>
      <c r="CR118"/>
      <c r="CS118"/>
    </row>
    <row r="119" spans="1:97" ht="12.75" customHeight="1" x14ac:dyDescent="0.35">
      <c r="B119" s="35" t="s">
        <v>455</v>
      </c>
      <c r="C119" s="58"/>
      <c r="D119" s="58"/>
      <c r="E119" s="58"/>
      <c r="F119" s="58"/>
      <c r="G119" s="58"/>
      <c r="H119" s="58"/>
      <c r="I119" s="66"/>
      <c r="J119" s="56"/>
      <c r="K119" s="56"/>
      <c r="L119" s="56"/>
      <c r="M119" s="56"/>
      <c r="N119" s="66"/>
      <c r="O119" s="56"/>
      <c r="P119" s="56"/>
      <c r="Q119" s="56"/>
      <c r="R119" s="56"/>
      <c r="S119" s="67"/>
      <c r="T119" s="56"/>
      <c r="U119" s="56"/>
      <c r="V119" s="56"/>
      <c r="W119" s="56"/>
      <c r="X119" s="67"/>
      <c r="Y119" s="56"/>
      <c r="Z119" s="56"/>
      <c r="AA119" s="56"/>
      <c r="AB119" s="56"/>
      <c r="AC119" s="67"/>
      <c r="AD119" s="56"/>
      <c r="AE119" s="56"/>
      <c r="AF119" s="56"/>
      <c r="AG119" s="56"/>
      <c r="AH119" s="67"/>
      <c r="AI119" s="56"/>
      <c r="AJ119" s="56"/>
      <c r="AK119" s="56"/>
      <c r="AL119" s="56"/>
      <c r="AM119" s="67"/>
      <c r="AN119" s="56"/>
      <c r="AO119" s="56"/>
      <c r="AP119" s="56"/>
      <c r="AQ119" s="56"/>
      <c r="AR119" s="67"/>
      <c r="AS119" s="56"/>
      <c r="AT119" s="56"/>
      <c r="AU119" s="466"/>
      <c r="AV119" s="56"/>
      <c r="AW119" s="67"/>
      <c r="AX119" s="67"/>
      <c r="AY119" s="67"/>
      <c r="AZ119" s="67"/>
      <c r="BA119" s="67"/>
      <c r="BB119" s="67"/>
      <c r="BC119" s="67"/>
      <c r="BD119" s="67"/>
      <c r="BE119" s="627">
        <v>0.09</v>
      </c>
      <c r="BF119" s="627">
        <v>0.09</v>
      </c>
      <c r="BG119" s="506">
        <f>BF119</f>
        <v>0.09</v>
      </c>
      <c r="BH119" s="627">
        <v>0.09</v>
      </c>
      <c r="BI119" s="627">
        <v>0.09</v>
      </c>
      <c r="BJ119" s="627">
        <v>0.1</v>
      </c>
      <c r="BK119" s="627">
        <v>0.1</v>
      </c>
      <c r="BL119" s="506">
        <f t="shared" si="118"/>
        <v>0.1</v>
      </c>
      <c r="BM119" s="627">
        <v>0.11</v>
      </c>
      <c r="BN119" s="627">
        <v>0.1</v>
      </c>
      <c r="BO119" s="627">
        <v>0.08</v>
      </c>
      <c r="BP119" s="627">
        <v>0.08</v>
      </c>
      <c r="BQ119" s="506">
        <f t="shared" si="119"/>
        <v>0.08</v>
      </c>
      <c r="BR119" s="627">
        <v>0.06</v>
      </c>
      <c r="BS119" s="627">
        <v>0.06</v>
      </c>
      <c r="BT119" s="56"/>
      <c r="BU119" s="56"/>
      <c r="BV119" s="67"/>
      <c r="BW119" s="56"/>
      <c r="BX119" s="56"/>
      <c r="BY119" s="56"/>
      <c r="BZ119" s="56"/>
      <c r="CA119" s="67"/>
      <c r="CB119" s="56"/>
      <c r="CC119" s="56"/>
      <c r="CD119" s="56"/>
      <c r="CE119" s="56"/>
      <c r="CF119" s="67"/>
      <c r="CI119"/>
      <c r="CJ119"/>
      <c r="CK119"/>
      <c r="CL119"/>
      <c r="CM119"/>
      <c r="CN119"/>
      <c r="CO119"/>
      <c r="CP119"/>
      <c r="CQ119"/>
      <c r="CR119"/>
      <c r="CS119"/>
    </row>
    <row r="120" spans="1:97" s="129" customFormat="1" ht="12.75" customHeight="1" x14ac:dyDescent="0.35">
      <c r="A120" s="58"/>
      <c r="B120" s="643" t="s">
        <v>502</v>
      </c>
      <c r="C120" s="643"/>
      <c r="D120" s="643"/>
      <c r="E120" s="643"/>
      <c r="F120" s="643"/>
      <c r="G120" s="643"/>
      <c r="H120" s="643"/>
      <c r="I120" s="644"/>
      <c r="J120" s="645"/>
      <c r="K120" s="645"/>
      <c r="L120" s="645"/>
      <c r="M120" s="645"/>
      <c r="N120" s="644"/>
      <c r="O120" s="645"/>
      <c r="P120" s="645"/>
      <c r="Q120" s="645"/>
      <c r="R120" s="645"/>
      <c r="S120" s="646"/>
      <c r="T120" s="645"/>
      <c r="U120" s="645"/>
      <c r="V120" s="645"/>
      <c r="W120" s="645"/>
      <c r="X120" s="646"/>
      <c r="Y120" s="645"/>
      <c r="Z120" s="645"/>
      <c r="AA120" s="645"/>
      <c r="AB120" s="645"/>
      <c r="AC120" s="646"/>
      <c r="AD120" s="647">
        <v>495.6</v>
      </c>
      <c r="AE120" s="647">
        <v>511.9</v>
      </c>
      <c r="AF120" s="647">
        <v>528.1</v>
      </c>
      <c r="AG120" s="647">
        <v>584.9</v>
      </c>
      <c r="AH120" s="648"/>
      <c r="AI120" s="648"/>
      <c r="AJ120" s="648"/>
      <c r="AK120" s="648"/>
      <c r="AL120" s="648"/>
      <c r="AM120" s="648"/>
      <c r="AN120" s="648"/>
      <c r="AO120" s="648"/>
      <c r="AP120" s="648"/>
      <c r="AQ120" s="648"/>
      <c r="AR120" s="648"/>
      <c r="AS120" s="648"/>
      <c r="AT120" s="648"/>
      <c r="AU120" s="648"/>
      <c r="AV120" s="648"/>
      <c r="AW120" s="648"/>
      <c r="AX120" s="648"/>
      <c r="AY120" s="648"/>
      <c r="AZ120" s="648"/>
      <c r="BA120" s="648"/>
      <c r="BB120" s="648"/>
      <c r="BC120" s="649">
        <v>0.09</v>
      </c>
      <c r="BD120" s="649">
        <v>0.09</v>
      </c>
      <c r="BE120" s="649">
        <v>0.09</v>
      </c>
      <c r="BF120" s="649">
        <v>0.1</v>
      </c>
      <c r="BG120" s="650">
        <f>BF120</f>
        <v>0.1</v>
      </c>
      <c r="BH120" s="649">
        <v>0.1</v>
      </c>
      <c r="BI120" s="649">
        <v>0.1</v>
      </c>
      <c r="BJ120" s="649">
        <v>0.1</v>
      </c>
      <c r="BK120" s="649">
        <v>0.1</v>
      </c>
      <c r="BL120" s="650">
        <f>BK120</f>
        <v>0.1</v>
      </c>
      <c r="BM120" s="659">
        <v>0.1</v>
      </c>
      <c r="BN120" s="659">
        <v>0.104</v>
      </c>
      <c r="BO120" s="659">
        <f>3147/2886-1</f>
        <v>9.0436590436590469E-2</v>
      </c>
      <c r="BP120" s="659">
        <v>9.4E-2</v>
      </c>
      <c r="BQ120" s="660">
        <f>BP120</f>
        <v>9.4E-2</v>
      </c>
      <c r="BR120" s="649">
        <v>0.09</v>
      </c>
      <c r="BS120" s="649">
        <v>0.08</v>
      </c>
      <c r="BT120" s="56"/>
      <c r="BU120" s="56"/>
      <c r="BV120" s="67"/>
      <c r="BW120" s="56"/>
      <c r="BX120" s="56"/>
      <c r="BY120" s="56"/>
      <c r="BZ120" s="56"/>
      <c r="CA120" s="67"/>
      <c r="CB120" s="56"/>
      <c r="CC120" s="56"/>
      <c r="CD120" s="56"/>
      <c r="CE120" s="56"/>
      <c r="CF120" s="67"/>
    </row>
    <row r="121" spans="1:97" ht="12.75" customHeight="1" x14ac:dyDescent="0.35">
      <c r="B121" s="42"/>
      <c r="C121" s="58"/>
      <c r="D121" s="58"/>
      <c r="E121" s="58"/>
      <c r="F121" s="58"/>
      <c r="G121" s="58"/>
      <c r="H121" s="58"/>
      <c r="I121" s="66"/>
      <c r="J121" s="56"/>
      <c r="K121" s="56"/>
      <c r="L121" s="56"/>
      <c r="M121" s="56"/>
      <c r="N121" s="66"/>
      <c r="O121" s="56"/>
      <c r="P121" s="56"/>
      <c r="Q121" s="56"/>
      <c r="R121" s="56"/>
      <c r="S121" s="67"/>
      <c r="T121" s="56"/>
      <c r="U121" s="56"/>
      <c r="V121" s="56"/>
      <c r="W121" s="56"/>
      <c r="X121" s="67"/>
      <c r="Y121" s="56"/>
      <c r="Z121" s="56"/>
      <c r="AA121" s="56"/>
      <c r="AB121" s="56"/>
      <c r="AC121" s="67"/>
      <c r="AD121" s="56"/>
      <c r="AE121" s="56"/>
      <c r="AF121" s="56"/>
      <c r="AG121" s="56"/>
      <c r="AH121" s="67"/>
      <c r="AI121" s="56"/>
      <c r="AJ121" s="56"/>
      <c r="AK121" s="56"/>
      <c r="AL121" s="56"/>
      <c r="AM121" s="67"/>
      <c r="AN121" s="56"/>
      <c r="AO121" s="56"/>
      <c r="AP121" s="56"/>
      <c r="AQ121" s="56"/>
      <c r="AR121" s="268"/>
      <c r="AS121" s="56"/>
      <c r="AT121" s="56"/>
      <c r="AU121" s="56"/>
      <c r="AV121" s="56"/>
      <c r="AW121" s="268"/>
      <c r="AX121" s="56"/>
      <c r="AY121" s="56"/>
      <c r="AZ121" s="56"/>
      <c r="BA121" s="56"/>
      <c r="BB121" s="67"/>
      <c r="BC121" s="56"/>
      <c r="BD121" s="56"/>
      <c r="BE121" s="56"/>
      <c r="BF121" s="56"/>
      <c r="BG121" s="67"/>
      <c r="BH121" s="56"/>
      <c r="BI121" s="56"/>
      <c r="BJ121" s="56"/>
      <c r="BK121" s="56"/>
      <c r="BL121" s="67"/>
      <c r="BM121" s="56"/>
      <c r="BN121" s="56"/>
      <c r="BO121" s="56"/>
      <c r="BP121" s="56"/>
      <c r="BQ121" s="67"/>
      <c r="BR121" s="56"/>
      <c r="BS121" s="56"/>
      <c r="BT121" s="56"/>
      <c r="BU121" s="56"/>
      <c r="BV121" s="67"/>
      <c r="BW121" s="56"/>
      <c r="BX121" s="56"/>
      <c r="BY121" s="56"/>
      <c r="BZ121" s="56"/>
      <c r="CA121" s="67"/>
      <c r="CB121" s="56"/>
      <c r="CC121" s="56"/>
      <c r="CD121" s="56"/>
      <c r="CE121" s="56"/>
      <c r="CF121" s="67"/>
      <c r="CI121"/>
      <c r="CJ121"/>
      <c r="CK121"/>
      <c r="CL121"/>
      <c r="CM121"/>
      <c r="CN121"/>
      <c r="CO121"/>
      <c r="CP121"/>
      <c r="CQ121"/>
      <c r="CR121"/>
      <c r="CS121"/>
    </row>
    <row r="122" spans="1:97" ht="12.75" customHeight="1" x14ac:dyDescent="0.35">
      <c r="A122" s="24"/>
      <c r="B122" s="2" t="s">
        <v>163</v>
      </c>
      <c r="C122" s="53"/>
      <c r="D122" s="54"/>
      <c r="E122" s="54"/>
      <c r="F122" s="54"/>
      <c r="G122" s="54"/>
      <c r="H122" s="54"/>
      <c r="I122" s="55"/>
      <c r="J122" s="56"/>
      <c r="K122" s="56"/>
      <c r="L122" s="225">
        <v>177.6</v>
      </c>
      <c r="M122" s="225">
        <v>198.6</v>
      </c>
      <c r="N122" s="339">
        <v>701.5</v>
      </c>
      <c r="O122" s="340">
        <v>187.3</v>
      </c>
      <c r="P122" s="340">
        <v>193</v>
      </c>
      <c r="Q122" s="340">
        <v>205.5</v>
      </c>
      <c r="R122" s="340">
        <v>238.3</v>
      </c>
      <c r="S122" s="341">
        <f>SUM(O122:R122)</f>
        <v>824.09999999999991</v>
      </c>
      <c r="T122" s="340">
        <v>210</v>
      </c>
      <c r="U122" s="340">
        <v>210.7</v>
      </c>
      <c r="V122" s="340">
        <v>215.6</v>
      </c>
      <c r="W122" s="340">
        <v>247.6</v>
      </c>
      <c r="X122" s="341">
        <f>SUM(T122:W122)</f>
        <v>883.9</v>
      </c>
      <c r="Y122" s="340">
        <v>230.3</v>
      </c>
      <c r="Z122" s="340">
        <v>233.6</v>
      </c>
      <c r="AA122" s="340">
        <v>235.2</v>
      </c>
      <c r="AB122" s="340">
        <v>263</v>
      </c>
      <c r="AC122" s="341">
        <f>SUM(Y122:AB122)</f>
        <v>962.09999999999991</v>
      </c>
      <c r="AD122" s="340">
        <v>239.5</v>
      </c>
      <c r="AE122" s="340">
        <v>242</v>
      </c>
      <c r="AF122" s="340">
        <v>277.10000000000002</v>
      </c>
      <c r="AG122" s="340">
        <v>332.3</v>
      </c>
      <c r="AH122" s="341">
        <f>SUM(AD122:AG122)</f>
        <v>1090.9000000000001</v>
      </c>
      <c r="AI122" s="340">
        <v>310.39999999999998</v>
      </c>
      <c r="AJ122" s="340">
        <v>320.10000000000002</v>
      </c>
      <c r="AK122" s="340">
        <f>344.7-AK126-AK129</f>
        <v>313.09999999999997</v>
      </c>
      <c r="AL122" s="340">
        <v>339.3</v>
      </c>
      <c r="AM122" s="341">
        <f>SUM(AI122:AL122)</f>
        <v>1282.8999999999999</v>
      </c>
      <c r="AN122" s="340">
        <v>341.1</v>
      </c>
      <c r="AO122" s="340">
        <v>342.8</v>
      </c>
      <c r="AP122" s="340">
        <f>388.2-AP126-AP129</f>
        <v>350.4</v>
      </c>
      <c r="AQ122" s="340">
        <f>418-AQ126-AQ129</f>
        <v>383</v>
      </c>
      <c r="AR122" s="341">
        <f>SUM(AN122:AQ122)</f>
        <v>1417.3000000000002</v>
      </c>
      <c r="AS122" s="340">
        <f>394-AS126-AS129</f>
        <v>352</v>
      </c>
      <c r="AT122" s="340">
        <f>393-AT126-AT129</f>
        <v>356</v>
      </c>
      <c r="AU122" s="340">
        <f>414-AU126-AU129</f>
        <v>365</v>
      </c>
      <c r="AV122" s="340">
        <f>461-AV126-AV129</f>
        <v>399</v>
      </c>
      <c r="AW122" s="341">
        <f>SUM(AS122:AV122)</f>
        <v>1472</v>
      </c>
      <c r="AX122" s="340">
        <f>423-AX126-AX129</f>
        <v>380</v>
      </c>
      <c r="AY122" s="340">
        <f>434-AY126-AY129</f>
        <v>392</v>
      </c>
      <c r="AZ122" s="340">
        <f>490-AZ126-AZ129</f>
        <v>446</v>
      </c>
      <c r="BA122" s="340">
        <v>569</v>
      </c>
      <c r="BB122" s="341">
        <f>SUM(AX122:BA122)</f>
        <v>1787</v>
      </c>
      <c r="BC122" s="489">
        <v>473</v>
      </c>
      <c r="BD122" s="489">
        <v>471</v>
      </c>
      <c r="BE122" s="489">
        <v>479</v>
      </c>
      <c r="BF122" s="489">
        <v>514</v>
      </c>
      <c r="BG122" s="341">
        <f>SUM(BC122:BF122)</f>
        <v>1937</v>
      </c>
      <c r="BH122" s="489">
        <v>526</v>
      </c>
      <c r="BI122" s="489">
        <v>541</v>
      </c>
      <c r="BJ122" s="489">
        <v>517</v>
      </c>
      <c r="BK122" s="489">
        <v>548</v>
      </c>
      <c r="BL122" s="341">
        <f>SUM(BH122:BK122)</f>
        <v>2132</v>
      </c>
      <c r="BM122" s="489">
        <v>564</v>
      </c>
      <c r="BN122" s="489">
        <v>576</v>
      </c>
      <c r="BO122" s="489">
        <v>581</v>
      </c>
      <c r="BP122" s="489">
        <v>573</v>
      </c>
      <c r="BQ122" s="341">
        <f>SUM(BM122:BP122)</f>
        <v>2294</v>
      </c>
      <c r="BR122" s="489">
        <v>603</v>
      </c>
      <c r="BS122" s="489">
        <v>605</v>
      </c>
      <c r="BT122" s="490">
        <f>BT95-BT135</f>
        <v>610.53679602888087</v>
      </c>
      <c r="BU122" s="490">
        <f>BU95-BU135</f>
        <v>604.29803738511259</v>
      </c>
      <c r="BV122" s="341">
        <f>SUM(BR122:BU122)</f>
        <v>2422.8348334139937</v>
      </c>
      <c r="BW122" s="490">
        <f>BW95-BW135</f>
        <v>648.37645335411639</v>
      </c>
      <c r="BX122" s="490">
        <f>BX95-BX135</f>
        <v>635.22652392109671</v>
      </c>
      <c r="BY122" s="490">
        <f>BY95-BY135</f>
        <v>640.53018583037056</v>
      </c>
      <c r="BZ122" s="490">
        <f>BZ95-BZ135</f>
        <v>635.22078132616718</v>
      </c>
      <c r="CA122" s="341">
        <f>SUM(BW122:BZ122)</f>
        <v>2559.3539444317507</v>
      </c>
      <c r="CB122" s="490">
        <f>CB95-CB135</f>
        <v>690.6646721267939</v>
      </c>
      <c r="CC122" s="490">
        <f>CC95-CC135</f>
        <v>676.14958589070102</v>
      </c>
      <c r="CD122" s="490">
        <f>CD95-CD135</f>
        <v>681.65068667037849</v>
      </c>
      <c r="CE122" s="490">
        <f>CE95-CE135</f>
        <v>675.34872062672434</v>
      </c>
      <c r="CF122" s="341">
        <f>SUM(CB122:CE122)</f>
        <v>2723.8136653145975</v>
      </c>
      <c r="CI122"/>
      <c r="CJ122"/>
      <c r="CK122"/>
      <c r="CL122"/>
      <c r="CM122"/>
      <c r="CN122"/>
      <c r="CO122"/>
      <c r="CP122"/>
      <c r="CQ122"/>
      <c r="CR122"/>
      <c r="CS122"/>
    </row>
    <row r="123" spans="1:97" ht="12.75" customHeight="1" x14ac:dyDescent="0.35">
      <c r="A123" s="24"/>
      <c r="B123" s="42" t="s">
        <v>56</v>
      </c>
      <c r="C123" s="53"/>
      <c r="D123" s="54"/>
      <c r="E123" s="54"/>
      <c r="F123" s="54"/>
      <c r="G123" s="54"/>
      <c r="H123" s="54"/>
      <c r="I123" s="55"/>
      <c r="J123" s="56"/>
      <c r="K123" s="56"/>
      <c r="L123" s="229" t="str">
        <f t="shared" ref="L123:AC123" si="120">IFERROR(L122/G122-1,"NA")</f>
        <v>NA</v>
      </c>
      <c r="M123" s="229" t="str">
        <f t="shared" si="120"/>
        <v>NA</v>
      </c>
      <c r="N123" s="52" t="str">
        <f t="shared" si="120"/>
        <v>NA</v>
      </c>
      <c r="O123" s="229" t="str">
        <f t="shared" si="120"/>
        <v>NA</v>
      </c>
      <c r="P123" s="229" t="str">
        <f t="shared" si="120"/>
        <v>NA</v>
      </c>
      <c r="Q123" s="229">
        <f t="shared" si="120"/>
        <v>0.15709459459459474</v>
      </c>
      <c r="R123" s="229">
        <f t="shared" si="120"/>
        <v>0.19989929506545834</v>
      </c>
      <c r="S123" s="52">
        <f t="shared" si="120"/>
        <v>0.1747683535281539</v>
      </c>
      <c r="T123" s="229">
        <f t="shared" si="120"/>
        <v>0.12119594233849429</v>
      </c>
      <c r="U123" s="229">
        <f t="shared" si="120"/>
        <v>9.1709844559585418E-2</v>
      </c>
      <c r="V123" s="229">
        <f t="shared" si="120"/>
        <v>4.9148418491484103E-2</v>
      </c>
      <c r="W123" s="229">
        <f t="shared" si="120"/>
        <v>3.9026437263952829E-2</v>
      </c>
      <c r="X123" s="52">
        <f t="shared" si="120"/>
        <v>7.2564009222181758E-2</v>
      </c>
      <c r="Y123" s="229">
        <f t="shared" si="120"/>
        <v>9.6666666666666679E-2</v>
      </c>
      <c r="Z123" s="229">
        <f t="shared" si="120"/>
        <v>0.1086853345989558</v>
      </c>
      <c r="AA123" s="229">
        <f t="shared" si="120"/>
        <v>9.0909090909090828E-2</v>
      </c>
      <c r="AB123" s="229">
        <f t="shared" si="120"/>
        <v>6.2197092084006478E-2</v>
      </c>
      <c r="AC123" s="52">
        <f t="shared" si="120"/>
        <v>8.8471546555040081E-2</v>
      </c>
      <c r="AD123" s="229">
        <f t="shared" ref="AD123:AN123" si="121">IFERROR(AD122/Y122-1,"NA")</f>
        <v>3.9947894051237443E-2</v>
      </c>
      <c r="AE123" s="229">
        <f t="shared" si="121"/>
        <v>3.5958904109589129E-2</v>
      </c>
      <c r="AF123" s="229">
        <f t="shared" si="121"/>
        <v>0.17814625850340149</v>
      </c>
      <c r="AG123" s="229">
        <f t="shared" si="121"/>
        <v>0.26349809885931563</v>
      </c>
      <c r="AH123" s="52">
        <f t="shared" si="121"/>
        <v>0.13387381769046902</v>
      </c>
      <c r="AI123" s="229">
        <f>IFERROR(AI122/AD122-1,"NA")</f>
        <v>0.2960334029227556</v>
      </c>
      <c r="AJ123" s="229">
        <f>IFERROR(AJ122/AE122-1,"NA")</f>
        <v>0.32272727272727275</v>
      </c>
      <c r="AK123" s="229">
        <f>IFERROR(AK122/AF122-1,"NA")</f>
        <v>0.12991699747383589</v>
      </c>
      <c r="AL123" s="229">
        <f>IFERROR(AL122/AG122-1,"NA")</f>
        <v>2.1065302437556443E-2</v>
      </c>
      <c r="AM123" s="52">
        <f>IFERROR(AM122/AH122-1,"NA")</f>
        <v>0.17600146667888872</v>
      </c>
      <c r="AN123" s="229">
        <f t="shared" si="121"/>
        <v>9.8904639175257936E-2</v>
      </c>
      <c r="AO123" s="229">
        <f t="shared" ref="AO123:BA123" si="122">IFERROR(AO122/AJ122-1,"NA")</f>
        <v>7.091533895657598E-2</v>
      </c>
      <c r="AP123" s="229">
        <f t="shared" si="122"/>
        <v>0.11913126796550633</v>
      </c>
      <c r="AQ123" s="229">
        <f t="shared" si="122"/>
        <v>0.12879457707043906</v>
      </c>
      <c r="AR123" s="52">
        <f t="shared" si="122"/>
        <v>0.10476264712760175</v>
      </c>
      <c r="AS123" s="229">
        <f t="shared" si="122"/>
        <v>3.1955438287891935E-2</v>
      </c>
      <c r="AT123" s="229">
        <f t="shared" si="122"/>
        <v>3.8506417736289267E-2</v>
      </c>
      <c r="AU123" s="229">
        <f t="shared" si="122"/>
        <v>4.1666666666666741E-2</v>
      </c>
      <c r="AV123" s="229">
        <f t="shared" si="122"/>
        <v>4.1775456919060039E-2</v>
      </c>
      <c r="AW123" s="52">
        <f>IFERROR(AW122/AR122-1,"NA")</f>
        <v>3.8594510689338835E-2</v>
      </c>
      <c r="AX123" s="229">
        <f t="shared" si="122"/>
        <v>7.9545454545454586E-2</v>
      </c>
      <c r="AY123" s="229">
        <f t="shared" si="122"/>
        <v>0.101123595505618</v>
      </c>
      <c r="AZ123" s="229">
        <f t="shared" si="122"/>
        <v>0.22191780821917817</v>
      </c>
      <c r="BA123" s="229">
        <f t="shared" si="122"/>
        <v>0.42606516290726826</v>
      </c>
      <c r="BB123" s="52">
        <f>IFERROR(BB122/AW122-1,"NA")</f>
        <v>0.21399456521739135</v>
      </c>
      <c r="BC123" s="491">
        <f>BC122/AX122-1</f>
        <v>0.24473684210526314</v>
      </c>
      <c r="BD123" s="491">
        <f>BD122/AY122-1</f>
        <v>0.20153061224489788</v>
      </c>
      <c r="BE123" s="491">
        <f>BE122/AZ122-1</f>
        <v>7.3991031390134632E-2</v>
      </c>
      <c r="BF123" s="491">
        <f>BF122/BA122-1</f>
        <v>-9.6660808435852341E-2</v>
      </c>
      <c r="BG123" s="52">
        <f>IFERROR(BG122/BB122-1,"NA")</f>
        <v>8.3939563514269677E-2</v>
      </c>
      <c r="BH123" s="491">
        <f>BH122/BC122-1</f>
        <v>0.11205073995771664</v>
      </c>
      <c r="BI123" s="491">
        <f>BI122/BD122-1</f>
        <v>0.14861995753715496</v>
      </c>
      <c r="BJ123" s="491">
        <f>BJ122/BE122-1</f>
        <v>7.9331941544885209E-2</v>
      </c>
      <c r="BK123" s="491">
        <f>BK122/BF122-1</f>
        <v>6.6147859922178975E-2</v>
      </c>
      <c r="BL123" s="52">
        <f>IFERROR(BL122/BG122-1,"NA")</f>
        <v>0.10067114093959728</v>
      </c>
      <c r="BM123" s="491">
        <f>BM122/BH122-1</f>
        <v>7.2243346007604625E-2</v>
      </c>
      <c r="BN123" s="491">
        <f>BN122/BI122-1</f>
        <v>6.4695009242144108E-2</v>
      </c>
      <c r="BO123" s="491">
        <f>BO122/BJ122-1</f>
        <v>0.12379110251450687</v>
      </c>
      <c r="BP123" s="491">
        <f>BP122/BK122-1</f>
        <v>4.5620437956204407E-2</v>
      </c>
      <c r="BQ123" s="52">
        <f>IFERROR(BQ122/BL122-1,"NA")</f>
        <v>7.5984990619136994E-2</v>
      </c>
      <c r="BR123" s="491">
        <f>BR122/BM122-1</f>
        <v>6.9148936170212671E-2</v>
      </c>
      <c r="BS123" s="491">
        <f>BS122/BN122-1</f>
        <v>5.0347222222222321E-2</v>
      </c>
      <c r="BT123" s="491">
        <f>BT122/BO122-1</f>
        <v>5.0837858913736378E-2</v>
      </c>
      <c r="BU123" s="491">
        <f>BU122/BP122-1</f>
        <v>5.4621356693041134E-2</v>
      </c>
      <c r="BV123" s="52">
        <f>IFERROR(BV122/BQ122-1,"NA")</f>
        <v>5.616165362423442E-2</v>
      </c>
      <c r="BW123" s="491">
        <f>BW122/BR122-1</f>
        <v>7.5251166424737059E-2</v>
      </c>
      <c r="BX123" s="491">
        <f>BX122/BS122-1</f>
        <v>4.9961196563796273E-2</v>
      </c>
      <c r="BY123" s="491">
        <f>BY122/BT122-1</f>
        <v>4.9126260688259871E-2</v>
      </c>
      <c r="BZ123" s="491">
        <f>BZ122/BU122-1</f>
        <v>5.1171345971702697E-2</v>
      </c>
      <c r="CA123" s="52">
        <f>IFERROR(CA122/BV122-1,"NA")</f>
        <v>5.6346850034919349E-2</v>
      </c>
      <c r="CB123" s="491">
        <f>CB122/BW122-1</f>
        <v>6.5221706547047287E-2</v>
      </c>
      <c r="CC123" s="491">
        <f>CC122/BX122-1</f>
        <v>6.4422785303416275E-2</v>
      </c>
      <c r="CD123" s="491">
        <f>CD122/BY122-1</f>
        <v>6.419760028436472E-2</v>
      </c>
      <c r="CE123" s="491">
        <f>CE122/BZ122-1</f>
        <v>6.3171641231228204E-2</v>
      </c>
      <c r="CF123" s="52">
        <f>IFERROR(CF122/CA122-1,"NA")</f>
        <v>6.4258295043814861E-2</v>
      </c>
      <c r="CI123"/>
      <c r="CJ123"/>
      <c r="CK123"/>
      <c r="CL123"/>
      <c r="CM123"/>
      <c r="CN123"/>
      <c r="CO123"/>
      <c r="CP123"/>
      <c r="CQ123"/>
      <c r="CR123"/>
      <c r="CS123"/>
    </row>
    <row r="124" spans="1:97" ht="12.75" customHeight="1" x14ac:dyDescent="0.35">
      <c r="A124" s="24"/>
      <c r="B124" s="42" t="s">
        <v>30</v>
      </c>
      <c r="C124" s="53"/>
      <c r="D124" s="54"/>
      <c r="E124" s="54"/>
      <c r="F124" s="54"/>
      <c r="G124" s="54"/>
      <c r="H124" s="54"/>
      <c r="I124" s="55"/>
      <c r="J124" s="56"/>
      <c r="K124" s="56"/>
      <c r="L124" s="229">
        <f t="shared" ref="L124:AN124" si="123">L122/L$95</f>
        <v>0.78100263852242735</v>
      </c>
      <c r="M124" s="229">
        <f t="shared" si="123"/>
        <v>0.78436018957345977</v>
      </c>
      <c r="N124" s="52">
        <f t="shared" si="123"/>
        <v>0.77599557522123896</v>
      </c>
      <c r="O124" s="229">
        <f t="shared" si="123"/>
        <v>0.78664426711465785</v>
      </c>
      <c r="P124" s="229">
        <f t="shared" si="123"/>
        <v>0.77665995975855118</v>
      </c>
      <c r="Q124" s="229">
        <f t="shared" si="123"/>
        <v>0.76252319109461963</v>
      </c>
      <c r="R124" s="229">
        <f t="shared" si="123"/>
        <v>0.76280409731113963</v>
      </c>
      <c r="S124" s="52">
        <f t="shared" si="123"/>
        <v>0.77126813289658391</v>
      </c>
      <c r="T124" s="229">
        <f t="shared" si="123"/>
        <v>0.79756931257121155</v>
      </c>
      <c r="U124" s="229">
        <f t="shared" si="123"/>
        <v>0.75546790964503407</v>
      </c>
      <c r="V124" s="229">
        <f t="shared" si="123"/>
        <v>0.75174337517433742</v>
      </c>
      <c r="W124" s="229">
        <f t="shared" si="123"/>
        <v>0.77061935885465305</v>
      </c>
      <c r="X124" s="52">
        <f t="shared" si="123"/>
        <v>0.76840824132834917</v>
      </c>
      <c r="Y124" s="229">
        <f t="shared" si="123"/>
        <v>0.79140893470790385</v>
      </c>
      <c r="Z124" s="229">
        <f t="shared" si="123"/>
        <v>0.77019452687108469</v>
      </c>
      <c r="AA124" s="229">
        <f t="shared" si="123"/>
        <v>0.77165354330708658</v>
      </c>
      <c r="AB124" s="229">
        <f t="shared" si="123"/>
        <v>0.78671851630272205</v>
      </c>
      <c r="AC124" s="52">
        <f t="shared" si="123"/>
        <v>0.78003891681530713</v>
      </c>
      <c r="AD124" s="229">
        <f t="shared" si="123"/>
        <v>0.78013029315960913</v>
      </c>
      <c r="AE124" s="229">
        <f t="shared" si="123"/>
        <v>0.77119184193753976</v>
      </c>
      <c r="AF124" s="229">
        <f t="shared" si="123"/>
        <v>0.7515595334960673</v>
      </c>
      <c r="AG124" s="229">
        <f t="shared" si="123"/>
        <v>0.75385662431941924</v>
      </c>
      <c r="AH124" s="52">
        <f t="shared" si="123"/>
        <v>0.76270712437950094</v>
      </c>
      <c r="AI124" s="229">
        <f t="shared" si="123"/>
        <v>0.76302851524090454</v>
      </c>
      <c r="AJ124" s="229">
        <f t="shared" si="123"/>
        <v>0.75709555345316948</v>
      </c>
      <c r="AK124" s="229">
        <f t="shared" si="123"/>
        <v>0.71811926605504584</v>
      </c>
      <c r="AL124" s="229">
        <f t="shared" si="123"/>
        <v>0.73014848289218848</v>
      </c>
      <c r="AM124" s="52">
        <f t="shared" si="123"/>
        <v>0.74143212159741079</v>
      </c>
      <c r="AN124" s="229">
        <f t="shared" si="123"/>
        <v>0.72266949152542381</v>
      </c>
      <c r="AO124" s="229">
        <f t="shared" ref="AO124:AV124" si="124">AO122/AO$95</f>
        <v>0.72138047138047146</v>
      </c>
      <c r="AP124" s="229">
        <f t="shared" si="124"/>
        <v>0.70945535533508797</v>
      </c>
      <c r="AQ124" s="229">
        <f t="shared" si="124"/>
        <v>0.74658869395711502</v>
      </c>
      <c r="AR124" s="52">
        <f t="shared" si="124"/>
        <v>0.72529553247019096</v>
      </c>
      <c r="AS124" s="229">
        <f t="shared" si="124"/>
        <v>0.70967741935483875</v>
      </c>
      <c r="AT124" s="229">
        <f t="shared" si="124"/>
        <v>0.71629778672032196</v>
      </c>
      <c r="AU124" s="229">
        <f t="shared" si="124"/>
        <v>0.68738229755178903</v>
      </c>
      <c r="AV124" s="229">
        <f t="shared" si="124"/>
        <v>0.7189189189189189</v>
      </c>
      <c r="AW124" s="52">
        <f>AW122/AW$31</f>
        <v>0.44714459295261239</v>
      </c>
      <c r="AX124" s="229">
        <f>AX122/AX$95</f>
        <v>0.67375886524822692</v>
      </c>
      <c r="AY124" s="229">
        <f>AY122/AY$95</f>
        <v>0.68411867364746948</v>
      </c>
      <c r="AZ124" s="229">
        <f>AZ122/AZ$95</f>
        <v>0.74209650582362729</v>
      </c>
      <c r="BA124" s="229">
        <f>BA122/BA$95</f>
        <v>0.85179640718562877</v>
      </c>
      <c r="BB124" s="52">
        <f>BB122/BB$31</f>
        <v>0.4687827911857293</v>
      </c>
      <c r="BC124" s="491">
        <f>BC122/BC95</f>
        <v>0.68057553956834538</v>
      </c>
      <c r="BD124" s="491">
        <f>BD122/BD95</f>
        <v>0.69777777777777783</v>
      </c>
      <c r="BE124" s="491">
        <f>BE122/BE95</f>
        <v>0.69927007299270072</v>
      </c>
      <c r="BF124" s="491">
        <f>BF122/BF95</f>
        <v>0.71988795518207283</v>
      </c>
      <c r="BG124" s="52">
        <f>BG122/BG$31</f>
        <v>0.71767321230085213</v>
      </c>
      <c r="BH124" s="491">
        <f>BH122/BH95</f>
        <v>0.71370420624151965</v>
      </c>
      <c r="BI124" s="491">
        <f>BI122/BI95</f>
        <v>0.72423025435073629</v>
      </c>
      <c r="BJ124" s="491">
        <f>BJ122/BJ95</f>
        <v>0.66623711340206182</v>
      </c>
      <c r="BK124" s="491">
        <f>BK122/BK95</f>
        <v>0.68844221105527637</v>
      </c>
      <c r="BL124" s="52">
        <f>BL122/BL$31</f>
        <v>0.74545454545454548</v>
      </c>
      <c r="BM124" s="491">
        <f>BM122/BM95</f>
        <v>0.70588235294117652</v>
      </c>
      <c r="BN124" s="491">
        <f>BN122/BN95</f>
        <v>0.71820448877805487</v>
      </c>
      <c r="BO124" s="491">
        <f>BO122/BO95</f>
        <v>0.69915764139590852</v>
      </c>
      <c r="BP124" s="491">
        <f>BP122/BP95</f>
        <v>0.66396292004634994</v>
      </c>
      <c r="BQ124" s="52">
        <f>BQ122/BQ$31</f>
        <v>0.60479831268125495</v>
      </c>
      <c r="BR124" s="491">
        <f>BR122/BR95</f>
        <v>0.70197904540162981</v>
      </c>
      <c r="BS124" s="491">
        <f>BS122/BS95</f>
        <v>0.68130630630630629</v>
      </c>
      <c r="BT124" s="491">
        <f>BT122/BT95</f>
        <v>0.67165764139590856</v>
      </c>
      <c r="BU124" s="491">
        <f>BU122/BU95</f>
        <v>0.63646292004634997</v>
      </c>
      <c r="BV124" s="52">
        <f>BV122/BV$31</f>
        <v>0.59540741580087353</v>
      </c>
      <c r="BW124" s="491">
        <f>BW122/BW95</f>
        <v>0.68447904540162974</v>
      </c>
      <c r="BX124" s="491">
        <f>BX122/BX95</f>
        <v>0.66380630630630633</v>
      </c>
      <c r="BY124" s="491">
        <f>BY122/BY95</f>
        <v>0.65165764139590854</v>
      </c>
      <c r="BZ124" s="491">
        <f>BZ122/BZ95</f>
        <v>0.61646292004634984</v>
      </c>
      <c r="CA124" s="52">
        <f>CA122/CA$31</f>
        <v>0.58231179141148726</v>
      </c>
      <c r="CB124" s="491">
        <f>CB122/CB95</f>
        <v>0.67197904540162978</v>
      </c>
      <c r="CC124" s="491">
        <f>CC122/CC95</f>
        <v>0.65130630630630626</v>
      </c>
      <c r="CD124" s="491">
        <f>CD122/CD95</f>
        <v>0.63915764139590847</v>
      </c>
      <c r="CE124" s="491">
        <f>CE122/CE95</f>
        <v>0.60396292004634988</v>
      </c>
      <c r="CF124" s="52">
        <f>CF122/CF$31</f>
        <v>0.58006194004232103</v>
      </c>
      <c r="CI124"/>
      <c r="CJ124"/>
      <c r="CK124"/>
      <c r="CL124"/>
      <c r="CM124"/>
      <c r="CN124"/>
      <c r="CO124"/>
      <c r="CP124"/>
      <c r="CQ124"/>
      <c r="CR124"/>
      <c r="CS124"/>
    </row>
    <row r="125" spans="1:97" ht="12.75" customHeight="1" x14ac:dyDescent="0.35">
      <c r="A125" s="24"/>
      <c r="B125" s="42" t="s">
        <v>266</v>
      </c>
      <c r="C125" s="53"/>
      <c r="D125" s="54"/>
      <c r="E125" s="54"/>
      <c r="F125" s="54"/>
      <c r="G125" s="54"/>
      <c r="H125" s="54"/>
      <c r="I125" s="55"/>
      <c r="J125" s="56"/>
      <c r="K125" s="56"/>
      <c r="L125" s="418"/>
      <c r="M125" s="418"/>
      <c r="N125" s="259"/>
      <c r="O125" s="418"/>
      <c r="P125" s="418"/>
      <c r="Q125" s="385">
        <f t="shared" ref="Q125:AH125" si="125">(Q124-L124)*10000</f>
        <v>-184.79447427807716</v>
      </c>
      <c r="R125" s="385">
        <f t="shared" si="125"/>
        <v>-215.56092262320138</v>
      </c>
      <c r="S125" s="386">
        <f t="shared" si="125"/>
        <v>-47.274423246550512</v>
      </c>
      <c r="T125" s="385">
        <f t="shared" si="125"/>
        <v>109.25045456553705</v>
      </c>
      <c r="U125" s="385">
        <f t="shared" si="125"/>
        <v>-211.92050113517104</v>
      </c>
      <c r="V125" s="385">
        <f t="shared" si="125"/>
        <v>-107.79815920282209</v>
      </c>
      <c r="W125" s="385">
        <f t="shared" si="125"/>
        <v>78.15261543513418</v>
      </c>
      <c r="X125" s="386">
        <f t="shared" si="125"/>
        <v>-28.598915682347403</v>
      </c>
      <c r="Y125" s="385">
        <f t="shared" si="125"/>
        <v>-61.603778633076978</v>
      </c>
      <c r="Z125" s="385">
        <f t="shared" si="125"/>
        <v>147.26617226050621</v>
      </c>
      <c r="AA125" s="385">
        <f t="shared" si="125"/>
        <v>199.10168132749152</v>
      </c>
      <c r="AB125" s="385">
        <f t="shared" si="125"/>
        <v>160.99157448069002</v>
      </c>
      <c r="AC125" s="386">
        <f t="shared" si="125"/>
        <v>116.30675486957954</v>
      </c>
      <c r="AD125" s="385">
        <f t="shared" si="125"/>
        <v>-112.78641548294721</v>
      </c>
      <c r="AE125" s="385">
        <f t="shared" si="125"/>
        <v>9.9731506645506229</v>
      </c>
      <c r="AF125" s="385">
        <f t="shared" si="125"/>
        <v>-200.94009811019276</v>
      </c>
      <c r="AG125" s="385">
        <f t="shared" si="125"/>
        <v>-328.61891983302803</v>
      </c>
      <c r="AH125" s="386">
        <f t="shared" si="125"/>
        <v>-173.31792435806182</v>
      </c>
      <c r="AI125" s="385">
        <f>(AI124-AD124)*10000</f>
        <v>-171.01777918704596</v>
      </c>
      <c r="AJ125" s="385">
        <f>(AJ124-AE124)*10000</f>
        <v>-140.9628848437028</v>
      </c>
      <c r="AK125" s="385">
        <f>(AK124-AF124)*10000</f>
        <v>-334.40267441021467</v>
      </c>
      <c r="AL125" s="385">
        <f>(AL124-AG124)*10000</f>
        <v>-237.08141427230765</v>
      </c>
      <c r="AM125" s="386">
        <f>(AM124-AH124)*10000</f>
        <v>-212.75002782090158</v>
      </c>
      <c r="AN125" s="385">
        <f t="shared" ref="AN125:BA125" si="126">(AN124-AI124)*10000</f>
        <v>-403.59023715480726</v>
      </c>
      <c r="AO125" s="385">
        <f t="shared" si="126"/>
        <v>-357.15082072698021</v>
      </c>
      <c r="AP125" s="385">
        <f t="shared" si="126"/>
        <v>-86.639107199578675</v>
      </c>
      <c r="AQ125" s="385">
        <f t="shared" si="126"/>
        <v>164.40211064926547</v>
      </c>
      <c r="AR125" s="386">
        <f>(AR124-AM124)*10000</f>
        <v>-161.36589127219824</v>
      </c>
      <c r="AS125" s="385">
        <f t="shared" si="126"/>
        <v>-129.92072170585067</v>
      </c>
      <c r="AT125" s="385">
        <f t="shared" si="126"/>
        <v>-50.82684660149495</v>
      </c>
      <c r="AU125" s="385">
        <f t="shared" si="126"/>
        <v>-220.73057783298933</v>
      </c>
      <c r="AV125" s="385">
        <f t="shared" si="126"/>
        <v>-276.69775038196121</v>
      </c>
      <c r="AW125" s="386">
        <f>(AW124-AR124)*10000</f>
        <v>-2781.5093951757858</v>
      </c>
      <c r="AX125" s="385">
        <f t="shared" si="126"/>
        <v>-359.18554106611822</v>
      </c>
      <c r="AY125" s="385">
        <f t="shared" si="126"/>
        <v>-321.79113072852482</v>
      </c>
      <c r="AZ125" s="385">
        <f t="shared" si="126"/>
        <v>547.14208271838265</v>
      </c>
      <c r="BA125" s="385">
        <f t="shared" si="126"/>
        <v>1328.7748826670986</v>
      </c>
      <c r="BB125" s="386">
        <f t="shared" ref="BB125:BV125" si="127">(BB124-AW124)*10000</f>
        <v>216.38198233116913</v>
      </c>
      <c r="BC125" s="148">
        <f t="shared" si="127"/>
        <v>68.166743201184545</v>
      </c>
      <c r="BD125" s="148">
        <f t="shared" si="127"/>
        <v>136.59104130308353</v>
      </c>
      <c r="BE125" s="148">
        <f t="shared" si="127"/>
        <v>-428.26432830926575</v>
      </c>
      <c r="BF125" s="148">
        <f t="shared" si="127"/>
        <v>-1319.0845200355595</v>
      </c>
      <c r="BG125" s="386">
        <f t="shared" si="127"/>
        <v>2488.9042111512281</v>
      </c>
      <c r="BH125" s="148">
        <f t="shared" si="127"/>
        <v>331.28666673174268</v>
      </c>
      <c r="BI125" s="148">
        <f t="shared" si="127"/>
        <v>264.5247657295846</v>
      </c>
      <c r="BJ125" s="148">
        <f t="shared" si="127"/>
        <v>-330.32959590638899</v>
      </c>
      <c r="BK125" s="148">
        <f t="shared" si="127"/>
        <v>-314.45744126796461</v>
      </c>
      <c r="BL125" s="386">
        <f t="shared" si="127"/>
        <v>277.81333153693356</v>
      </c>
      <c r="BM125" s="148">
        <f>(BM124-BH124)*10000</f>
        <v>-78.21853300343129</v>
      </c>
      <c r="BN125" s="148">
        <f t="shared" si="127"/>
        <v>-60.257655726814185</v>
      </c>
      <c r="BO125" s="148">
        <f t="shared" si="127"/>
        <v>329.20527993846702</v>
      </c>
      <c r="BP125" s="148">
        <f t="shared" si="127"/>
        <v>-244.7929100892643</v>
      </c>
      <c r="BQ125" s="386">
        <f t="shared" si="127"/>
        <v>-1406.5623277329053</v>
      </c>
      <c r="BR125" s="148">
        <f>(BR124-BM124)*10000</f>
        <v>-39.03307539546708</v>
      </c>
      <c r="BS125" s="148">
        <f>(BS124-BN124)*10000</f>
        <v>-368.98182471748584</v>
      </c>
      <c r="BT125" s="148">
        <f t="shared" si="127"/>
        <v>-274.99999999999972</v>
      </c>
      <c r="BU125" s="148">
        <f t="shared" si="127"/>
        <v>-274.99999999999972</v>
      </c>
      <c r="BV125" s="386">
        <f t="shared" si="127"/>
        <v>-93.908968803814162</v>
      </c>
      <c r="BW125" s="148">
        <f t="shared" ref="BW125:CF125" si="128">(BW124-BR124)*10000</f>
        <v>-175.00000000000071</v>
      </c>
      <c r="BX125" s="148">
        <f t="shared" si="128"/>
        <v>-174.9999999999996</v>
      </c>
      <c r="BY125" s="148">
        <f t="shared" si="128"/>
        <v>-200.00000000000017</v>
      </c>
      <c r="BZ125" s="148">
        <f t="shared" si="128"/>
        <v>-200.00000000000128</v>
      </c>
      <c r="CA125" s="386">
        <f t="shared" si="128"/>
        <v>-130.95624389386273</v>
      </c>
      <c r="CB125" s="148">
        <f t="shared" si="128"/>
        <v>-124.99999999999956</v>
      </c>
      <c r="CC125" s="148">
        <f t="shared" si="128"/>
        <v>-125.00000000000067</v>
      </c>
      <c r="CD125" s="148">
        <f t="shared" si="128"/>
        <v>-125.00000000000067</v>
      </c>
      <c r="CE125" s="148">
        <f t="shared" si="128"/>
        <v>-124.99999999999956</v>
      </c>
      <c r="CF125" s="386">
        <f t="shared" si="128"/>
        <v>-22.498513691662225</v>
      </c>
      <c r="CI125"/>
      <c r="CJ125"/>
      <c r="CK125"/>
      <c r="CL125"/>
      <c r="CM125"/>
      <c r="CN125"/>
      <c r="CO125"/>
      <c r="CP125"/>
      <c r="CQ125"/>
      <c r="CR125"/>
      <c r="CS125"/>
    </row>
    <row r="126" spans="1:97" ht="12.75" customHeight="1" x14ac:dyDescent="0.35">
      <c r="A126" s="24"/>
      <c r="B126" s="2" t="s">
        <v>44</v>
      </c>
      <c r="C126" s="53"/>
      <c r="D126" s="54"/>
      <c r="E126" s="54"/>
      <c r="F126" s="54"/>
      <c r="G126" s="54"/>
      <c r="H126" s="54"/>
      <c r="I126" s="55"/>
      <c r="J126" s="56"/>
      <c r="K126" s="56"/>
      <c r="L126" s="225">
        <v>11.3</v>
      </c>
      <c r="M126" s="225">
        <v>11.6</v>
      </c>
      <c r="N126" s="339">
        <v>46.7</v>
      </c>
      <c r="O126" s="340">
        <v>11.7</v>
      </c>
      <c r="P126" s="340">
        <v>10.9</v>
      </c>
      <c r="Q126" s="340">
        <v>11.6</v>
      </c>
      <c r="R126" s="340">
        <v>12</v>
      </c>
      <c r="S126" s="341">
        <f>SUM(O126:R126)</f>
        <v>46.2</v>
      </c>
      <c r="T126" s="340">
        <v>12.6</v>
      </c>
      <c r="U126" s="340">
        <v>12.1</v>
      </c>
      <c r="V126" s="340">
        <v>11.4</v>
      </c>
      <c r="W126" s="340">
        <v>11.4</v>
      </c>
      <c r="X126" s="341">
        <f>SUM(T126:W126)</f>
        <v>47.5</v>
      </c>
      <c r="Y126" s="340">
        <v>12.4</v>
      </c>
      <c r="Z126" s="340">
        <v>13</v>
      </c>
      <c r="AA126" s="340">
        <v>13.6</v>
      </c>
      <c r="AB126" s="340">
        <v>13.9</v>
      </c>
      <c r="AC126" s="341">
        <f>SUM(Y126:AB126)</f>
        <v>52.9</v>
      </c>
      <c r="AD126" s="340">
        <v>13.6</v>
      </c>
      <c r="AE126" s="340">
        <v>14</v>
      </c>
      <c r="AF126" s="340">
        <v>24.4</v>
      </c>
      <c r="AG126" s="340">
        <v>31.6</v>
      </c>
      <c r="AH126" s="341">
        <f>SUM(AD126:AG126)</f>
        <v>83.6</v>
      </c>
      <c r="AI126" s="340">
        <v>32.299999999999997</v>
      </c>
      <c r="AJ126" s="340">
        <v>31.7</v>
      </c>
      <c r="AK126" s="340">
        <v>30.3</v>
      </c>
      <c r="AL126" s="340">
        <v>32.700000000000003</v>
      </c>
      <c r="AM126" s="341">
        <f>SUM(AI126:AL126)</f>
        <v>127</v>
      </c>
      <c r="AN126" s="340">
        <v>33.299999999999997</v>
      </c>
      <c r="AO126" s="340">
        <v>33</v>
      </c>
      <c r="AP126" s="340">
        <v>30.6</v>
      </c>
      <c r="AQ126" s="340">
        <v>32</v>
      </c>
      <c r="AR126" s="341">
        <f>SUM(AN126:AQ126)</f>
        <v>128.9</v>
      </c>
      <c r="AS126" s="340">
        <v>33</v>
      </c>
      <c r="AT126" s="340">
        <v>39</v>
      </c>
      <c r="AU126" s="340">
        <v>39</v>
      </c>
      <c r="AV126" s="340">
        <v>39</v>
      </c>
      <c r="AW126" s="341">
        <f>SUM(AS126:AV126)</f>
        <v>150</v>
      </c>
      <c r="AX126" s="340">
        <v>41</v>
      </c>
      <c r="AY126" s="340">
        <v>42</v>
      </c>
      <c r="AZ126" s="340">
        <v>44</v>
      </c>
      <c r="BA126" s="340">
        <v>58</v>
      </c>
      <c r="BB126" s="341">
        <f>SUM(AX126:BA126)</f>
        <v>185</v>
      </c>
      <c r="BC126" s="489">
        <v>60</v>
      </c>
      <c r="BD126" s="489">
        <v>60</v>
      </c>
      <c r="BE126" s="489">
        <v>62</v>
      </c>
      <c r="BF126" s="489">
        <v>68</v>
      </c>
      <c r="BG126" s="341">
        <f>SUM(BC126:BF126)</f>
        <v>250</v>
      </c>
      <c r="BH126" s="489">
        <v>70</v>
      </c>
      <c r="BI126" s="489">
        <v>74</v>
      </c>
      <c r="BJ126" s="489">
        <v>76</v>
      </c>
      <c r="BK126" s="489">
        <v>78</v>
      </c>
      <c r="BL126" s="341">
        <f>SUM(BH126:BK126)</f>
        <v>298</v>
      </c>
      <c r="BM126" s="489">
        <v>82</v>
      </c>
      <c r="BN126" s="489">
        <v>90</v>
      </c>
      <c r="BO126" s="489">
        <v>88</v>
      </c>
      <c r="BP126" s="489">
        <v>93</v>
      </c>
      <c r="BQ126" s="341">
        <f>SUM(BM126:BP126)</f>
        <v>353</v>
      </c>
      <c r="BR126" s="489">
        <v>94</v>
      </c>
      <c r="BS126" s="489">
        <v>97</v>
      </c>
      <c r="BT126" s="583">
        <f>BT128*BT95</f>
        <v>96.259927797833939</v>
      </c>
      <c r="BU126" s="583">
        <f>BU128*BU95</f>
        <v>102.31757290721819</v>
      </c>
      <c r="BV126" s="341">
        <f>SUM(BR126:BU126)</f>
        <v>389.5775007050521</v>
      </c>
      <c r="BW126" s="583">
        <f>BW128*BW95</f>
        <v>103.65774743550783</v>
      </c>
      <c r="BX126" s="583">
        <f>BX128*BX95</f>
        <v>104.5312197949757</v>
      </c>
      <c r="BY126" s="583">
        <f>BY128*BY95</f>
        <v>104.08826209762682</v>
      </c>
      <c r="BZ126" s="583">
        <f>BZ128*BZ95</f>
        <v>111.04266887841536</v>
      </c>
      <c r="CA126" s="341">
        <f>SUM(BW126:BZ126)</f>
        <v>423.31989820652575</v>
      </c>
      <c r="CB126" s="583">
        <f>CB128*CB95</f>
        <v>112.47246189546391</v>
      </c>
      <c r="CC126" s="583">
        <f>CC128*CC95</f>
        <v>113.40084001555778</v>
      </c>
      <c r="CD126" s="583">
        <f>CD128*CD95</f>
        <v>112.93681595623246</v>
      </c>
      <c r="CE126" s="583">
        <f>CE128*CE95</f>
        <v>120.50080775543027</v>
      </c>
      <c r="CF126" s="341">
        <f>SUM(CB126:CE126)</f>
        <v>459.31092562268441</v>
      </c>
      <c r="CI126"/>
      <c r="CJ126"/>
      <c r="CK126"/>
      <c r="CL126"/>
      <c r="CM126"/>
      <c r="CN126"/>
      <c r="CO126"/>
      <c r="CP126"/>
      <c r="CQ126"/>
      <c r="CR126"/>
      <c r="CS126"/>
    </row>
    <row r="127" spans="1:97" ht="12.75" customHeight="1" x14ac:dyDescent="0.35">
      <c r="A127" s="24"/>
      <c r="B127" s="42" t="s">
        <v>56</v>
      </c>
      <c r="C127" s="53"/>
      <c r="D127" s="54"/>
      <c r="E127" s="54"/>
      <c r="F127" s="54"/>
      <c r="G127" s="54"/>
      <c r="H127" s="54"/>
      <c r="I127" s="55"/>
      <c r="J127" s="56"/>
      <c r="K127" s="56"/>
      <c r="L127" s="229" t="str">
        <f t="shared" ref="L127:AC127" si="129">IFERROR(L126/G126-1,"NA")</f>
        <v>NA</v>
      </c>
      <c r="M127" s="229" t="str">
        <f t="shared" si="129"/>
        <v>NA</v>
      </c>
      <c r="N127" s="52" t="str">
        <f t="shared" si="129"/>
        <v>NA</v>
      </c>
      <c r="O127" s="229" t="str">
        <f t="shared" si="129"/>
        <v>NA</v>
      </c>
      <c r="P127" s="229" t="str">
        <f t="shared" si="129"/>
        <v>NA</v>
      </c>
      <c r="Q127" s="229">
        <f t="shared" si="129"/>
        <v>2.6548672566371501E-2</v>
      </c>
      <c r="R127" s="229">
        <f t="shared" si="129"/>
        <v>3.4482758620689724E-2</v>
      </c>
      <c r="S127" s="52">
        <f t="shared" si="129"/>
        <v>-1.0706638115631661E-2</v>
      </c>
      <c r="T127" s="229">
        <f t="shared" si="129"/>
        <v>7.6923076923076872E-2</v>
      </c>
      <c r="U127" s="229">
        <f t="shared" si="129"/>
        <v>0.11009174311926606</v>
      </c>
      <c r="V127" s="229">
        <f t="shared" si="129"/>
        <v>-1.7241379310344751E-2</v>
      </c>
      <c r="W127" s="229">
        <f t="shared" si="129"/>
        <v>-4.9999999999999933E-2</v>
      </c>
      <c r="X127" s="52">
        <f t="shared" si="129"/>
        <v>2.8138528138528018E-2</v>
      </c>
      <c r="Y127" s="229">
        <f t="shared" si="129"/>
        <v>-1.5873015873015817E-2</v>
      </c>
      <c r="Z127" s="229">
        <f t="shared" si="129"/>
        <v>7.4380165289256173E-2</v>
      </c>
      <c r="AA127" s="229">
        <f t="shared" si="129"/>
        <v>0.19298245614035081</v>
      </c>
      <c r="AB127" s="229">
        <f t="shared" si="129"/>
        <v>0.2192982456140351</v>
      </c>
      <c r="AC127" s="52">
        <f t="shared" si="129"/>
        <v>0.11368421052631583</v>
      </c>
      <c r="AD127" s="229">
        <f t="shared" ref="AD127:AN127" si="130">IFERROR(AD126/Y126-1,"NA")</f>
        <v>9.6774193548387011E-2</v>
      </c>
      <c r="AE127" s="229">
        <f t="shared" si="130"/>
        <v>7.6923076923076872E-2</v>
      </c>
      <c r="AF127" s="229">
        <f t="shared" si="130"/>
        <v>0.79411764705882337</v>
      </c>
      <c r="AG127" s="229">
        <f t="shared" si="130"/>
        <v>1.2733812949640289</v>
      </c>
      <c r="AH127" s="52">
        <f t="shared" si="130"/>
        <v>0.58034026465028354</v>
      </c>
      <c r="AI127" s="229">
        <f>IFERROR(AI126/AD126-1,"NA")</f>
        <v>1.375</v>
      </c>
      <c r="AJ127" s="229">
        <f>IFERROR(AJ126/AE126-1,"NA")</f>
        <v>1.2642857142857142</v>
      </c>
      <c r="AK127" s="229">
        <f>IFERROR(AK126/AF126-1,"NA")</f>
        <v>0.24180327868852469</v>
      </c>
      <c r="AL127" s="229">
        <f>IFERROR(AL126/AG126-1,"NA")</f>
        <v>3.4810126582278444E-2</v>
      </c>
      <c r="AM127" s="52">
        <f>IFERROR(AM126/AH126-1,"NA")</f>
        <v>0.51913875598086134</v>
      </c>
      <c r="AN127" s="229">
        <f t="shared" si="130"/>
        <v>3.0959752321981338E-2</v>
      </c>
      <c r="AO127" s="229">
        <f t="shared" ref="AO127:BI127" si="131">IFERROR(AO126/AJ126-1,"NA")</f>
        <v>4.1009463722397443E-2</v>
      </c>
      <c r="AP127" s="229">
        <f t="shared" si="131"/>
        <v>9.9009900990099098E-3</v>
      </c>
      <c r="AQ127" s="229">
        <f t="shared" si="131"/>
        <v>-2.1406727828746308E-2</v>
      </c>
      <c r="AR127" s="52">
        <f t="shared" si="131"/>
        <v>1.4960629921259905E-2</v>
      </c>
      <c r="AS127" s="229">
        <f t="shared" si="131"/>
        <v>-9.009009009008917E-3</v>
      </c>
      <c r="AT127" s="229">
        <f t="shared" si="131"/>
        <v>0.18181818181818188</v>
      </c>
      <c r="AU127" s="229">
        <f t="shared" si="131"/>
        <v>0.27450980392156854</v>
      </c>
      <c r="AV127" s="229">
        <f t="shared" si="131"/>
        <v>0.21875</v>
      </c>
      <c r="AW127" s="52">
        <f>IFERROR(AW126/AR126-1,"NA")</f>
        <v>0.16369278510473229</v>
      </c>
      <c r="AX127" s="229">
        <f t="shared" si="131"/>
        <v>0.24242424242424243</v>
      </c>
      <c r="AY127" s="229">
        <f t="shared" si="131"/>
        <v>7.6923076923076872E-2</v>
      </c>
      <c r="AZ127" s="229">
        <f t="shared" si="131"/>
        <v>0.12820512820512819</v>
      </c>
      <c r="BA127" s="229">
        <f t="shared" si="131"/>
        <v>0.48717948717948723</v>
      </c>
      <c r="BB127" s="52">
        <f>IFERROR(BB126/AW126-1,"NA")</f>
        <v>0.23333333333333339</v>
      </c>
      <c r="BC127" s="491">
        <f t="shared" si="131"/>
        <v>0.46341463414634143</v>
      </c>
      <c r="BD127" s="491">
        <f t="shared" si="131"/>
        <v>0.4285714285714286</v>
      </c>
      <c r="BE127" s="491">
        <f t="shared" si="131"/>
        <v>0.40909090909090917</v>
      </c>
      <c r="BF127" s="491">
        <f t="shared" si="131"/>
        <v>0.17241379310344818</v>
      </c>
      <c r="BG127" s="52">
        <f>IFERROR(BG126/BB126-1,"NA")</f>
        <v>0.35135135135135132</v>
      </c>
      <c r="BH127" s="491">
        <f t="shared" si="131"/>
        <v>0.16666666666666674</v>
      </c>
      <c r="BI127" s="491">
        <f t="shared" si="131"/>
        <v>0.23333333333333339</v>
      </c>
      <c r="BJ127" s="491">
        <f>BJ126/BE126-1</f>
        <v>0.22580645161290325</v>
      </c>
      <c r="BK127" s="491">
        <f>BK126/BF126-1</f>
        <v>0.14705882352941169</v>
      </c>
      <c r="BL127" s="52">
        <f>IFERROR(BL126/BG126-1,"NA")</f>
        <v>0.19199999999999995</v>
      </c>
      <c r="BM127" s="491">
        <f>IFERROR(BM126/BH126-1,"NA")</f>
        <v>0.17142857142857149</v>
      </c>
      <c r="BN127" s="491">
        <f>BN126/BI126-1</f>
        <v>0.21621621621621623</v>
      </c>
      <c r="BO127" s="491">
        <f>BO126/BJ126-1</f>
        <v>0.15789473684210531</v>
      </c>
      <c r="BP127" s="491">
        <f>BP126/BK126-1</f>
        <v>0.19230769230769229</v>
      </c>
      <c r="BQ127" s="52">
        <f>IFERROR(BQ126/BL126-1,"NA")</f>
        <v>0.18456375838926165</v>
      </c>
      <c r="BR127" s="491">
        <f>IFERROR(BR126/BM126-1,"NA")</f>
        <v>0.14634146341463405</v>
      </c>
      <c r="BS127" s="491">
        <f>IFERROR(BS126/BN126-1,"NA")</f>
        <v>7.7777777777777724E-2</v>
      </c>
      <c r="BT127" s="491">
        <f>BT126/BO126-1</f>
        <v>9.3862815884476536E-2</v>
      </c>
      <c r="BU127" s="491">
        <f>BU126/BP126-1</f>
        <v>0.10018895599159339</v>
      </c>
      <c r="BV127" s="52">
        <f>IFERROR(BV126/BQ126-1,"NA")</f>
        <v>0.10361898216728638</v>
      </c>
      <c r="BW127" s="491">
        <f>BW126/BR126-1</f>
        <v>0.10274199399476425</v>
      </c>
      <c r="BX127" s="491">
        <f>BX126/BS126-1</f>
        <v>7.7641441185316573E-2</v>
      </c>
      <c r="BY127" s="491">
        <f>BY126/BT126-1</f>
        <v>8.132495503460202E-2</v>
      </c>
      <c r="BZ127" s="491">
        <f>BZ126/BU126-1</f>
        <v>8.5274657356357642E-2</v>
      </c>
      <c r="CA127" s="52">
        <f>IFERROR(CA126/BV126-1,"NA")</f>
        <v>8.6612798327436957E-2</v>
      </c>
      <c r="CB127" s="491">
        <f>CB126/BW126-1</f>
        <v>8.5036716290215475E-2</v>
      </c>
      <c r="CC127" s="491">
        <f>CC126/BX126-1</f>
        <v>8.485139882590742E-2</v>
      </c>
      <c r="CD127" s="491">
        <f>CD126/BY126-1</f>
        <v>8.5010102775146423E-2</v>
      </c>
      <c r="CE127" s="491">
        <f>CE126/BZ126-1</f>
        <v>8.5175716438975257E-2</v>
      </c>
      <c r="CF127" s="52">
        <f>IFERROR(CF126/CA126-1,"NA")</f>
        <v>8.5020873265446273E-2</v>
      </c>
      <c r="CI127"/>
      <c r="CJ127"/>
      <c r="CK127"/>
      <c r="CL127"/>
      <c r="CM127"/>
      <c r="CN127"/>
      <c r="CO127"/>
      <c r="CP127"/>
      <c r="CQ127"/>
      <c r="CR127"/>
      <c r="CS127"/>
    </row>
    <row r="128" spans="1:97" ht="12.75" customHeight="1" x14ac:dyDescent="0.35">
      <c r="A128" s="24"/>
      <c r="B128" s="42" t="s">
        <v>30</v>
      </c>
      <c r="C128" s="53"/>
      <c r="D128" s="54"/>
      <c r="E128" s="54"/>
      <c r="F128" s="54"/>
      <c r="G128" s="54"/>
      <c r="H128" s="54"/>
      <c r="I128" s="55"/>
      <c r="J128" s="56"/>
      <c r="K128" s="56"/>
      <c r="L128" s="229">
        <f>L126/L$95</f>
        <v>4.9692172383465259E-2</v>
      </c>
      <c r="M128" s="229">
        <f t="shared" ref="M128:S128" si="132">M126/M$95</f>
        <v>4.5813586097946286E-2</v>
      </c>
      <c r="N128" s="52">
        <f t="shared" si="132"/>
        <v>5.1659292035398235E-2</v>
      </c>
      <c r="O128" s="229">
        <f t="shared" si="132"/>
        <v>4.9139017219655613E-2</v>
      </c>
      <c r="P128" s="229">
        <f t="shared" si="132"/>
        <v>4.3863179074446673E-2</v>
      </c>
      <c r="Q128" s="229">
        <f t="shared" si="132"/>
        <v>4.3042671614100185E-2</v>
      </c>
      <c r="R128" s="229">
        <f t="shared" si="132"/>
        <v>3.8412291933418698E-2</v>
      </c>
      <c r="S128" s="52">
        <f t="shared" si="132"/>
        <v>4.3238184370613011E-2</v>
      </c>
      <c r="T128" s="229">
        <f t="shared" ref="T128:AG128" si="133">T126/T$95</f>
        <v>4.7854158754272687E-2</v>
      </c>
      <c r="U128" s="229">
        <f t="shared" si="133"/>
        <v>4.3384725708139123E-2</v>
      </c>
      <c r="V128" s="229">
        <f t="shared" si="133"/>
        <v>3.9748953974895397E-2</v>
      </c>
      <c r="W128" s="229">
        <f t="shared" si="133"/>
        <v>3.5480859010270781E-2</v>
      </c>
      <c r="X128" s="52">
        <f t="shared" si="133"/>
        <v>4.129357558897679E-2</v>
      </c>
      <c r="Y128" s="229">
        <f t="shared" si="133"/>
        <v>4.2611683848797252E-2</v>
      </c>
      <c r="Z128" s="229">
        <f t="shared" si="133"/>
        <v>4.2861852950873719E-2</v>
      </c>
      <c r="AA128" s="229">
        <f t="shared" si="133"/>
        <v>4.4619422572178477E-2</v>
      </c>
      <c r="AB128" s="229">
        <f t="shared" si="133"/>
        <v>4.1579419682919533E-2</v>
      </c>
      <c r="AC128" s="52">
        <f t="shared" si="133"/>
        <v>4.2889573536565584E-2</v>
      </c>
      <c r="AD128" s="229">
        <f t="shared" si="133"/>
        <v>4.4299674267100977E-2</v>
      </c>
      <c r="AE128" s="229">
        <f t="shared" si="133"/>
        <v>4.4614404079031229E-2</v>
      </c>
      <c r="AF128" s="229">
        <f t="shared" si="133"/>
        <v>6.6178464876593429E-2</v>
      </c>
      <c r="AG128" s="229">
        <f t="shared" si="133"/>
        <v>7.1687840290381125E-2</v>
      </c>
      <c r="AH128" s="52">
        <f t="shared" ref="AH128:AO128" si="134">AH126/AH$95</f>
        <v>5.8449276375585536E-2</v>
      </c>
      <c r="AI128" s="229">
        <f t="shared" si="134"/>
        <v>7.9400196656833816E-2</v>
      </c>
      <c r="AJ128" s="229">
        <f t="shared" si="134"/>
        <v>7.4976348155156108E-2</v>
      </c>
      <c r="AK128" s="229">
        <f t="shared" si="134"/>
        <v>6.9495412844036694E-2</v>
      </c>
      <c r="AL128" s="229">
        <f t="shared" si="134"/>
        <v>7.036797934151065E-2</v>
      </c>
      <c r="AM128" s="52">
        <f t="shared" si="134"/>
        <v>7.3397676703461825E-2</v>
      </c>
      <c r="AN128" s="229">
        <f t="shared" si="134"/>
        <v>7.0550847457627117E-2</v>
      </c>
      <c r="AO128" s="229">
        <f t="shared" si="134"/>
        <v>6.9444444444444448E-2</v>
      </c>
      <c r="AP128" s="229">
        <f t="shared" ref="AP128:AV128" si="135">AP126/AP$95</f>
        <v>6.1955861510427208E-2</v>
      </c>
      <c r="AQ128" s="229">
        <f t="shared" si="135"/>
        <v>6.2378167641325533E-2</v>
      </c>
      <c r="AR128" s="52">
        <f t="shared" si="135"/>
        <v>6.5963870835678826E-2</v>
      </c>
      <c r="AS128" s="229">
        <f t="shared" si="135"/>
        <v>6.6532258064516125E-2</v>
      </c>
      <c r="AT128" s="229">
        <f t="shared" si="135"/>
        <v>7.847082494969819E-2</v>
      </c>
      <c r="AU128" s="229">
        <f t="shared" si="135"/>
        <v>7.3446327683615822E-2</v>
      </c>
      <c r="AV128" s="229">
        <f t="shared" si="135"/>
        <v>7.0270270270270274E-2</v>
      </c>
      <c r="AW128" s="52">
        <f>AW126/AW$31</f>
        <v>4.5565006075334147E-2</v>
      </c>
      <c r="AX128" s="229">
        <f>AX126/AX$95</f>
        <v>7.2695035460992902E-2</v>
      </c>
      <c r="AY128" s="229">
        <f>AY126/AY$95</f>
        <v>7.3298429319371722E-2</v>
      </c>
      <c r="AZ128" s="229">
        <f>AZ126/AZ$95</f>
        <v>7.3211314475873548E-2</v>
      </c>
      <c r="BA128" s="229">
        <f>BA126/BA$95</f>
        <v>8.6826347305389226E-2</v>
      </c>
      <c r="BB128" s="52">
        <f>BB126/BB95</f>
        <v>7.6891105569409812E-2</v>
      </c>
      <c r="BC128" s="491">
        <f t="shared" ref="BC128:BK128" si="136">BC126/BC$95</f>
        <v>8.6330935251798566E-2</v>
      </c>
      <c r="BD128" s="491">
        <f t="shared" si="136"/>
        <v>8.8888888888888892E-2</v>
      </c>
      <c r="BE128" s="491">
        <f t="shared" si="136"/>
        <v>9.0510948905109495E-2</v>
      </c>
      <c r="BF128" s="491">
        <f t="shared" si="136"/>
        <v>9.5238095238095233E-2</v>
      </c>
      <c r="BG128" s="52">
        <f>BG126/BG95</f>
        <v>9.0285301552907191E-2</v>
      </c>
      <c r="BH128" s="491">
        <f>BH126/BH$95</f>
        <v>9.4979647218453186E-2</v>
      </c>
      <c r="BI128" s="491">
        <f>BI126/BI$95</f>
        <v>9.906291834002677E-2</v>
      </c>
      <c r="BJ128" s="491">
        <f t="shared" si="136"/>
        <v>9.7938144329896906E-2</v>
      </c>
      <c r="BK128" s="491">
        <f t="shared" si="136"/>
        <v>9.7989949748743713E-2</v>
      </c>
      <c r="BL128" s="52">
        <f>BL126/BL95</f>
        <v>9.7513089005235601E-2</v>
      </c>
      <c r="BM128" s="491">
        <f>BM126/BM$95</f>
        <v>0.10262828535669587</v>
      </c>
      <c r="BN128" s="491">
        <f>BN126/BN$95</f>
        <v>0.11221945137157108</v>
      </c>
      <c r="BO128" s="491">
        <f>BO126/BO$95</f>
        <v>0.10589651022864019</v>
      </c>
      <c r="BP128" s="491">
        <f>BP126/BP$95</f>
        <v>0.10776361529548088</v>
      </c>
      <c r="BQ128" s="52">
        <f>BQ126/BQ95</f>
        <v>0.10713201820940819</v>
      </c>
      <c r="BR128" s="491">
        <f>BR126/BR$95</f>
        <v>0.10942956926658906</v>
      </c>
      <c r="BS128" s="491">
        <f>BS126/BS$95</f>
        <v>0.10923423423423423</v>
      </c>
      <c r="BT128" s="624">
        <f>BO128</f>
        <v>0.10589651022864019</v>
      </c>
      <c r="BU128" s="624">
        <f>BP128</f>
        <v>0.10776361529548088</v>
      </c>
      <c r="BV128" s="52">
        <f>BV126/BV95</f>
        <v>0.10805200143427417</v>
      </c>
      <c r="BW128" s="624">
        <f>BR128</f>
        <v>0.10942956926658906</v>
      </c>
      <c r="BX128" s="624">
        <f>BS128</f>
        <v>0.10923423423423423</v>
      </c>
      <c r="BY128" s="624">
        <f>BT128</f>
        <v>0.10589651022864019</v>
      </c>
      <c r="BZ128" s="624">
        <f>BU128</f>
        <v>0.10776361529548088</v>
      </c>
      <c r="CA128" s="52">
        <f>CA126/CA95</f>
        <v>0.10805720747126403</v>
      </c>
      <c r="CB128" s="624">
        <f>BW128</f>
        <v>0.10942956926658906</v>
      </c>
      <c r="CC128" s="624">
        <f>BX128</f>
        <v>0.10923423423423423</v>
      </c>
      <c r="CD128" s="624">
        <f>BY128</f>
        <v>0.10589651022864019</v>
      </c>
      <c r="CE128" s="624">
        <f>BZ128</f>
        <v>0.10776361529548088</v>
      </c>
      <c r="CF128" s="52">
        <f>CF126/CF95</f>
        <v>0.10805716176939253</v>
      </c>
      <c r="CI128"/>
      <c r="CJ128"/>
      <c r="CK128"/>
      <c r="CL128"/>
      <c r="CM128"/>
      <c r="CN128"/>
      <c r="CO128"/>
      <c r="CP128"/>
      <c r="CQ128"/>
      <c r="CR128"/>
      <c r="CS128"/>
    </row>
    <row r="129" spans="1:97" ht="12.75" customHeight="1" x14ac:dyDescent="0.35">
      <c r="A129" s="24"/>
      <c r="B129" s="2" t="s">
        <v>128</v>
      </c>
      <c r="C129" s="53"/>
      <c r="D129" s="54"/>
      <c r="E129" s="54"/>
      <c r="F129" s="54"/>
      <c r="G129" s="54"/>
      <c r="H129" s="54"/>
      <c r="I129" s="55"/>
      <c r="J129" s="56"/>
      <c r="K129" s="56"/>
      <c r="L129" s="225">
        <v>0</v>
      </c>
      <c r="M129" s="225">
        <v>0</v>
      </c>
      <c r="N129" s="339">
        <v>0</v>
      </c>
      <c r="O129" s="340">
        <v>0</v>
      </c>
      <c r="P129" s="340">
        <v>0</v>
      </c>
      <c r="Q129" s="340">
        <v>0</v>
      </c>
      <c r="R129" s="340">
        <v>0</v>
      </c>
      <c r="S129" s="341">
        <f>SUM(O129:R129)</f>
        <v>0</v>
      </c>
      <c r="T129" s="340">
        <v>0</v>
      </c>
      <c r="U129" s="340">
        <v>0</v>
      </c>
      <c r="V129" s="340">
        <v>0</v>
      </c>
      <c r="W129" s="340">
        <v>0</v>
      </c>
      <c r="X129" s="341">
        <f>SUM(T129:W129)</f>
        <v>0</v>
      </c>
      <c r="Y129" s="340">
        <v>0</v>
      </c>
      <c r="Z129" s="340">
        <v>0</v>
      </c>
      <c r="AA129" s="340">
        <v>0.8</v>
      </c>
      <c r="AB129" s="340">
        <v>0</v>
      </c>
      <c r="AC129" s="341">
        <f>SUM(Y129:AB129)</f>
        <v>0.8</v>
      </c>
      <c r="AD129" s="340">
        <v>0</v>
      </c>
      <c r="AE129" s="340">
        <v>6.6</v>
      </c>
      <c r="AF129" s="340">
        <v>10.1</v>
      </c>
      <c r="AG129" s="340">
        <v>5.8</v>
      </c>
      <c r="AH129" s="341">
        <f>SUM(AD129:AG129)</f>
        <v>22.5</v>
      </c>
      <c r="AI129" s="340">
        <v>0.8</v>
      </c>
      <c r="AJ129" s="340">
        <v>2</v>
      </c>
      <c r="AK129" s="340">
        <v>1.3</v>
      </c>
      <c r="AL129" s="340">
        <f>16.5+4.2</f>
        <v>20.7</v>
      </c>
      <c r="AM129" s="341">
        <f>SUM(AI129:AL129)</f>
        <v>24.799999999999997</v>
      </c>
      <c r="AN129" s="340">
        <f>2.8+1.4</f>
        <v>4.1999999999999993</v>
      </c>
      <c r="AO129" s="340">
        <f>27.3+2</f>
        <v>29.3</v>
      </c>
      <c r="AP129" s="340">
        <f>2+6.1-0.9</f>
        <v>7.1999999999999993</v>
      </c>
      <c r="AQ129" s="340">
        <v>3</v>
      </c>
      <c r="AR129" s="341">
        <f>SUM(AN129:AQ129)</f>
        <v>43.7</v>
      </c>
      <c r="AS129" s="340">
        <v>9</v>
      </c>
      <c r="AT129" s="340">
        <v>-2</v>
      </c>
      <c r="AU129" s="340">
        <v>10</v>
      </c>
      <c r="AV129" s="340">
        <v>23</v>
      </c>
      <c r="AW129" s="341">
        <f>SUM(AS129:AV129)</f>
        <v>40</v>
      </c>
      <c r="AX129" s="340">
        <v>2</v>
      </c>
      <c r="AY129" s="340">
        <v>0</v>
      </c>
      <c r="AZ129" s="340">
        <v>0</v>
      </c>
      <c r="BA129" s="340">
        <v>-1</v>
      </c>
      <c r="BB129" s="341">
        <f>SUM(AX129:BA129)</f>
        <v>1</v>
      </c>
      <c r="BC129" s="489">
        <v>0</v>
      </c>
      <c r="BD129" s="489">
        <v>16</v>
      </c>
      <c r="BE129" s="489">
        <v>1</v>
      </c>
      <c r="BF129" s="489">
        <v>32</v>
      </c>
      <c r="BG129" s="341">
        <f>SUM(BC129:BF129)</f>
        <v>49</v>
      </c>
      <c r="BH129" s="489">
        <v>8</v>
      </c>
      <c r="BI129" s="489">
        <v>8</v>
      </c>
      <c r="BJ129" s="489">
        <v>22</v>
      </c>
      <c r="BK129" s="489">
        <v>21</v>
      </c>
      <c r="BL129" s="341">
        <f>SUM(BH129:BK129)</f>
        <v>59</v>
      </c>
      <c r="BM129" s="489">
        <v>3</v>
      </c>
      <c r="BN129" s="489">
        <f>1+15</f>
        <v>16</v>
      </c>
      <c r="BO129" s="489">
        <f>4+15</f>
        <v>19</v>
      </c>
      <c r="BP129" s="489">
        <f>35+13</f>
        <v>48</v>
      </c>
      <c r="BQ129" s="341">
        <f>SUM(BM129:BP129)</f>
        <v>86</v>
      </c>
      <c r="BR129" s="489">
        <f>26+2</f>
        <v>28</v>
      </c>
      <c r="BS129" s="489">
        <f>18+1</f>
        <v>19</v>
      </c>
      <c r="BT129" s="489">
        <v>10</v>
      </c>
      <c r="BU129" s="489">
        <v>10</v>
      </c>
      <c r="BV129" s="341">
        <f>SUM(BR129:BU129)</f>
        <v>67</v>
      </c>
      <c r="BW129" s="489">
        <v>12</v>
      </c>
      <c r="BX129" s="489">
        <v>12</v>
      </c>
      <c r="BY129" s="489">
        <v>12</v>
      </c>
      <c r="BZ129" s="489">
        <v>12</v>
      </c>
      <c r="CA129" s="341">
        <f>SUM(BW129:BZ129)</f>
        <v>48</v>
      </c>
      <c r="CB129" s="489">
        <v>0</v>
      </c>
      <c r="CC129" s="489">
        <v>0</v>
      </c>
      <c r="CD129" s="489">
        <v>0</v>
      </c>
      <c r="CE129" s="489">
        <v>0</v>
      </c>
      <c r="CF129" s="341">
        <f>SUM(CB129:CE129)</f>
        <v>0</v>
      </c>
      <c r="CI129"/>
      <c r="CJ129"/>
      <c r="CK129"/>
      <c r="CL129"/>
      <c r="CM129"/>
      <c r="CN129"/>
      <c r="CO129"/>
      <c r="CP129"/>
      <c r="CQ129"/>
      <c r="CR129"/>
      <c r="CS129"/>
    </row>
    <row r="130" spans="1:97" ht="12.75" customHeight="1" x14ac:dyDescent="0.35">
      <c r="A130" s="24"/>
      <c r="B130" s="42" t="s">
        <v>30</v>
      </c>
      <c r="C130" s="53"/>
      <c r="D130" s="54"/>
      <c r="E130" s="54"/>
      <c r="F130" s="54"/>
      <c r="G130" s="54"/>
      <c r="H130" s="54"/>
      <c r="I130" s="55"/>
      <c r="J130" s="56"/>
      <c r="K130" s="56"/>
      <c r="L130" s="229">
        <f t="shared" ref="L130:R130" si="137">L129/L$95</f>
        <v>0</v>
      </c>
      <c r="M130" s="229">
        <f t="shared" si="137"/>
        <v>0</v>
      </c>
      <c r="N130" s="52">
        <f t="shared" si="137"/>
        <v>0</v>
      </c>
      <c r="O130" s="229">
        <f t="shared" si="137"/>
        <v>0</v>
      </c>
      <c r="P130" s="229">
        <f t="shared" si="137"/>
        <v>0</v>
      </c>
      <c r="Q130" s="229">
        <f t="shared" si="137"/>
        <v>0</v>
      </c>
      <c r="R130" s="229">
        <f t="shared" si="137"/>
        <v>0</v>
      </c>
      <c r="S130" s="52">
        <f>S129/S$31</f>
        <v>0</v>
      </c>
      <c r="T130" s="229">
        <f>T129/T$95</f>
        <v>0</v>
      </c>
      <c r="U130" s="229">
        <f>U129/U$95</f>
        <v>0</v>
      </c>
      <c r="V130" s="229">
        <f>V129/V$95</f>
        <v>0</v>
      </c>
      <c r="W130" s="229">
        <f>W129/W$95</f>
        <v>0</v>
      </c>
      <c r="X130" s="52">
        <f>X129/X$31</f>
        <v>0</v>
      </c>
      <c r="Y130" s="229">
        <f>Y129/Y$95</f>
        <v>0</v>
      </c>
      <c r="Z130" s="229">
        <f>Z129/Z$95</f>
        <v>0</v>
      </c>
      <c r="AA130" s="229">
        <f>AA129/AA$95</f>
        <v>2.6246719160104987E-3</v>
      </c>
      <c r="AB130" s="229">
        <f>AB129/AB$95</f>
        <v>0</v>
      </c>
      <c r="AC130" s="52">
        <f>AC129/AC$31</f>
        <v>3.3743883921039309E-4</v>
      </c>
      <c r="AD130" s="229">
        <f>AD129/AD$95</f>
        <v>0</v>
      </c>
      <c r="AE130" s="229">
        <f>AE129/AE$95</f>
        <v>2.103250478011472E-2</v>
      </c>
      <c r="AF130" s="229">
        <f>AF129/AF$95</f>
        <v>2.7393544887442365E-2</v>
      </c>
      <c r="AG130" s="229">
        <f>AG129/AG$95</f>
        <v>1.3157894736842105E-2</v>
      </c>
      <c r="AH130" s="52">
        <f>AH129/AH$31</f>
        <v>8.1116158338741078E-3</v>
      </c>
      <c r="AI130" s="229">
        <f>AI129/AI$95</f>
        <v>1.9665683382497543E-3</v>
      </c>
      <c r="AJ130" s="229">
        <f>AJ129/AJ$95</f>
        <v>4.7303689687795657E-3</v>
      </c>
      <c r="AK130" s="229">
        <f>AK129/AK$95</f>
        <v>2.9816513761467892E-3</v>
      </c>
      <c r="AL130" s="229">
        <f>AL129/AL$95</f>
        <v>4.4544867656552606E-2</v>
      </c>
      <c r="AM130" s="52">
        <f>AM129/AM$31</f>
        <v>9.143194219141719E-3</v>
      </c>
      <c r="AN130" s="229">
        <f>AN129/AN$95</f>
        <v>8.8983050847457612E-3</v>
      </c>
      <c r="AO130" s="229">
        <f>AO129/AO$95</f>
        <v>6.1658249158249162E-2</v>
      </c>
      <c r="AP130" s="229">
        <f>AP129/AP$95</f>
        <v>1.4577849767159342E-2</v>
      </c>
      <c r="AQ130" s="229">
        <f>AQ129/AQ$95</f>
        <v>5.8479532163742687E-3</v>
      </c>
      <c r="AR130" s="52">
        <f>AR129/AR$31</f>
        <v>1.5199471322736602E-2</v>
      </c>
      <c r="AS130" s="229">
        <f>AS129/AS$95</f>
        <v>1.8145161290322582E-2</v>
      </c>
      <c r="AT130" s="229">
        <f>AT129/AT$95</f>
        <v>-4.0241448692152921E-3</v>
      </c>
      <c r="AU130" s="229">
        <f>AU129/AU$95</f>
        <v>1.8832391713747645E-2</v>
      </c>
      <c r="AV130" s="229">
        <f>AV129/AV$95</f>
        <v>4.1441441441441441E-2</v>
      </c>
      <c r="AW130" s="52">
        <f>AW129/AW$31</f>
        <v>1.2150668286755772E-2</v>
      </c>
      <c r="AX130" s="229">
        <f>AX129/AX$95</f>
        <v>3.5460992907801418E-3</v>
      </c>
      <c r="AY130" s="229">
        <f>AY129/AY$95</f>
        <v>0</v>
      </c>
      <c r="AZ130" s="229">
        <f>AZ129/AZ$95</f>
        <v>0</v>
      </c>
      <c r="BA130" s="229">
        <f>BA129/BA$95</f>
        <v>-1.4970059880239522E-3</v>
      </c>
      <c r="BB130" s="52">
        <f>BB129/BB$31</f>
        <v>2.6232948583420777E-4</v>
      </c>
      <c r="BC130" s="491">
        <f>BC129/BC$95</f>
        <v>0</v>
      </c>
      <c r="BD130" s="491">
        <f>BD129/BD$95</f>
        <v>2.3703703703703703E-2</v>
      </c>
      <c r="BE130" s="491">
        <f>BE129/BE$95</f>
        <v>1.4598540145985401E-3</v>
      </c>
      <c r="BF130" s="491">
        <f>BF129/BF$95</f>
        <v>4.4817927170868348E-2</v>
      </c>
      <c r="BG130" s="52">
        <f>BG129/BG$31</f>
        <v>1.8154872174879585E-2</v>
      </c>
      <c r="BH130" s="491">
        <f>BH129/BH$95</f>
        <v>1.0854816824966078E-2</v>
      </c>
      <c r="BI130" s="491">
        <f>BI129/BI$95</f>
        <v>1.0709504685408299E-2</v>
      </c>
      <c r="BJ130" s="491">
        <f>BJ129/BJ$95</f>
        <v>2.8350515463917526E-2</v>
      </c>
      <c r="BK130" s="491">
        <f>BK129/BK$95</f>
        <v>2.6381909547738693E-2</v>
      </c>
      <c r="BL130" s="52">
        <f>BL129/BL$31</f>
        <v>2.062937062937063E-2</v>
      </c>
      <c r="BM130" s="491">
        <f>BM129/BM$95</f>
        <v>3.7546933667083854E-3</v>
      </c>
      <c r="BN130" s="491">
        <f>BN129/BN$95</f>
        <v>1.9950124688279301E-2</v>
      </c>
      <c r="BO130" s="491">
        <f>BO129/BO$95</f>
        <v>2.2864019253910951E-2</v>
      </c>
      <c r="BP130" s="491">
        <f>BP129/BP$95</f>
        <v>5.5619930475086905E-2</v>
      </c>
      <c r="BQ130" s="52">
        <f>BQ129/BQ$31</f>
        <v>2.2673345636699184E-2</v>
      </c>
      <c r="BR130" s="491">
        <f>BR129/BR$95</f>
        <v>3.2596041909196738E-2</v>
      </c>
      <c r="BS130" s="491">
        <f>BS129/BS$95</f>
        <v>2.1396396396396396E-2</v>
      </c>
      <c r="BT130" s="491">
        <f>BT129/BT$95</f>
        <v>1.1001100110011002E-2</v>
      </c>
      <c r="BU130" s="491">
        <f>BU129/BU$95</f>
        <v>1.0532268527636125E-2</v>
      </c>
      <c r="BV130" s="52">
        <f>BV129/BV$31</f>
        <v>1.6465132624185804E-2</v>
      </c>
      <c r="BW130" s="491">
        <f>BW129/BW$95</f>
        <v>1.2668178343505556E-2</v>
      </c>
      <c r="BX130" s="491">
        <f>BX129/BX$95</f>
        <v>1.2539897777733719E-2</v>
      </c>
      <c r="BY130" s="491">
        <f>BY129/BY$95</f>
        <v>1.2208467094510699E-2</v>
      </c>
      <c r="BZ130" s="491">
        <f>BZ129/BZ$95</f>
        <v>1.1645643936761842E-2</v>
      </c>
      <c r="CA130" s="52">
        <f>CA129/CA$31</f>
        <v>1.0921102197905376E-2</v>
      </c>
      <c r="CB130" s="491">
        <f>CB129/CB$95</f>
        <v>0</v>
      </c>
      <c r="CC130" s="491">
        <f>CC129/CC$95</f>
        <v>0</v>
      </c>
      <c r="CD130" s="491">
        <f>CD129/CD$95</f>
        <v>0</v>
      </c>
      <c r="CE130" s="491">
        <f>CE129/CE$95</f>
        <v>0</v>
      </c>
      <c r="CF130" s="52">
        <f>CF129/CF$31</f>
        <v>0</v>
      </c>
      <c r="CI130"/>
      <c r="CJ130"/>
      <c r="CK130"/>
      <c r="CL130"/>
      <c r="CM130"/>
      <c r="CN130"/>
      <c r="CO130"/>
      <c r="CP130"/>
      <c r="CQ130"/>
      <c r="CR130"/>
      <c r="CS130"/>
    </row>
    <row r="131" spans="1:97" ht="12.75" customHeight="1" x14ac:dyDescent="0.35">
      <c r="A131" s="24"/>
      <c r="B131" s="24" t="s">
        <v>142</v>
      </c>
      <c r="C131" s="53"/>
      <c r="D131" s="54"/>
      <c r="E131" s="54"/>
      <c r="F131" s="54"/>
      <c r="G131" s="54"/>
      <c r="H131" s="54"/>
      <c r="I131" s="419"/>
      <c r="J131" s="358"/>
      <c r="K131" s="358"/>
      <c r="L131" s="170">
        <f t="shared" ref="L131:R131" si="138">L122+L126+L129</f>
        <v>188.9</v>
      </c>
      <c r="M131" s="170">
        <f t="shared" si="138"/>
        <v>210.2</v>
      </c>
      <c r="N131" s="194">
        <f t="shared" si="138"/>
        <v>748.2</v>
      </c>
      <c r="O131" s="170">
        <f t="shared" si="138"/>
        <v>199</v>
      </c>
      <c r="P131" s="170">
        <f t="shared" si="138"/>
        <v>203.9</v>
      </c>
      <c r="Q131" s="170">
        <f t="shared" si="138"/>
        <v>217.1</v>
      </c>
      <c r="R131" s="170">
        <f t="shared" si="138"/>
        <v>250.3</v>
      </c>
      <c r="S131" s="183">
        <f>S135-S95</f>
        <v>-824.09999999999991</v>
      </c>
      <c r="T131" s="170">
        <f>T122+T126+T129</f>
        <v>222.6</v>
      </c>
      <c r="U131" s="170">
        <f>U122+U126+U129</f>
        <v>222.79999999999998</v>
      </c>
      <c r="V131" s="170">
        <f>V122+V126+V129</f>
        <v>227</v>
      </c>
      <c r="W131" s="170">
        <f>W122+W126+W129</f>
        <v>259</v>
      </c>
      <c r="X131" s="183">
        <f>X135-X95</f>
        <v>-883.9</v>
      </c>
      <c r="Y131" s="170">
        <f>Y122+Y126+Y129</f>
        <v>242.70000000000002</v>
      </c>
      <c r="Z131" s="170">
        <f>Z122+Z126+Z129</f>
        <v>246.6</v>
      </c>
      <c r="AA131" s="170">
        <f>AA122+AA126+AA129</f>
        <v>249.6</v>
      </c>
      <c r="AB131" s="170">
        <f>AB122+AB126+AB129</f>
        <v>276.89999999999998</v>
      </c>
      <c r="AC131" s="183">
        <f>SUM(Y131:AB131)</f>
        <v>1015.8</v>
      </c>
      <c r="AD131" s="170">
        <f>AD122+AD126+AD129</f>
        <v>253.1</v>
      </c>
      <c r="AE131" s="170">
        <f>AE122+AE126+AE129</f>
        <v>262.60000000000002</v>
      </c>
      <c r="AF131" s="170">
        <f>AF122+AF126+AF129</f>
        <v>311.60000000000002</v>
      </c>
      <c r="AG131" s="170">
        <f>AG122+AG126+AG129</f>
        <v>369.70000000000005</v>
      </c>
      <c r="AH131" s="183">
        <f>SUM(AD131:AG131)</f>
        <v>1197</v>
      </c>
      <c r="AI131" s="170">
        <f>AI122+AI126+AI129</f>
        <v>343.5</v>
      </c>
      <c r="AJ131" s="170">
        <f>AJ122+AJ126+AJ129</f>
        <v>353.8</v>
      </c>
      <c r="AK131" s="170">
        <f>AK122+AK126+AK129</f>
        <v>344.7</v>
      </c>
      <c r="AL131" s="170">
        <f>AL122+AL126+AL129</f>
        <v>392.7</v>
      </c>
      <c r="AM131" s="183">
        <f>SUM(AI131:AL131)</f>
        <v>1434.7</v>
      </c>
      <c r="AN131" s="170">
        <f>AN122+AN126+AN129</f>
        <v>378.6</v>
      </c>
      <c r="AO131" s="170">
        <f>AO122+AO126+AO129</f>
        <v>405.1</v>
      </c>
      <c r="AP131" s="170">
        <f>AP122+AP126+AP129</f>
        <v>388.2</v>
      </c>
      <c r="AQ131" s="170">
        <f>AQ122+AQ126+AQ129</f>
        <v>418</v>
      </c>
      <c r="AR131" s="183">
        <f>SUM(AN131:AQ131)</f>
        <v>1589.9</v>
      </c>
      <c r="AS131" s="170">
        <f>AS122+AS126+AS129</f>
        <v>394</v>
      </c>
      <c r="AT131" s="170">
        <f>AT122+AT126+AT129</f>
        <v>393</v>
      </c>
      <c r="AU131" s="170">
        <f>AU122+AU126+AU129</f>
        <v>414</v>
      </c>
      <c r="AV131" s="170">
        <f>AV122+AV126+AV129</f>
        <v>461</v>
      </c>
      <c r="AW131" s="183">
        <f>SUM(AS131:AV131)</f>
        <v>1662</v>
      </c>
      <c r="AX131" s="170">
        <f>AX122+AX126+AX129</f>
        <v>423</v>
      </c>
      <c r="AY131" s="170">
        <f>AY122+AY126+AY129</f>
        <v>434</v>
      </c>
      <c r="AZ131" s="170">
        <f>AZ122+AZ126+AZ129</f>
        <v>490</v>
      </c>
      <c r="BA131" s="170">
        <f>BA122+BA126+BA129</f>
        <v>626</v>
      </c>
      <c r="BB131" s="183">
        <f>SUM(AX131:BA131)</f>
        <v>1973</v>
      </c>
      <c r="BC131" s="163">
        <f>BC122+BC126+BC129</f>
        <v>533</v>
      </c>
      <c r="BD131" s="163">
        <f>BD122+BD126+BD129</f>
        <v>547</v>
      </c>
      <c r="BE131" s="163">
        <f>BE122+BE126+BE129</f>
        <v>542</v>
      </c>
      <c r="BF131" s="163">
        <f>BF122+BF126+BF129</f>
        <v>614</v>
      </c>
      <c r="BG131" s="183">
        <f>SUM(BC131:BF131)</f>
        <v>2236</v>
      </c>
      <c r="BH131" s="163">
        <f>BH122+BH126+BH129</f>
        <v>604</v>
      </c>
      <c r="BI131" s="163">
        <f>BI122+BI126+BI129</f>
        <v>623</v>
      </c>
      <c r="BJ131" s="163">
        <f>BJ122+BJ126+BJ129</f>
        <v>615</v>
      </c>
      <c r="BK131" s="163">
        <f>BK122+BK126+BK129</f>
        <v>647</v>
      </c>
      <c r="BL131" s="183">
        <f>SUM(BH131:BK131)</f>
        <v>2489</v>
      </c>
      <c r="BM131" s="163">
        <f>BM122+BM126+BM129</f>
        <v>649</v>
      </c>
      <c r="BN131" s="163">
        <f>BN122+BN126+BN129</f>
        <v>682</v>
      </c>
      <c r="BO131" s="163">
        <f t="shared" ref="BO131:BU131" si="139">BO122+BO126+BO129</f>
        <v>688</v>
      </c>
      <c r="BP131" s="163">
        <f>BP122+BP126+BP129</f>
        <v>714</v>
      </c>
      <c r="BQ131" s="183">
        <f>SUM(BM131:BP131)</f>
        <v>2733</v>
      </c>
      <c r="BR131" s="163">
        <f>BR122+BR126+BR129</f>
        <v>725</v>
      </c>
      <c r="BS131" s="163">
        <f>BS122+BS126+BS129</f>
        <v>721</v>
      </c>
      <c r="BT131" s="163">
        <f t="shared" ref="BT131" si="140">BT122+BT126+BT129</f>
        <v>716.79672382671481</v>
      </c>
      <c r="BU131" s="163">
        <f t="shared" si="139"/>
        <v>716.61561029233076</v>
      </c>
      <c r="BV131" s="183">
        <f>SUM(BR131:BU131)</f>
        <v>2879.4123341190452</v>
      </c>
      <c r="BW131" s="163">
        <f>BW122+BW126+BW129</f>
        <v>764.03420078962426</v>
      </c>
      <c r="BX131" s="163">
        <f>BX122+BX126+BX129</f>
        <v>751.75774371607235</v>
      </c>
      <c r="BY131" s="163">
        <f>BY122+BY126+BY129</f>
        <v>756.61844792799741</v>
      </c>
      <c r="BZ131" s="163">
        <f>BZ122+BZ126+BZ129</f>
        <v>758.26345020458257</v>
      </c>
      <c r="CA131" s="183">
        <f>SUM(BW131:BZ131)</f>
        <v>3030.6738426382767</v>
      </c>
      <c r="CB131" s="163">
        <f>CB122+CB126+CB129</f>
        <v>803.13713402225778</v>
      </c>
      <c r="CC131" s="163">
        <f>CC122+CC126+CC129</f>
        <v>789.55042590625885</v>
      </c>
      <c r="CD131" s="163">
        <f>CD122+CD126+CD129</f>
        <v>794.58750262661101</v>
      </c>
      <c r="CE131" s="163">
        <f>CE122+CE126+CE129</f>
        <v>795.84952838215463</v>
      </c>
      <c r="CF131" s="183">
        <f>SUM(CB131:CE131)</f>
        <v>3183.1245909372828</v>
      </c>
      <c r="CI131"/>
      <c r="CJ131"/>
      <c r="CK131"/>
      <c r="CL131"/>
      <c r="CM131"/>
      <c r="CN131"/>
      <c r="CO131"/>
      <c r="CP131"/>
      <c r="CQ131"/>
      <c r="CR131"/>
      <c r="CS131"/>
    </row>
    <row r="132" spans="1:97" ht="12.75" customHeight="1" x14ac:dyDescent="0.35">
      <c r="A132" s="24"/>
      <c r="B132" s="42" t="s">
        <v>62</v>
      </c>
      <c r="C132" s="42"/>
      <c r="D132" s="43"/>
      <c r="E132" s="43"/>
      <c r="F132" s="43"/>
      <c r="G132" s="43"/>
      <c r="H132" s="43"/>
      <c r="I132" s="159"/>
      <c r="J132" s="147"/>
      <c r="K132" s="147"/>
      <c r="L132" s="153" t="str">
        <f t="shared" ref="L132:R132" si="141">IFERROR( L131/G131-1, "NA")</f>
        <v>NA</v>
      </c>
      <c r="M132" s="153" t="str">
        <f t="shared" si="141"/>
        <v>NA</v>
      </c>
      <c r="N132" s="184" t="str">
        <f t="shared" si="141"/>
        <v>NA</v>
      </c>
      <c r="O132" s="153" t="str">
        <f t="shared" si="141"/>
        <v>NA</v>
      </c>
      <c r="P132" s="153" t="str">
        <f t="shared" si="141"/>
        <v>NA</v>
      </c>
      <c r="Q132" s="153">
        <f t="shared" si="141"/>
        <v>0.14928533615669659</v>
      </c>
      <c r="R132" s="153">
        <f t="shared" si="141"/>
        <v>0.1907706945765939</v>
      </c>
      <c r="S132" s="184">
        <f>S131/N131-1</f>
        <v>-2.1014434643143542</v>
      </c>
      <c r="T132" s="153">
        <f>IFERROR( T131/O131-1, "NA")</f>
        <v>0.11859296482412063</v>
      </c>
      <c r="U132" s="153">
        <f>IFERROR( U131/P131-1, "NA")</f>
        <v>9.2692496321726159E-2</v>
      </c>
      <c r="V132" s="153">
        <f>IFERROR( V131/Q131-1, "NA")</f>
        <v>4.5601105481344995E-2</v>
      </c>
      <c r="W132" s="153">
        <f>IFERROR( W131/R131-1, "NA")</f>
        <v>3.4758290051937646E-2</v>
      </c>
      <c r="X132" s="184">
        <f>X131/S131-1</f>
        <v>7.2564009222181758E-2</v>
      </c>
      <c r="Y132" s="153">
        <f>IFERROR( Y131/T131-1, "NA")</f>
        <v>9.0296495956873501E-2</v>
      </c>
      <c r="Z132" s="153">
        <f>IFERROR( Z131/U131-1, "NA")</f>
        <v>0.106822262118492</v>
      </c>
      <c r="AA132" s="153">
        <f>IFERROR( AA131/V131-1, "NA")</f>
        <v>9.9559471365638696E-2</v>
      </c>
      <c r="AB132" s="153">
        <f>IFERROR( AB131/W131-1, "NA")</f>
        <v>6.911196911196904E-2</v>
      </c>
      <c r="AC132" s="184">
        <f>IFERROR( AC131/X131-1, "NA")</f>
        <v>-2.149225025455368</v>
      </c>
      <c r="AD132" s="153">
        <f t="shared" ref="AD132:AN132" si="142">IFERROR( AD131/Y131-1, "NA")</f>
        <v>4.2851256695508821E-2</v>
      </c>
      <c r="AE132" s="153">
        <f t="shared" si="142"/>
        <v>6.4882400648824223E-2</v>
      </c>
      <c r="AF132" s="153">
        <f t="shared" si="142"/>
        <v>0.24839743589743613</v>
      </c>
      <c r="AG132" s="153">
        <f t="shared" si="142"/>
        <v>0.33513903936439182</v>
      </c>
      <c r="AH132" s="184">
        <f t="shared" si="142"/>
        <v>0.17838157117542819</v>
      </c>
      <c r="AI132" s="153">
        <f>IFERROR( AI131/AD131-1, "NA")</f>
        <v>0.35717107862504949</v>
      </c>
      <c r="AJ132" s="153">
        <f>IFERROR( AJ131/AE131-1, "NA")</f>
        <v>0.34729626808834713</v>
      </c>
      <c r="AK132" s="153">
        <f>IFERROR( AK131/AF131-1, "NA")</f>
        <v>0.10622593068035924</v>
      </c>
      <c r="AL132" s="153">
        <f>IFERROR( AL131/AG131-1, "NA")</f>
        <v>6.2212604814714467E-2</v>
      </c>
      <c r="AM132" s="184">
        <f>IFERROR( AM131/AH131-1, "NA")</f>
        <v>0.19857978279030908</v>
      </c>
      <c r="AN132" s="153">
        <f t="shared" si="142"/>
        <v>0.10218340611353716</v>
      </c>
      <c r="AO132" s="153">
        <f t="shared" ref="AO132:BD132" si="143">IFERROR( AO131/AJ131-1, "NA")</f>
        <v>0.14499717354437536</v>
      </c>
      <c r="AP132" s="153">
        <f t="shared" si="143"/>
        <v>0.12619669277632717</v>
      </c>
      <c r="AQ132" s="153">
        <f t="shared" si="143"/>
        <v>6.4425770308123242E-2</v>
      </c>
      <c r="AR132" s="184">
        <f t="shared" si="143"/>
        <v>0.10817592528054654</v>
      </c>
      <c r="AS132" s="153">
        <f t="shared" si="143"/>
        <v>4.0676175382989843E-2</v>
      </c>
      <c r="AT132" s="153">
        <f t="shared" si="143"/>
        <v>-2.986916810664042E-2</v>
      </c>
      <c r="AU132" s="153">
        <f t="shared" si="143"/>
        <v>6.646058732612059E-2</v>
      </c>
      <c r="AV132" s="153">
        <f t="shared" si="143"/>
        <v>0.10287081339712922</v>
      </c>
      <c r="AW132" s="184">
        <f>IFERROR( AW131/AR131-1, "NA")</f>
        <v>4.53487640732122E-2</v>
      </c>
      <c r="AX132" s="153">
        <f t="shared" si="143"/>
        <v>7.3604060913705638E-2</v>
      </c>
      <c r="AY132" s="153">
        <f t="shared" si="143"/>
        <v>0.10432569974554706</v>
      </c>
      <c r="AZ132" s="153">
        <f t="shared" si="143"/>
        <v>0.18357487922705307</v>
      </c>
      <c r="BA132" s="153">
        <f t="shared" si="143"/>
        <v>0.35791757049891548</v>
      </c>
      <c r="BB132" s="184">
        <f>IFERROR( BB131/AW131-1, "NA")</f>
        <v>0.18712394705174495</v>
      </c>
      <c r="BC132" s="153">
        <f t="shared" si="143"/>
        <v>0.260047281323877</v>
      </c>
      <c r="BD132" s="153">
        <f t="shared" si="143"/>
        <v>0.26036866359446997</v>
      </c>
      <c r="BE132" s="153">
        <f t="shared" ref="BE132:BV132" si="144">IFERROR( BE131/AZ131-1, "NA")</f>
        <v>0.10612244897959178</v>
      </c>
      <c r="BF132" s="153">
        <f t="shared" si="144"/>
        <v>-1.9169329073482455E-2</v>
      </c>
      <c r="BG132" s="184">
        <f t="shared" si="144"/>
        <v>0.13329954384186515</v>
      </c>
      <c r="BH132" s="153">
        <f t="shared" si="144"/>
        <v>0.13320825515947465</v>
      </c>
      <c r="BI132" s="153">
        <f t="shared" si="144"/>
        <v>0.13893967093235826</v>
      </c>
      <c r="BJ132" s="153">
        <f t="shared" si="144"/>
        <v>0.1346863468634687</v>
      </c>
      <c r="BK132" s="153">
        <f t="shared" si="144"/>
        <v>5.3745928338762239E-2</v>
      </c>
      <c r="BL132" s="184">
        <f t="shared" si="144"/>
        <v>0.11314847942754924</v>
      </c>
      <c r="BM132" s="153">
        <f t="shared" si="144"/>
        <v>7.4503311258278249E-2</v>
      </c>
      <c r="BN132" s="153">
        <f>IFERROR( BN131/BI131-1, "NA")</f>
        <v>9.4703049759229607E-2</v>
      </c>
      <c r="BO132" s="153">
        <f t="shared" si="144"/>
        <v>0.11869918699186988</v>
      </c>
      <c r="BP132" s="153">
        <f t="shared" si="144"/>
        <v>0.10355486862442032</v>
      </c>
      <c r="BQ132" s="184">
        <f t="shared" si="144"/>
        <v>9.8031337886701486E-2</v>
      </c>
      <c r="BR132" s="153">
        <f t="shared" si="144"/>
        <v>0.11710323574730364</v>
      </c>
      <c r="BS132" s="153">
        <f t="shared" si="144"/>
        <v>5.7184750733137779E-2</v>
      </c>
      <c r="BT132" s="153">
        <f t="shared" si="144"/>
        <v>4.1855703236504116E-2</v>
      </c>
      <c r="BU132" s="153">
        <f t="shared" si="144"/>
        <v>3.663319737157833E-3</v>
      </c>
      <c r="BV132" s="184">
        <f t="shared" si="144"/>
        <v>5.3572021265658742E-2</v>
      </c>
      <c r="BW132" s="153">
        <f t="shared" ref="BW132:CF132" si="145">IFERROR( BW131/BR131-1, "NA")</f>
        <v>5.3840276951205857E-2</v>
      </c>
      <c r="BX132" s="153">
        <f t="shared" si="145"/>
        <v>4.2659838718547061E-2</v>
      </c>
      <c r="BY132" s="153">
        <f t="shared" si="145"/>
        <v>5.555511455003459E-2</v>
      </c>
      <c r="BZ132" s="153">
        <f t="shared" si="145"/>
        <v>5.8117405362216878E-2</v>
      </c>
      <c r="CA132" s="184">
        <f t="shared" si="145"/>
        <v>5.2532076329217414E-2</v>
      </c>
      <c r="CB132" s="153">
        <f t="shared" si="145"/>
        <v>5.117955870590718E-2</v>
      </c>
      <c r="CC132" s="153">
        <f t="shared" si="145"/>
        <v>5.0272421542837176E-2</v>
      </c>
      <c r="CD132" s="153">
        <f t="shared" si="145"/>
        <v>5.0182565337379748E-2</v>
      </c>
      <c r="CE132" s="153">
        <f t="shared" si="145"/>
        <v>4.9568627061519654E-2</v>
      </c>
      <c r="CF132" s="184">
        <f t="shared" si="145"/>
        <v>5.0302591507601413E-2</v>
      </c>
      <c r="CI132"/>
      <c r="CJ132"/>
      <c r="CK132"/>
      <c r="CL132"/>
      <c r="CM132"/>
      <c r="CN132"/>
      <c r="CO132"/>
      <c r="CP132"/>
      <c r="CQ132"/>
      <c r="CR132"/>
      <c r="CS132"/>
    </row>
    <row r="133" spans="1:97" ht="12.75" customHeight="1" x14ac:dyDescent="0.35">
      <c r="A133" s="24"/>
      <c r="B133" s="42" t="s">
        <v>59</v>
      </c>
      <c r="C133" s="42"/>
      <c r="D133" s="43"/>
      <c r="E133" s="43"/>
      <c r="F133" s="43"/>
      <c r="G133" s="43"/>
      <c r="H133" s="43"/>
      <c r="I133" s="159"/>
      <c r="J133" s="147"/>
      <c r="K133" s="147"/>
      <c r="L133" s="153">
        <f t="shared" ref="L133:AQ133" si="146">L131/L95</f>
        <v>0.8306948109058927</v>
      </c>
      <c r="M133" s="153">
        <f t="shared" si="146"/>
        <v>0.83017377567140604</v>
      </c>
      <c r="N133" s="184">
        <f t="shared" si="146"/>
        <v>0.82765486725663717</v>
      </c>
      <c r="O133" s="153">
        <f t="shared" si="146"/>
        <v>0.83578328433431348</v>
      </c>
      <c r="P133" s="153">
        <f t="shared" si="146"/>
        <v>0.82052313883299788</v>
      </c>
      <c r="Q133" s="153">
        <f t="shared" si="146"/>
        <v>0.80556586270871988</v>
      </c>
      <c r="R133" s="153">
        <f t="shared" si="146"/>
        <v>0.8012163892445584</v>
      </c>
      <c r="S133" s="184">
        <f t="shared" si="146"/>
        <v>-0.77126813289658391</v>
      </c>
      <c r="T133" s="153">
        <f t="shared" si="146"/>
        <v>0.84542347132548423</v>
      </c>
      <c r="U133" s="153">
        <f t="shared" si="146"/>
        <v>0.79885263535317319</v>
      </c>
      <c r="V133" s="153">
        <f t="shared" si="146"/>
        <v>0.79149232914923284</v>
      </c>
      <c r="W133" s="153">
        <f t="shared" si="146"/>
        <v>0.80610021786492381</v>
      </c>
      <c r="X133" s="184">
        <f t="shared" si="146"/>
        <v>-0.76840824132834917</v>
      </c>
      <c r="Y133" s="153">
        <f t="shared" si="146"/>
        <v>0.83402061855670107</v>
      </c>
      <c r="Z133" s="153">
        <f t="shared" si="146"/>
        <v>0.81305637982195844</v>
      </c>
      <c r="AA133" s="153">
        <f t="shared" si="146"/>
        <v>0.81889763779527558</v>
      </c>
      <c r="AB133" s="153">
        <f t="shared" si="146"/>
        <v>0.8282979359856415</v>
      </c>
      <c r="AC133" s="184">
        <f t="shared" si="146"/>
        <v>0.82357710394032746</v>
      </c>
      <c r="AD133" s="153">
        <f t="shared" si="146"/>
        <v>0.82442996742671004</v>
      </c>
      <c r="AE133" s="153">
        <f t="shared" si="146"/>
        <v>0.83683875079668579</v>
      </c>
      <c r="AF133" s="153">
        <f t="shared" si="146"/>
        <v>0.8451315432601032</v>
      </c>
      <c r="AG133" s="153">
        <f t="shared" si="146"/>
        <v>0.8387023593466425</v>
      </c>
      <c r="AH133" s="184">
        <f t="shared" si="146"/>
        <v>0.83688736628679306</v>
      </c>
      <c r="AI133" s="153">
        <f t="shared" si="146"/>
        <v>0.8443952802359882</v>
      </c>
      <c r="AJ133" s="153">
        <f t="shared" si="146"/>
        <v>0.8368022705771051</v>
      </c>
      <c r="AK133" s="153">
        <f t="shared" si="146"/>
        <v>0.79059633027522935</v>
      </c>
      <c r="AL133" s="153">
        <f t="shared" si="146"/>
        <v>0.84506132989025162</v>
      </c>
      <c r="AM133" s="184">
        <f t="shared" si="146"/>
        <v>0.82916257296422591</v>
      </c>
      <c r="AN133" s="153">
        <f t="shared" si="146"/>
        <v>0.80211864406779665</v>
      </c>
      <c r="AO133" s="153">
        <f t="shared" si="146"/>
        <v>0.85248316498316501</v>
      </c>
      <c r="AP133" s="153">
        <f t="shared" si="146"/>
        <v>0.78598906661267454</v>
      </c>
      <c r="AQ133" s="153">
        <f t="shared" si="146"/>
        <v>0.81481481481481477</v>
      </c>
      <c r="AR133" s="184">
        <f t="shared" ref="AR133:CA133" si="147">AR131/AR95</f>
        <v>0.81362263957832248</v>
      </c>
      <c r="AS133" s="153">
        <f t="shared" si="147"/>
        <v>0.79435483870967738</v>
      </c>
      <c r="AT133" s="153">
        <f t="shared" si="147"/>
        <v>0.79074446680080479</v>
      </c>
      <c r="AU133" s="153">
        <f t="shared" si="147"/>
        <v>0.77966101694915257</v>
      </c>
      <c r="AV133" s="153">
        <f t="shared" si="147"/>
        <v>0.83063063063063058</v>
      </c>
      <c r="AW133" s="184">
        <f t="shared" si="147"/>
        <v>0.79942279942279937</v>
      </c>
      <c r="AX133" s="153">
        <f t="shared" si="147"/>
        <v>0.75</v>
      </c>
      <c r="AY133" s="153">
        <f t="shared" si="147"/>
        <v>0.75741710296684117</v>
      </c>
      <c r="AZ133" s="153">
        <f t="shared" si="147"/>
        <v>0.81530782029950088</v>
      </c>
      <c r="BA133" s="153">
        <f t="shared" si="147"/>
        <v>0.93712574850299402</v>
      </c>
      <c r="BB133" s="184">
        <f t="shared" si="147"/>
        <v>0.82003325020781381</v>
      </c>
      <c r="BC133" s="153">
        <f t="shared" si="147"/>
        <v>0.76690647482014385</v>
      </c>
      <c r="BD133" s="153">
        <f t="shared" si="147"/>
        <v>0.81037037037037041</v>
      </c>
      <c r="BE133" s="153">
        <f t="shared" si="147"/>
        <v>0.79124087591240877</v>
      </c>
      <c r="BF133" s="153">
        <f t="shared" si="147"/>
        <v>0.85994397759103647</v>
      </c>
      <c r="BG133" s="184">
        <f t="shared" si="147"/>
        <v>0.80751173708920188</v>
      </c>
      <c r="BH133" s="153">
        <f t="shared" si="147"/>
        <v>0.81953867028493899</v>
      </c>
      <c r="BI133" s="153">
        <f t="shared" si="147"/>
        <v>0.8340026773761714</v>
      </c>
      <c r="BJ133" s="153">
        <f t="shared" si="147"/>
        <v>0.79252577319587625</v>
      </c>
      <c r="BK133" s="153">
        <f t="shared" si="147"/>
        <v>0.81281407035175879</v>
      </c>
      <c r="BL133" s="184">
        <f t="shared" si="147"/>
        <v>0.81446335078534027</v>
      </c>
      <c r="BM133" s="153">
        <f t="shared" si="147"/>
        <v>0.8122653316645807</v>
      </c>
      <c r="BN133" s="153">
        <f t="shared" si="147"/>
        <v>0.85037406483790523</v>
      </c>
      <c r="BO133" s="153">
        <f t="shared" si="147"/>
        <v>0.82791817087845965</v>
      </c>
      <c r="BP133" s="153">
        <f>BP131/BP95</f>
        <v>0.82734646581691773</v>
      </c>
      <c r="BQ133" s="184">
        <f t="shared" si="147"/>
        <v>0.82943854324734445</v>
      </c>
      <c r="BR133" s="153">
        <f>BR131/BR95</f>
        <v>0.84400465657741564</v>
      </c>
      <c r="BS133" s="153">
        <f>BS131/BS95</f>
        <v>0.81193693693693691</v>
      </c>
      <c r="BT133" s="153">
        <f t="shared" ref="BT133" si="148">BT131/BT95</f>
        <v>0.78855525173455976</v>
      </c>
      <c r="BU133" s="153">
        <f t="shared" si="147"/>
        <v>0.75475880386946692</v>
      </c>
      <c r="BV133" s="184">
        <f t="shared" si="147"/>
        <v>0.79862483098491499</v>
      </c>
      <c r="BW133" s="153">
        <f t="shared" si="147"/>
        <v>0.80657679301172447</v>
      </c>
      <c r="BX133" s="153">
        <f t="shared" si="147"/>
        <v>0.78558043831827418</v>
      </c>
      <c r="BY133" s="153">
        <f t="shared" si="147"/>
        <v>0.76976261871905938</v>
      </c>
      <c r="BZ133" s="153">
        <f t="shared" si="147"/>
        <v>0.73587217927859261</v>
      </c>
      <c r="CA133" s="184">
        <f t="shared" si="147"/>
        <v>0.77361388769853212</v>
      </c>
      <c r="CB133" s="153">
        <f>CB131/CB95</f>
        <v>0.78140861466821876</v>
      </c>
      <c r="CC133" s="153">
        <f>CC131/CC95</f>
        <v>0.76054054054054054</v>
      </c>
      <c r="CD133" s="153">
        <f>CD131/CD95</f>
        <v>0.74505415162454869</v>
      </c>
      <c r="CE133" s="153">
        <f>CE131/CE95</f>
        <v>0.71172653534183083</v>
      </c>
      <c r="CF133" s="184">
        <f>CF131/CF95</f>
        <v>0.74885962790616878</v>
      </c>
      <c r="CI133"/>
      <c r="CJ133"/>
      <c r="CK133"/>
      <c r="CL133"/>
      <c r="CM133"/>
      <c r="CN133"/>
      <c r="CO133"/>
      <c r="CP133"/>
      <c r="CQ133"/>
      <c r="CR133"/>
      <c r="CS133"/>
    </row>
    <row r="134" spans="1:97" ht="12.75" customHeight="1" x14ac:dyDescent="0.35">
      <c r="A134" s="24"/>
      <c r="B134" s="42"/>
      <c r="C134" s="42"/>
      <c r="D134" s="43"/>
      <c r="E134" s="43"/>
      <c r="F134" s="43"/>
      <c r="G134" s="43"/>
      <c r="H134" s="43"/>
      <c r="I134" s="49"/>
      <c r="J134" s="362"/>
      <c r="K134" s="362"/>
      <c r="L134" s="362"/>
      <c r="M134" s="362"/>
      <c r="N134" s="49"/>
      <c r="O134" s="362"/>
      <c r="P134" s="362"/>
      <c r="Q134" s="362"/>
      <c r="R134" s="362"/>
      <c r="S134" s="49"/>
      <c r="T134" s="362"/>
      <c r="U134" s="362"/>
      <c r="V134" s="362"/>
      <c r="W134" s="362"/>
      <c r="X134" s="49"/>
      <c r="Y134" s="362"/>
      <c r="Z134" s="362"/>
      <c r="AA134" s="362"/>
      <c r="AB134" s="362"/>
      <c r="AC134" s="49"/>
      <c r="AD134" s="362"/>
      <c r="AE134" s="362"/>
      <c r="AF134" s="362"/>
      <c r="AG134" s="362"/>
      <c r="AH134" s="49"/>
      <c r="AI134" s="362"/>
      <c r="AJ134" s="362"/>
      <c r="AK134" s="362"/>
      <c r="AL134" s="362"/>
      <c r="AM134" s="49"/>
      <c r="AN134" s="362"/>
      <c r="AO134" s="362"/>
      <c r="AP134" s="362"/>
      <c r="AQ134" s="362"/>
      <c r="AR134" s="49"/>
      <c r="AS134" s="362"/>
      <c r="AT134" s="362"/>
      <c r="AU134" s="362"/>
      <c r="AV134" s="362"/>
      <c r="AW134" s="49"/>
      <c r="AX134" s="362"/>
      <c r="AY134" s="362"/>
      <c r="AZ134" s="362"/>
      <c r="BA134" s="362"/>
      <c r="BB134" s="49"/>
      <c r="BC134" s="37"/>
      <c r="BD134" s="499"/>
      <c r="BE134" s="499"/>
      <c r="BF134" s="499"/>
      <c r="BG134" s="49"/>
      <c r="BH134" s="37"/>
      <c r="BI134" s="37"/>
      <c r="BJ134" s="37"/>
      <c r="BK134" s="37"/>
      <c r="BL134" s="49"/>
      <c r="BM134" s="37"/>
      <c r="BN134" s="37"/>
      <c r="BO134" s="37"/>
      <c r="BP134" s="37"/>
      <c r="BQ134" s="49"/>
      <c r="BR134" s="37"/>
      <c r="BS134" s="37"/>
      <c r="BT134" s="37"/>
      <c r="BU134" s="37"/>
      <c r="BV134" s="49"/>
      <c r="BW134" s="37"/>
      <c r="BX134" s="37"/>
      <c r="BY134" s="37"/>
      <c r="BZ134" s="37"/>
      <c r="CA134" s="49"/>
      <c r="CB134" s="37"/>
      <c r="CC134" s="37"/>
      <c r="CD134" s="37"/>
      <c r="CE134" s="37"/>
      <c r="CF134" s="49"/>
      <c r="CI134"/>
      <c r="CJ134"/>
      <c r="CK134"/>
      <c r="CL134"/>
      <c r="CM134"/>
      <c r="CN134"/>
      <c r="CO134"/>
      <c r="CP134"/>
      <c r="CQ134"/>
      <c r="CR134"/>
      <c r="CS134"/>
    </row>
    <row r="135" spans="1:97" ht="12.75" customHeight="1" x14ac:dyDescent="0.35">
      <c r="A135" s="24"/>
      <c r="B135" s="24" t="s">
        <v>102</v>
      </c>
      <c r="C135" s="53"/>
      <c r="D135" s="54"/>
      <c r="E135" s="54"/>
      <c r="F135" s="54"/>
      <c r="G135" s="54"/>
      <c r="H135" s="54"/>
      <c r="I135" s="419"/>
      <c r="J135" s="300"/>
      <c r="K135" s="300"/>
      <c r="L135" s="157">
        <f t="shared" ref="L135:AV135" si="149">L95-L122</f>
        <v>49.800000000000011</v>
      </c>
      <c r="M135" s="157">
        <f t="shared" si="149"/>
        <v>54.599999999999994</v>
      </c>
      <c r="N135" s="281">
        <f t="shared" si="149"/>
        <v>202.5</v>
      </c>
      <c r="O135" s="157">
        <f t="shared" si="149"/>
        <v>50.799999999999955</v>
      </c>
      <c r="P135" s="157">
        <f t="shared" si="149"/>
        <v>55.500000000000028</v>
      </c>
      <c r="Q135" s="157">
        <f t="shared" si="149"/>
        <v>64</v>
      </c>
      <c r="R135" s="157">
        <f t="shared" si="149"/>
        <v>74.099999999999966</v>
      </c>
      <c r="S135" s="203">
        <f t="shared" si="149"/>
        <v>244.40000000000009</v>
      </c>
      <c r="T135" s="157">
        <f t="shared" si="149"/>
        <v>53.300000000000011</v>
      </c>
      <c r="U135" s="157">
        <f t="shared" si="149"/>
        <v>68.199999999999989</v>
      </c>
      <c r="V135" s="157">
        <f t="shared" si="149"/>
        <v>71.200000000000017</v>
      </c>
      <c r="W135" s="157">
        <f t="shared" si="149"/>
        <v>73.69999999999996</v>
      </c>
      <c r="X135" s="203">
        <f t="shared" si="149"/>
        <v>266.39999999999998</v>
      </c>
      <c r="Y135" s="157">
        <f t="shared" si="149"/>
        <v>60.699999999999989</v>
      </c>
      <c r="Z135" s="157">
        <f t="shared" si="149"/>
        <v>69.700000000000017</v>
      </c>
      <c r="AA135" s="157">
        <f t="shared" si="149"/>
        <v>69.600000000000023</v>
      </c>
      <c r="AB135" s="157">
        <f t="shared" si="149"/>
        <v>71.300000000000011</v>
      </c>
      <c r="AC135" s="203">
        <f t="shared" si="149"/>
        <v>271.30000000000018</v>
      </c>
      <c r="AD135" s="157">
        <f t="shared" si="149"/>
        <v>67.5</v>
      </c>
      <c r="AE135" s="157">
        <f t="shared" si="149"/>
        <v>71.800000000000011</v>
      </c>
      <c r="AF135" s="157">
        <f t="shared" si="149"/>
        <v>91.599999999999966</v>
      </c>
      <c r="AG135" s="157">
        <f t="shared" si="149"/>
        <v>108.5</v>
      </c>
      <c r="AH135" s="203">
        <f t="shared" si="149"/>
        <v>339.39999999999986</v>
      </c>
      <c r="AI135" s="157">
        <f t="shared" si="149"/>
        <v>96.400000000000034</v>
      </c>
      <c r="AJ135" s="157">
        <f t="shared" si="149"/>
        <v>102.69999999999993</v>
      </c>
      <c r="AK135" s="157">
        <f t="shared" si="149"/>
        <v>122.90000000000003</v>
      </c>
      <c r="AL135" s="157">
        <f t="shared" si="149"/>
        <v>125.40000000000003</v>
      </c>
      <c r="AM135" s="203">
        <f t="shared" si="149"/>
        <v>447.40000000000009</v>
      </c>
      <c r="AN135" s="157">
        <f t="shared" si="149"/>
        <v>130.89999999999998</v>
      </c>
      <c r="AO135" s="157">
        <f t="shared" si="149"/>
        <v>132.39999999999998</v>
      </c>
      <c r="AP135" s="157">
        <f t="shared" si="149"/>
        <v>143.50000000000006</v>
      </c>
      <c r="AQ135" s="157">
        <f t="shared" si="149"/>
        <v>130</v>
      </c>
      <c r="AR135" s="203">
        <f t="shared" si="149"/>
        <v>536.79999999999995</v>
      </c>
      <c r="AS135" s="157">
        <f t="shared" si="149"/>
        <v>144</v>
      </c>
      <c r="AT135" s="157">
        <f t="shared" si="149"/>
        <v>141</v>
      </c>
      <c r="AU135" s="157">
        <f t="shared" si="149"/>
        <v>166</v>
      </c>
      <c r="AV135" s="157">
        <f t="shared" si="149"/>
        <v>156</v>
      </c>
      <c r="AW135" s="183">
        <f>SUM(AS135:AV135)</f>
        <v>607</v>
      </c>
      <c r="AX135" s="157">
        <f>AX95-AX122</f>
        <v>184</v>
      </c>
      <c r="AY135" s="157">
        <f>AY95-AY122</f>
        <v>181</v>
      </c>
      <c r="AZ135" s="157">
        <f>AZ95-AZ122</f>
        <v>155</v>
      </c>
      <c r="BA135" s="157">
        <f>BA95-BA122</f>
        <v>99</v>
      </c>
      <c r="BB135" s="183">
        <f>SUM(AX135:BA135)</f>
        <v>619</v>
      </c>
      <c r="BC135" s="157">
        <f>BC95-BC122</f>
        <v>222</v>
      </c>
      <c r="BD135" s="157">
        <f>BD95-BD122</f>
        <v>204</v>
      </c>
      <c r="BE135" s="157">
        <f>BE95-BE122</f>
        <v>206</v>
      </c>
      <c r="BF135" s="157">
        <f>BF95-BF122</f>
        <v>200</v>
      </c>
      <c r="BG135" s="183">
        <f>SUM(BC135:BF135)</f>
        <v>832</v>
      </c>
      <c r="BH135" s="157">
        <f>BH95-BH122</f>
        <v>211</v>
      </c>
      <c r="BI135" s="157">
        <f>BI95-BI122</f>
        <v>206</v>
      </c>
      <c r="BJ135" s="157">
        <f>BJ95-BJ122</f>
        <v>259</v>
      </c>
      <c r="BK135" s="157">
        <f>BK95-BK122</f>
        <v>248</v>
      </c>
      <c r="BL135" s="183">
        <f>SUM(BH135:BK135)</f>
        <v>924</v>
      </c>
      <c r="BM135" s="157">
        <f>BM95-BM122</f>
        <v>235</v>
      </c>
      <c r="BN135" s="157">
        <f>BN95-BN122</f>
        <v>226</v>
      </c>
      <c r="BO135" s="157">
        <f>BO95-BO122</f>
        <v>250</v>
      </c>
      <c r="BP135" s="157">
        <f>BP95-BP122</f>
        <v>290</v>
      </c>
      <c r="BQ135" s="183">
        <f>SUM(BM135:BP135)</f>
        <v>1001</v>
      </c>
      <c r="BR135" s="157">
        <f>BR95-BR122</f>
        <v>256</v>
      </c>
      <c r="BS135" s="157">
        <f>BS95-BS122</f>
        <v>283</v>
      </c>
      <c r="BT135" s="157">
        <f>BT137*BT95</f>
        <v>298.46320397111919</v>
      </c>
      <c r="BU135" s="157">
        <f>BU137*BU95</f>
        <v>345.1650316356326</v>
      </c>
      <c r="BV135" s="183">
        <f>SUM(BR135:BU135)</f>
        <v>1182.6282356067518</v>
      </c>
      <c r="BW135" s="157">
        <f>BW137*BW95</f>
        <v>298.87891948738587</v>
      </c>
      <c r="BX135" s="157">
        <f>BX137*BX95</f>
        <v>321.71907585146442</v>
      </c>
      <c r="BY135" s="157">
        <f>BY137*BY95</f>
        <v>342.39419829608283</v>
      </c>
      <c r="BZ135" s="157">
        <f>BZ137*BZ95</f>
        <v>395.20742557783763</v>
      </c>
      <c r="CA135" s="183">
        <f>SUM(BW135:BZ135)</f>
        <v>1358.1996192127708</v>
      </c>
      <c r="CB135" s="157">
        <f>CB137*CB95</f>
        <v>337.1421871094135</v>
      </c>
      <c r="CC135" s="157">
        <f>CC137*CC95</f>
        <v>361.99418662285893</v>
      </c>
      <c r="CD135" s="157">
        <f>CD137*CD95</f>
        <v>384.83220037086221</v>
      </c>
      <c r="CE135" s="157">
        <f>CE137*CE95</f>
        <v>442.84694703925771</v>
      </c>
      <c r="CF135" s="183">
        <f>SUM(CB135:CE135)</f>
        <v>1526.8155211423923</v>
      </c>
      <c r="CI135"/>
      <c r="CJ135"/>
      <c r="CK135"/>
      <c r="CL135"/>
      <c r="CM135"/>
      <c r="CN135"/>
      <c r="CO135"/>
      <c r="CP135"/>
      <c r="CQ135"/>
      <c r="CR135"/>
      <c r="CS135"/>
    </row>
    <row r="136" spans="1:97" ht="12.75" customHeight="1" x14ac:dyDescent="0.35">
      <c r="A136" s="24"/>
      <c r="B136" s="42" t="s">
        <v>62</v>
      </c>
      <c r="C136" s="42"/>
      <c r="D136" s="43"/>
      <c r="E136" s="43"/>
      <c r="F136" s="43"/>
      <c r="G136" s="43"/>
      <c r="H136" s="43"/>
      <c r="I136" s="159"/>
      <c r="J136" s="147"/>
      <c r="K136" s="147"/>
      <c r="L136" s="153" t="str">
        <f t="shared" ref="L136:R136" si="150">IFERROR( L135/G135-1, "NA")</f>
        <v>NA</v>
      </c>
      <c r="M136" s="153" t="str">
        <f t="shared" si="150"/>
        <v>NA</v>
      </c>
      <c r="N136" s="184" t="str">
        <f t="shared" si="150"/>
        <v>NA</v>
      </c>
      <c r="O136" s="153" t="str">
        <f t="shared" si="150"/>
        <v>NA</v>
      </c>
      <c r="P136" s="153" t="str">
        <f t="shared" si="150"/>
        <v>NA</v>
      </c>
      <c r="Q136" s="153">
        <f t="shared" si="150"/>
        <v>0.28514056224899575</v>
      </c>
      <c r="R136" s="153">
        <f t="shared" si="150"/>
        <v>0.35714285714285676</v>
      </c>
      <c r="S136" s="184">
        <f>S135/N135-1</f>
        <v>0.20691358024691398</v>
      </c>
      <c r="T136" s="153">
        <f>IFERROR( T135/O135-1, "NA")</f>
        <v>4.9212598425198095E-2</v>
      </c>
      <c r="U136" s="153">
        <f>IFERROR( U135/P135-1, "NA")</f>
        <v>0.22882882882882805</v>
      </c>
      <c r="V136" s="153">
        <f>IFERROR( V135/Q135-1, "NA")</f>
        <v>0.11250000000000027</v>
      </c>
      <c r="W136" s="153">
        <f>IFERROR( W135/R135-1, "NA")</f>
        <v>-5.3981106612686069E-3</v>
      </c>
      <c r="X136" s="184">
        <f>X135/S135-1</f>
        <v>9.0016366612110765E-2</v>
      </c>
      <c r="Y136" s="153">
        <f>IFERROR( Y135/T135-1, "NA")</f>
        <v>0.13883677298311392</v>
      </c>
      <c r="Z136" s="153">
        <f>IFERROR( Z135/U135-1, "NA")</f>
        <v>2.1994134897361128E-2</v>
      </c>
      <c r="AA136" s="153">
        <f>IFERROR( AA135/V135-1, "NA")</f>
        <v>-2.2471910112359494E-2</v>
      </c>
      <c r="AB136" s="153">
        <f>IFERROR( AB135/W135-1, "NA")</f>
        <v>-3.2564450474897533E-2</v>
      </c>
      <c r="AC136" s="184">
        <f>IFERROR( AC135/X135-1, "NA")</f>
        <v>1.8393393393394186E-2</v>
      </c>
      <c r="AD136" s="153">
        <f t="shared" ref="AD136:AH136" si="151">IFERROR( AD135/Y135-1, "NA")</f>
        <v>0.11202635914332815</v>
      </c>
      <c r="AE136" s="153">
        <f t="shared" si="151"/>
        <v>3.0129124820659881E-2</v>
      </c>
      <c r="AF136" s="153">
        <f t="shared" si="151"/>
        <v>0.31609195402298762</v>
      </c>
      <c r="AG136" s="153">
        <f t="shared" si="151"/>
        <v>0.52173913043478226</v>
      </c>
      <c r="AH136" s="184">
        <f t="shared" si="151"/>
        <v>0.25101363803906973</v>
      </c>
      <c r="AI136" s="153">
        <f>IFERROR( AI135/AD135-1, "NA")</f>
        <v>0.42814814814814861</v>
      </c>
      <c r="AJ136" s="153">
        <f>IFERROR( AJ135/AE135-1, "NA")</f>
        <v>0.43036211699164229</v>
      </c>
      <c r="AK136" s="153">
        <f>IFERROR( AK135/AF135-1, "NA")</f>
        <v>0.34170305676855972</v>
      </c>
      <c r="AL136" s="153">
        <f>IFERROR( AL135/AG135-1, "NA")</f>
        <v>0.15576036866359488</v>
      </c>
      <c r="AM136" s="184">
        <f>IFERROR( AM135/AH135-1, "NA")</f>
        <v>0.31820860341779689</v>
      </c>
      <c r="AN136" s="153">
        <f t="shared" ref="AN136:BT136" si="152">IFERROR( AN135/AI135-1, "NA")</f>
        <v>0.35788381742738529</v>
      </c>
      <c r="AO136" s="153">
        <f t="shared" si="152"/>
        <v>0.28919182083739114</v>
      </c>
      <c r="AP136" s="153">
        <f t="shared" si="152"/>
        <v>0.16761594792514245</v>
      </c>
      <c r="AQ136" s="153">
        <f t="shared" si="152"/>
        <v>3.6682615629983761E-2</v>
      </c>
      <c r="AR136" s="184">
        <f t="shared" si="152"/>
        <v>0.19982118909253432</v>
      </c>
      <c r="AS136" s="153">
        <f t="shared" si="152"/>
        <v>0.10007639419404146</v>
      </c>
      <c r="AT136" s="153">
        <f t="shared" si="152"/>
        <v>6.4954682779456485E-2</v>
      </c>
      <c r="AU136" s="153">
        <f t="shared" si="152"/>
        <v>0.15679442508710761</v>
      </c>
      <c r="AV136" s="153">
        <f t="shared" si="152"/>
        <v>0.19999999999999996</v>
      </c>
      <c r="AW136" s="184">
        <f>IFERROR( AW135/AR135-1, "NA")</f>
        <v>0.13077496274217593</v>
      </c>
      <c r="AX136" s="153">
        <f t="shared" si="152"/>
        <v>0.27777777777777768</v>
      </c>
      <c r="AY136" s="153">
        <f t="shared" si="152"/>
        <v>0.28368794326241131</v>
      </c>
      <c r="AZ136" s="153">
        <f t="shared" si="152"/>
        <v>-6.6265060240963902E-2</v>
      </c>
      <c r="BA136" s="153">
        <f t="shared" si="152"/>
        <v>-0.36538461538461542</v>
      </c>
      <c r="BB136" s="184">
        <f>IFERROR( BB135/AW135-1, "NA")</f>
        <v>1.976935749588149E-2</v>
      </c>
      <c r="BC136" s="153">
        <f t="shared" si="152"/>
        <v>0.20652173913043481</v>
      </c>
      <c r="BD136" s="153">
        <f t="shared" si="152"/>
        <v>0.1270718232044199</v>
      </c>
      <c r="BE136" s="153">
        <f t="shared" si="152"/>
        <v>0.32903225806451619</v>
      </c>
      <c r="BF136" s="153">
        <f t="shared" si="152"/>
        <v>1.0202020202020203</v>
      </c>
      <c r="BG136" s="184">
        <f>IFERROR( BG135/BB135-1, "NA")</f>
        <v>0.34410339256865918</v>
      </c>
      <c r="BH136" s="153">
        <f t="shared" si="152"/>
        <v>-4.9549549549549599E-2</v>
      </c>
      <c r="BI136" s="153">
        <f t="shared" si="152"/>
        <v>9.8039215686274161E-3</v>
      </c>
      <c r="BJ136" s="153">
        <f t="shared" si="152"/>
        <v>0.25728155339805836</v>
      </c>
      <c r="BK136" s="153">
        <f t="shared" si="152"/>
        <v>0.24</v>
      </c>
      <c r="BL136" s="184">
        <f t="shared" ref="BL136:BV136" si="153">IFERROR( BL135/BG135-1, "NA")</f>
        <v>0.11057692307692313</v>
      </c>
      <c r="BM136" s="153">
        <f t="shared" si="152"/>
        <v>0.11374407582938395</v>
      </c>
      <c r="BN136" s="153">
        <f t="shared" si="152"/>
        <v>9.7087378640776656E-2</v>
      </c>
      <c r="BO136" s="153">
        <f t="shared" si="152"/>
        <v>-3.4749034749034791E-2</v>
      </c>
      <c r="BP136" s="153">
        <f t="shared" si="152"/>
        <v>0.16935483870967749</v>
      </c>
      <c r="BQ136" s="184">
        <f t="shared" si="153"/>
        <v>8.3333333333333259E-2</v>
      </c>
      <c r="BR136" s="153">
        <f t="shared" si="152"/>
        <v>8.9361702127659592E-2</v>
      </c>
      <c r="BS136" s="153">
        <f t="shared" si="152"/>
        <v>0.25221238938053103</v>
      </c>
      <c r="BT136" s="153">
        <f t="shared" si="153"/>
        <v>0.19385281588447678</v>
      </c>
      <c r="BU136" s="153">
        <f t="shared" si="153"/>
        <v>0.19022424701942287</v>
      </c>
      <c r="BV136" s="184">
        <f t="shared" si="153"/>
        <v>0.18144678881793386</v>
      </c>
      <c r="BW136" s="153">
        <f t="shared" ref="BW136:CF136" si="154">IFERROR( BW135/BR135-1, "NA")</f>
        <v>0.16749577924760106</v>
      </c>
      <c r="BX136" s="153">
        <f t="shared" si="154"/>
        <v>0.13681652244333709</v>
      </c>
      <c r="BY136" s="153">
        <f t="shared" si="154"/>
        <v>0.14719065446075774</v>
      </c>
      <c r="BZ136" s="153">
        <f t="shared" si="154"/>
        <v>0.14498106515908993</v>
      </c>
      <c r="CA136" s="184">
        <f t="shared" si="154"/>
        <v>0.14845864348566096</v>
      </c>
      <c r="CB136" s="153">
        <f t="shared" si="154"/>
        <v>0.12802263768770916</v>
      </c>
      <c r="CC136" s="153">
        <f t="shared" si="154"/>
        <v>0.12518720148875873</v>
      </c>
      <c r="CD136" s="153">
        <f t="shared" si="154"/>
        <v>0.12394486321897724</v>
      </c>
      <c r="CE136" s="153">
        <f t="shared" si="154"/>
        <v>0.12054308289315596</v>
      </c>
      <c r="CF136" s="184">
        <f t="shared" si="154"/>
        <v>0.12414662730310089</v>
      </c>
      <c r="CI136"/>
      <c r="CJ136"/>
      <c r="CK136"/>
      <c r="CL136"/>
      <c r="CM136"/>
      <c r="CN136"/>
      <c r="CO136"/>
      <c r="CP136"/>
      <c r="CQ136"/>
      <c r="CR136"/>
      <c r="CS136"/>
    </row>
    <row r="137" spans="1:97" ht="12.75" customHeight="1" x14ac:dyDescent="0.35">
      <c r="B137" s="42" t="s">
        <v>31</v>
      </c>
      <c r="C137" s="42"/>
      <c r="D137" s="43"/>
      <c r="E137" s="84"/>
      <c r="F137" s="84"/>
      <c r="G137" s="84"/>
      <c r="H137" s="84"/>
      <c r="I137" s="159"/>
      <c r="J137" s="147"/>
      <c r="K137" s="147"/>
      <c r="L137" s="153">
        <f t="shared" ref="L137:AQ137" si="155">L135/(L95)</f>
        <v>0.21899736147757259</v>
      </c>
      <c r="M137" s="153">
        <f t="shared" si="155"/>
        <v>0.21563981042654026</v>
      </c>
      <c r="N137" s="184">
        <f t="shared" si="155"/>
        <v>0.22400442477876106</v>
      </c>
      <c r="O137" s="153">
        <f t="shared" si="155"/>
        <v>0.21335573288534213</v>
      </c>
      <c r="P137" s="153">
        <f t="shared" si="155"/>
        <v>0.22334004024144877</v>
      </c>
      <c r="Q137" s="153">
        <f t="shared" si="155"/>
        <v>0.23747680890538034</v>
      </c>
      <c r="R137" s="153">
        <f t="shared" si="155"/>
        <v>0.23719590268886034</v>
      </c>
      <c r="S137" s="184">
        <f t="shared" si="155"/>
        <v>0.22873186710341609</v>
      </c>
      <c r="T137" s="153">
        <f t="shared" si="155"/>
        <v>0.20243068742878847</v>
      </c>
      <c r="U137" s="153">
        <f t="shared" si="155"/>
        <v>0.24453209035496593</v>
      </c>
      <c r="V137" s="153">
        <f t="shared" si="155"/>
        <v>0.24825662482566252</v>
      </c>
      <c r="W137" s="153">
        <f t="shared" si="155"/>
        <v>0.22938064114534693</v>
      </c>
      <c r="X137" s="184">
        <f t="shared" si="155"/>
        <v>0.23159175867165085</v>
      </c>
      <c r="Y137" s="153">
        <f t="shared" si="155"/>
        <v>0.20859106529209617</v>
      </c>
      <c r="Z137" s="153">
        <f t="shared" si="155"/>
        <v>0.22980547312891531</v>
      </c>
      <c r="AA137" s="153">
        <f t="shared" si="155"/>
        <v>0.22834645669291345</v>
      </c>
      <c r="AB137" s="153">
        <f t="shared" si="155"/>
        <v>0.21328148369727792</v>
      </c>
      <c r="AC137" s="184">
        <f t="shared" si="155"/>
        <v>0.21996108318469285</v>
      </c>
      <c r="AD137" s="153">
        <f t="shared" si="155"/>
        <v>0.21986970684039087</v>
      </c>
      <c r="AE137" s="153">
        <f t="shared" si="155"/>
        <v>0.22880815806246019</v>
      </c>
      <c r="AF137" s="153">
        <f t="shared" si="155"/>
        <v>0.24844046650393264</v>
      </c>
      <c r="AG137" s="153">
        <f t="shared" si="155"/>
        <v>0.24614337568058076</v>
      </c>
      <c r="AH137" s="184">
        <f t="shared" si="155"/>
        <v>0.23729287562049911</v>
      </c>
      <c r="AI137" s="153">
        <f t="shared" si="155"/>
        <v>0.23697148475909546</v>
      </c>
      <c r="AJ137" s="153">
        <f t="shared" si="155"/>
        <v>0.24290444654683052</v>
      </c>
      <c r="AK137" s="153">
        <f t="shared" si="155"/>
        <v>0.28188073394495422</v>
      </c>
      <c r="AL137" s="153">
        <f t="shared" si="155"/>
        <v>0.26985151710781152</v>
      </c>
      <c r="AM137" s="184">
        <f t="shared" si="155"/>
        <v>0.25856787840258921</v>
      </c>
      <c r="AN137" s="153">
        <f t="shared" si="155"/>
        <v>0.27733050847457624</v>
      </c>
      <c r="AO137" s="153">
        <f t="shared" si="155"/>
        <v>0.2786195286195286</v>
      </c>
      <c r="AP137" s="153">
        <f t="shared" si="155"/>
        <v>0.29054464466491203</v>
      </c>
      <c r="AQ137" s="153">
        <f t="shared" si="155"/>
        <v>0.25341130604288498</v>
      </c>
      <c r="AR137" s="184">
        <f t="shared" ref="AR137:BN137" si="156">AR135/(AR95)</f>
        <v>0.27470446752980909</v>
      </c>
      <c r="AS137" s="153">
        <f t="shared" si="156"/>
        <v>0.29032258064516131</v>
      </c>
      <c r="AT137" s="153">
        <f t="shared" si="156"/>
        <v>0.28370221327967809</v>
      </c>
      <c r="AU137" s="153">
        <f t="shared" si="156"/>
        <v>0.31261770244821091</v>
      </c>
      <c r="AV137" s="153">
        <f t="shared" si="156"/>
        <v>0.2810810810810811</v>
      </c>
      <c r="AW137" s="184">
        <f t="shared" si="156"/>
        <v>0.29196729196729199</v>
      </c>
      <c r="AX137" s="153">
        <f t="shared" si="156"/>
        <v>0.32624113475177308</v>
      </c>
      <c r="AY137" s="153">
        <f t="shared" si="156"/>
        <v>0.31588132635253052</v>
      </c>
      <c r="AZ137" s="153">
        <f t="shared" si="156"/>
        <v>0.25790349417637271</v>
      </c>
      <c r="BA137" s="153">
        <f t="shared" si="156"/>
        <v>0.14820359281437126</v>
      </c>
      <c r="BB137" s="184">
        <f t="shared" si="156"/>
        <v>0.2572734829592685</v>
      </c>
      <c r="BC137" s="153">
        <f t="shared" si="156"/>
        <v>0.31942446043165468</v>
      </c>
      <c r="BD137" s="153">
        <f t="shared" si="156"/>
        <v>0.30222222222222223</v>
      </c>
      <c r="BE137" s="153">
        <f t="shared" si="156"/>
        <v>0.30072992700729928</v>
      </c>
      <c r="BF137" s="153">
        <f t="shared" si="156"/>
        <v>0.28011204481792717</v>
      </c>
      <c r="BG137" s="184">
        <f t="shared" si="156"/>
        <v>0.30046948356807512</v>
      </c>
      <c r="BH137" s="153">
        <f t="shared" si="156"/>
        <v>0.2862957937584803</v>
      </c>
      <c r="BI137" s="153">
        <f t="shared" si="156"/>
        <v>0.27576974564926371</v>
      </c>
      <c r="BJ137" s="153">
        <f t="shared" si="156"/>
        <v>0.33376288659793812</v>
      </c>
      <c r="BK137" s="153">
        <f t="shared" si="156"/>
        <v>0.31155778894472363</v>
      </c>
      <c r="BL137" s="184">
        <f t="shared" si="156"/>
        <v>0.30235602094240838</v>
      </c>
      <c r="BM137" s="153">
        <f t="shared" si="156"/>
        <v>0.29411764705882354</v>
      </c>
      <c r="BN137" s="153">
        <f t="shared" si="156"/>
        <v>0.28179551122194513</v>
      </c>
      <c r="BO137" s="153">
        <f t="shared" ref="BO137:BT137" si="157">BO135/(BO95)</f>
        <v>0.30084235860409148</v>
      </c>
      <c r="BP137" s="153">
        <f t="shared" si="157"/>
        <v>0.33603707995365006</v>
      </c>
      <c r="BQ137" s="184">
        <f t="shared" si="157"/>
        <v>0.303793626707132</v>
      </c>
      <c r="BR137" s="153">
        <f t="shared" si="157"/>
        <v>0.29802095459837019</v>
      </c>
      <c r="BS137" s="153">
        <f t="shared" si="157"/>
        <v>0.31869369369369371</v>
      </c>
      <c r="BT137" s="153">
        <f>BO137+(BT138/10000)</f>
        <v>0.3283423586040915</v>
      </c>
      <c r="BU137" s="153">
        <f>BP137+(BU138/10000)</f>
        <v>0.36353707995365009</v>
      </c>
      <c r="BV137" s="184">
        <f>BV135/(BV95)</f>
        <v>0.32801008163646433</v>
      </c>
      <c r="BW137" s="153">
        <f>BR137+(BW138/10000)</f>
        <v>0.31552095459837021</v>
      </c>
      <c r="BX137" s="153">
        <f>BS137+(BX138/10000)</f>
        <v>0.33619369369369373</v>
      </c>
      <c r="BY137" s="153">
        <f>BT137+(BY138/10000)</f>
        <v>0.34834235860409152</v>
      </c>
      <c r="BZ137" s="153">
        <f>BU137+(BZ138/10000)</f>
        <v>0.38353707995365011</v>
      </c>
      <c r="CA137" s="184">
        <f>CA135/(CA95)</f>
        <v>0.34669586443362638</v>
      </c>
      <c r="CB137" s="153">
        <f>BW137+(CB138/10000)</f>
        <v>0.32802095459837022</v>
      </c>
      <c r="CC137" s="153">
        <f>BX137+(CC138/10000)</f>
        <v>0.34869369369369374</v>
      </c>
      <c r="CD137" s="153">
        <f>BY137+(CD138/10000)</f>
        <v>0.36084235860409153</v>
      </c>
      <c r="CE137" s="153">
        <f>BZ137+(CE138/10000)</f>
        <v>0.39603707995365012</v>
      </c>
      <c r="CF137" s="184">
        <f>CF135/(CF95)</f>
        <v>0.35919753386322384</v>
      </c>
      <c r="CI137"/>
      <c r="CJ137"/>
      <c r="CK137"/>
      <c r="CL137"/>
      <c r="CM137"/>
      <c r="CN137"/>
      <c r="CO137"/>
      <c r="CP137"/>
      <c r="CQ137"/>
      <c r="CR137"/>
      <c r="CS137"/>
    </row>
    <row r="138" spans="1:97" ht="12.75" customHeight="1" x14ac:dyDescent="0.35">
      <c r="A138" s="24"/>
      <c r="B138" s="42" t="s">
        <v>60</v>
      </c>
      <c r="C138" s="42"/>
      <c r="D138" s="43"/>
      <c r="E138" s="43"/>
      <c r="F138" s="43"/>
      <c r="G138" s="43"/>
      <c r="H138" s="43"/>
      <c r="I138" s="44"/>
      <c r="J138" s="148"/>
      <c r="K138" s="148"/>
      <c r="L138" s="385">
        <f t="shared" ref="L138:AC138" si="158">(L137-G137)*10000</f>
        <v>2189.9736147757258</v>
      </c>
      <c r="M138" s="385">
        <f t="shared" si="158"/>
        <v>2156.3981042654027</v>
      </c>
      <c r="N138" s="386">
        <f t="shared" si="158"/>
        <v>2240.0442477876109</v>
      </c>
      <c r="O138" s="385">
        <f t="shared" si="158"/>
        <v>2133.557328853421</v>
      </c>
      <c r="P138" s="385">
        <f t="shared" si="158"/>
        <v>2233.4004024144879</v>
      </c>
      <c r="Q138" s="385">
        <f t="shared" si="158"/>
        <v>184.79447427807744</v>
      </c>
      <c r="R138" s="385">
        <f t="shared" si="158"/>
        <v>215.56092262320081</v>
      </c>
      <c r="S138" s="386">
        <f t="shared" si="158"/>
        <v>47.274423246550235</v>
      </c>
      <c r="T138" s="385">
        <f t="shared" si="158"/>
        <v>-109.2504545655365</v>
      </c>
      <c r="U138" s="385">
        <f t="shared" si="158"/>
        <v>211.92050113517158</v>
      </c>
      <c r="V138" s="385">
        <f t="shared" si="158"/>
        <v>107.79815920282182</v>
      </c>
      <c r="W138" s="385">
        <f t="shared" si="158"/>
        <v>-78.15261543513418</v>
      </c>
      <c r="X138" s="386">
        <f t="shared" si="158"/>
        <v>28.59891568234768</v>
      </c>
      <c r="Y138" s="385">
        <f t="shared" si="158"/>
        <v>61.603778633076978</v>
      </c>
      <c r="Z138" s="385">
        <f t="shared" si="158"/>
        <v>-147.26617226050621</v>
      </c>
      <c r="AA138" s="385">
        <f t="shared" si="158"/>
        <v>-199.10168132749067</v>
      </c>
      <c r="AB138" s="385">
        <f t="shared" si="158"/>
        <v>-160.99157448069002</v>
      </c>
      <c r="AC138" s="386">
        <f t="shared" si="158"/>
        <v>-116.30675486958009</v>
      </c>
      <c r="AD138" s="385">
        <f t="shared" ref="AD138:AH138" si="159">(AD137-Y137)*10000</f>
        <v>112.78641548294694</v>
      </c>
      <c r="AE138" s="385">
        <f t="shared" si="159"/>
        <v>-9.9731506645511772</v>
      </c>
      <c r="AF138" s="385">
        <f t="shared" si="159"/>
        <v>200.94009811019191</v>
      </c>
      <c r="AG138" s="385">
        <f t="shared" si="159"/>
        <v>328.61891983302831</v>
      </c>
      <c r="AH138" s="386">
        <f t="shared" si="159"/>
        <v>173.31792435806264</v>
      </c>
      <c r="AI138" s="385">
        <f>(AI137-AD137)*10000</f>
        <v>171.01777918704596</v>
      </c>
      <c r="AJ138" s="385">
        <f>(AJ137-AE137)*10000</f>
        <v>140.96288484370334</v>
      </c>
      <c r="AK138" s="385">
        <f>(AK137-AF137)*10000</f>
        <v>334.40267441021575</v>
      </c>
      <c r="AL138" s="385">
        <f>(AL137-AG137)*10000</f>
        <v>237.08141427230765</v>
      </c>
      <c r="AM138" s="386">
        <f>(AM137-AH137)*10000</f>
        <v>212.75002782090101</v>
      </c>
      <c r="AN138" s="385">
        <f t="shared" ref="AN138:BT138" si="160">(AN137-AI137)*10000</f>
        <v>403.59023715480782</v>
      </c>
      <c r="AO138" s="385">
        <f t="shared" si="160"/>
        <v>357.15082072698078</v>
      </c>
      <c r="AP138" s="385">
        <f t="shared" si="160"/>
        <v>86.63910719957812</v>
      </c>
      <c r="AQ138" s="385">
        <f t="shared" si="160"/>
        <v>-164.40211064926547</v>
      </c>
      <c r="AR138" s="386">
        <f t="shared" si="160"/>
        <v>161.36589127219881</v>
      </c>
      <c r="AS138" s="385">
        <f t="shared" si="160"/>
        <v>129.92072170585067</v>
      </c>
      <c r="AT138" s="385">
        <f t="shared" si="160"/>
        <v>50.82684660149495</v>
      </c>
      <c r="AU138" s="385">
        <f t="shared" si="160"/>
        <v>220.73057783298879</v>
      </c>
      <c r="AV138" s="385">
        <f t="shared" si="160"/>
        <v>276.69775038196121</v>
      </c>
      <c r="AW138" s="386">
        <f t="shared" si="160"/>
        <v>172.62824437482894</v>
      </c>
      <c r="AX138" s="385">
        <f t="shared" si="160"/>
        <v>359.18554106611765</v>
      </c>
      <c r="AY138" s="385">
        <f t="shared" si="160"/>
        <v>321.79113072852425</v>
      </c>
      <c r="AZ138" s="385">
        <f t="shared" si="160"/>
        <v>-547.14208271838208</v>
      </c>
      <c r="BA138" s="385">
        <f t="shared" si="160"/>
        <v>-1328.7748826670984</v>
      </c>
      <c r="BB138" s="386">
        <f>(BB137-AW137)*10000</f>
        <v>-346.93809008023493</v>
      </c>
      <c r="BC138" s="385">
        <f t="shared" si="160"/>
        <v>-68.166743201183991</v>
      </c>
      <c r="BD138" s="385">
        <f t="shared" si="160"/>
        <v>-136.59104130308296</v>
      </c>
      <c r="BE138" s="385">
        <f t="shared" si="160"/>
        <v>428.26432830926575</v>
      </c>
      <c r="BF138" s="385">
        <f t="shared" si="160"/>
        <v>1319.0845200355591</v>
      </c>
      <c r="BG138" s="386">
        <f>(BG137-BB137)*10000</f>
        <v>431.96000608806628</v>
      </c>
      <c r="BH138" s="385">
        <f t="shared" si="160"/>
        <v>-331.28666673174376</v>
      </c>
      <c r="BI138" s="385">
        <f t="shared" si="160"/>
        <v>-264.52476572958517</v>
      </c>
      <c r="BJ138" s="385">
        <f t="shared" si="160"/>
        <v>330.32959590638842</v>
      </c>
      <c r="BK138" s="385">
        <f t="shared" si="160"/>
        <v>314.45744126796461</v>
      </c>
      <c r="BL138" s="386">
        <f>(BL137-BG137)*10000</f>
        <v>18.865373743332526</v>
      </c>
      <c r="BM138" s="385">
        <f t="shared" si="160"/>
        <v>78.218533003432398</v>
      </c>
      <c r="BN138" s="385">
        <f t="shared" si="160"/>
        <v>60.257655726814185</v>
      </c>
      <c r="BO138" s="385">
        <f t="shared" si="160"/>
        <v>-329.2052799384665</v>
      </c>
      <c r="BP138" s="385">
        <f t="shared" si="160"/>
        <v>244.7929100892643</v>
      </c>
      <c r="BQ138" s="386">
        <f>(BQ137-BL137)*10000</f>
        <v>14.376057647236262</v>
      </c>
      <c r="BR138" s="385">
        <f t="shared" si="160"/>
        <v>39.033075395466518</v>
      </c>
      <c r="BS138" s="385">
        <f t="shared" si="160"/>
        <v>368.98182471748584</v>
      </c>
      <c r="BT138" s="623">
        <v>275</v>
      </c>
      <c r="BU138" s="623">
        <v>275</v>
      </c>
      <c r="BV138" s="386">
        <f>(BV137-BQ137)*10000</f>
        <v>242.16454929332332</v>
      </c>
      <c r="BW138" s="623">
        <v>175</v>
      </c>
      <c r="BX138" s="623">
        <v>175</v>
      </c>
      <c r="BY138" s="623">
        <v>200</v>
      </c>
      <c r="BZ138" s="623">
        <v>200</v>
      </c>
      <c r="CA138" s="386">
        <f>(CA137-BV137)*10000</f>
        <v>186.85782797162042</v>
      </c>
      <c r="CB138" s="623">
        <v>125</v>
      </c>
      <c r="CC138" s="623">
        <v>125</v>
      </c>
      <c r="CD138" s="623">
        <v>125</v>
      </c>
      <c r="CE138" s="623">
        <v>125</v>
      </c>
      <c r="CF138" s="386">
        <f>(CF137-CA137)*10000</f>
        <v>125.01669429597462</v>
      </c>
      <c r="CI138"/>
      <c r="CJ138"/>
      <c r="CK138"/>
      <c r="CL138"/>
      <c r="CM138"/>
      <c r="CN138"/>
      <c r="CO138"/>
      <c r="CP138"/>
      <c r="CQ138"/>
      <c r="CR138"/>
      <c r="CS138"/>
    </row>
    <row r="139" spans="1:97" ht="12.75" customHeight="1" x14ac:dyDescent="0.35">
      <c r="A139" s="24"/>
      <c r="B139" s="42" t="s">
        <v>61</v>
      </c>
      <c r="C139" s="42"/>
      <c r="D139" s="43"/>
      <c r="E139" s="43"/>
      <c r="F139" s="43"/>
      <c r="G139" s="43"/>
      <c r="H139" s="43"/>
      <c r="I139" s="44"/>
      <c r="J139" s="395"/>
      <c r="K139" s="395"/>
      <c r="L139" s="73">
        <f>(L137-K137)*10000</f>
        <v>2189.9736147757258</v>
      </c>
      <c r="M139" s="73">
        <f>(M137-L137)*10000</f>
        <v>-33.575510510323312</v>
      </c>
      <c r="N139" s="44"/>
      <c r="O139" s="73">
        <f>(O137-N137)*10000</f>
        <v>-106.48691893418938</v>
      </c>
      <c r="P139" s="73">
        <f>(P137-O137)*10000</f>
        <v>99.843073561066419</v>
      </c>
      <c r="Q139" s="73">
        <f>(Q137-P137)*10000</f>
        <v>141.36768663931571</v>
      </c>
      <c r="R139" s="73">
        <f>(R137-Q137)*10000</f>
        <v>-2.8090621651999381</v>
      </c>
      <c r="S139" s="44"/>
      <c r="T139" s="73">
        <f>(T137-S137)*10000</f>
        <v>-263.0117967462761</v>
      </c>
      <c r="U139" s="73">
        <f>(U137-T137)*10000</f>
        <v>421.01402926177451</v>
      </c>
      <c r="V139" s="73">
        <f>(V137-U137)*10000</f>
        <v>37.245344706965945</v>
      </c>
      <c r="W139" s="73">
        <f>(W137-V137)*10000</f>
        <v>-188.75983680315593</v>
      </c>
      <c r="X139" s="44"/>
      <c r="Y139" s="73">
        <f>(Y137-X137)*10000</f>
        <v>-230.00693379554681</v>
      </c>
      <c r="Z139" s="73">
        <f>(Z137-Y137)*10000</f>
        <v>212.14407836819132</v>
      </c>
      <c r="AA139" s="73">
        <f>(AA137-Z137)*10000</f>
        <v>-14.590164360018532</v>
      </c>
      <c r="AB139" s="73">
        <f>(AB137-AA137)*10000</f>
        <v>-150.64972995635529</v>
      </c>
      <c r="AC139" s="49"/>
      <c r="AD139" s="73">
        <f>(AD137-AC137)*10000</f>
        <v>-0.91376344301979939</v>
      </c>
      <c r="AE139" s="73">
        <f>(AE137-AD137)*10000</f>
        <v>89.38451222069321</v>
      </c>
      <c r="AF139" s="73">
        <f>(AF137-AE137)*10000</f>
        <v>196.32308441472458</v>
      </c>
      <c r="AG139" s="73">
        <f>(AG137-AF137)*10000</f>
        <v>-22.970908233518884</v>
      </c>
      <c r="AH139" s="49"/>
      <c r="AI139" s="73">
        <f>(AI137-AH137)*10000</f>
        <v>-3.2139086140364759</v>
      </c>
      <c r="AJ139" s="73">
        <f>(AJ137-AI137)*10000</f>
        <v>59.329617877350586</v>
      </c>
      <c r="AK139" s="73">
        <f>(AK137-AJ137)*10000</f>
        <v>389.76287398123696</v>
      </c>
      <c r="AL139" s="73">
        <f>(AL137-AK137)*10000</f>
        <v>-120.29216837142698</v>
      </c>
      <c r="AM139" s="49"/>
      <c r="AN139" s="73">
        <f>(AN137-AL137)*10000</f>
        <v>74.789913667647198</v>
      </c>
      <c r="AO139" s="73">
        <f>(AO137-AN137)*10000</f>
        <v>12.890201449523575</v>
      </c>
      <c r="AP139" s="73">
        <f>(AP137-AO137)*10000</f>
        <v>119.25116045383433</v>
      </c>
      <c r="AQ139" s="73">
        <f>(AQ137-AP137)*10000</f>
        <v>-371.33338622027054</v>
      </c>
      <c r="AR139" s="420"/>
      <c r="AS139" s="73">
        <f>(AS137-AQ137)*10000</f>
        <v>369.11274602276336</v>
      </c>
      <c r="AT139" s="73">
        <f>(AT137-AS137)*10000</f>
        <v>-66.203673654832158</v>
      </c>
      <c r="AU139" s="73">
        <f>(AU137-AT137)*10000</f>
        <v>289.15489168532815</v>
      </c>
      <c r="AV139" s="73">
        <f>(AV137-AU137)*10000</f>
        <v>-315.36621367129811</v>
      </c>
      <c r="AW139" s="420"/>
      <c r="AX139" s="73">
        <f>(AX137-AV137)*10000</f>
        <v>451.6005367069198</v>
      </c>
      <c r="AY139" s="73">
        <f>(AY137-AW137)*10000</f>
        <v>239.14034385238537</v>
      </c>
      <c r="AZ139" s="73">
        <f>(AZ137-AX137)*10000</f>
        <v>-683.37640575400371</v>
      </c>
      <c r="BA139" s="73">
        <f>(BA137-AY137)*10000</f>
        <v>-1676.7773353815926</v>
      </c>
      <c r="BB139" s="420"/>
      <c r="BC139" s="73">
        <f>(BC137-BA137)*10000</f>
        <v>1712.2086761728342</v>
      </c>
      <c r="BD139" s="73">
        <f>(BD137-BC137)*10000</f>
        <v>-172.02238209432451</v>
      </c>
      <c r="BE139" s="73">
        <f>(BE137-BD137)*10000</f>
        <v>-14.922952149229452</v>
      </c>
      <c r="BF139" s="73">
        <f>(BF137-BE137)*10000</f>
        <v>-206.17882189372105</v>
      </c>
      <c r="BG139" s="420"/>
      <c r="BH139" s="73">
        <f>(BH137-BF137)*10000</f>
        <v>61.837489405531244</v>
      </c>
      <c r="BI139" s="73">
        <f>(BI137-BH137)*10000</f>
        <v>-105.2604810921659</v>
      </c>
      <c r="BJ139" s="73">
        <f>(BJ137-BI137)*10000</f>
        <v>579.9314094867442</v>
      </c>
      <c r="BK139" s="73">
        <f>(BK137-BJ137)*10000</f>
        <v>-222.05097653214489</v>
      </c>
      <c r="BL139" s="420"/>
      <c r="BM139" s="73">
        <f>(BM137-BK137)*10000</f>
        <v>-174.40141885900096</v>
      </c>
      <c r="BN139" s="73">
        <f>(BN137-BM137)*10000</f>
        <v>-123.22135836878412</v>
      </c>
      <c r="BO139" s="73">
        <f>(BO137-BN137)*10000</f>
        <v>190.46847382146348</v>
      </c>
      <c r="BP139" s="73">
        <f>(BP137-BO137)*10000</f>
        <v>351.94721349558591</v>
      </c>
      <c r="BQ139" s="420"/>
      <c r="BR139" s="73">
        <f>(BR137-BP137)*10000</f>
        <v>-380.16125355279871</v>
      </c>
      <c r="BS139" s="73">
        <f>(BS137-BR137)*10000</f>
        <v>206.72739095323521</v>
      </c>
      <c r="BT139" s="73">
        <f>(BT137-BS137)*10000</f>
        <v>96.486649103977868</v>
      </c>
      <c r="BU139" s="73">
        <f>(BU137-BT137)*10000</f>
        <v>351.94721349558591</v>
      </c>
      <c r="BV139" s="420"/>
      <c r="BW139" s="73">
        <f>(BW137-BU137)*10000</f>
        <v>-480.16125355279883</v>
      </c>
      <c r="BX139" s="73">
        <f>(BX137-BW137)*10000</f>
        <v>206.72739095323521</v>
      </c>
      <c r="BY139" s="73">
        <f>(BY137-BX137)*10000</f>
        <v>121.48664910397788</v>
      </c>
      <c r="BZ139" s="73">
        <f>(BZ137-BY137)*10000</f>
        <v>351.94721349558591</v>
      </c>
      <c r="CA139" s="420"/>
      <c r="CB139" s="73">
        <f>(CB137-BZ137)*10000</f>
        <v>-555.16125355279894</v>
      </c>
      <c r="CC139" s="73">
        <f>(CC137-CB137)*10000</f>
        <v>206.72739095323521</v>
      </c>
      <c r="CD139" s="73">
        <f>(CD137-CC137)*10000</f>
        <v>121.48664910397788</v>
      </c>
      <c r="CE139" s="73">
        <f>(CE137-CD137)*10000</f>
        <v>351.94721349558591</v>
      </c>
      <c r="CF139" s="420"/>
      <c r="CI139"/>
      <c r="CJ139"/>
      <c r="CK139"/>
      <c r="CL139"/>
      <c r="CM139"/>
      <c r="CN139"/>
      <c r="CO139"/>
      <c r="CP139"/>
      <c r="CQ139"/>
      <c r="CR139"/>
      <c r="CS139"/>
    </row>
    <row r="140" spans="1:97" ht="12.75" customHeight="1" x14ac:dyDescent="0.35">
      <c r="A140" s="24"/>
      <c r="B140" s="42"/>
      <c r="C140" s="42"/>
      <c r="D140" s="43"/>
      <c r="E140" s="43"/>
      <c r="F140" s="43"/>
      <c r="G140" s="43"/>
      <c r="H140" s="43"/>
      <c r="I140" s="44"/>
      <c r="J140" s="395"/>
      <c r="K140" s="395"/>
      <c r="L140" s="395"/>
      <c r="M140" s="395"/>
      <c r="N140" s="44"/>
      <c r="O140" s="395"/>
      <c r="P140" s="395"/>
      <c r="Q140" s="395"/>
      <c r="R140" s="395"/>
      <c r="S140" s="44"/>
      <c r="T140" s="395"/>
      <c r="U140" s="395"/>
      <c r="V140" s="395"/>
      <c r="W140" s="395"/>
      <c r="X140" s="44"/>
      <c r="Y140" s="395"/>
      <c r="Z140" s="395"/>
      <c r="AA140" s="395"/>
      <c r="AB140" s="395"/>
      <c r="AC140" s="49"/>
      <c r="AD140" s="395"/>
      <c r="AE140" s="395"/>
      <c r="AF140" s="395"/>
      <c r="AG140" s="395"/>
      <c r="AH140" s="49"/>
      <c r="AI140" s="395"/>
      <c r="AJ140" s="395"/>
      <c r="AK140" s="395"/>
      <c r="AL140" s="395"/>
      <c r="AM140" s="49"/>
      <c r="AN140" s="395"/>
      <c r="AO140" s="395"/>
      <c r="AP140" s="395"/>
      <c r="AQ140" s="454"/>
      <c r="AR140" s="420"/>
      <c r="AS140" s="395"/>
      <c r="AT140" s="395"/>
      <c r="AU140" s="395"/>
      <c r="AV140" s="395"/>
      <c r="AW140" s="420"/>
      <c r="AX140" s="395"/>
      <c r="AY140" s="395"/>
      <c r="AZ140" s="395"/>
      <c r="BA140" s="395"/>
      <c r="BB140" s="420"/>
      <c r="BC140" s="395"/>
      <c r="BD140" s="395"/>
      <c r="BE140" s="395"/>
      <c r="BF140" s="395"/>
      <c r="BG140" s="420"/>
      <c r="BH140" s="395"/>
      <c r="BI140" s="395"/>
      <c r="BJ140" s="395"/>
      <c r="BK140" s="395"/>
      <c r="BL140" s="582"/>
      <c r="BM140" s="395"/>
      <c r="BN140" s="395"/>
      <c r="BO140" s="395"/>
      <c r="BP140" s="395"/>
      <c r="BQ140" s="420"/>
      <c r="BR140" s="395"/>
      <c r="BS140" s="395"/>
      <c r="BT140" s="395"/>
      <c r="BU140" s="395"/>
      <c r="BV140" s="420"/>
      <c r="BW140" s="395"/>
      <c r="BX140" s="395"/>
      <c r="BY140" s="395"/>
      <c r="BZ140" s="395"/>
      <c r="CA140" s="420"/>
      <c r="CB140" s="395"/>
      <c r="CC140" s="395"/>
      <c r="CD140" s="395"/>
      <c r="CE140" s="395"/>
      <c r="CF140" s="420"/>
      <c r="CI140"/>
      <c r="CJ140"/>
      <c r="CK140"/>
      <c r="CL140"/>
      <c r="CM140"/>
      <c r="CN140"/>
      <c r="CO140"/>
      <c r="CP140"/>
      <c r="CQ140"/>
      <c r="CR140"/>
      <c r="CS140"/>
    </row>
    <row r="141" spans="1:97" ht="12.75" customHeight="1" x14ac:dyDescent="0.35">
      <c r="A141" s="24"/>
      <c r="B141" s="218" t="s">
        <v>263</v>
      </c>
      <c r="C141" s="42"/>
      <c r="D141" s="43"/>
      <c r="E141" s="43"/>
      <c r="F141" s="43"/>
      <c r="G141" s="43"/>
      <c r="H141" s="43"/>
      <c r="I141" s="44"/>
      <c r="J141" s="395"/>
      <c r="K141" s="395"/>
      <c r="L141" s="395"/>
      <c r="M141" s="395"/>
      <c r="N141" s="44"/>
      <c r="O141" s="395"/>
      <c r="P141" s="395"/>
      <c r="Q141" s="395"/>
      <c r="R141" s="395"/>
      <c r="S141" s="44"/>
      <c r="T141" s="395"/>
      <c r="U141" s="395"/>
      <c r="V141" s="395"/>
      <c r="W141" s="395"/>
      <c r="X141" s="44"/>
      <c r="Y141" s="395"/>
      <c r="Z141" s="395"/>
      <c r="AA141" s="395"/>
      <c r="AB141" s="395"/>
      <c r="AC141" s="49"/>
      <c r="AD141" s="395"/>
      <c r="AE141" s="395"/>
      <c r="AF141" s="395"/>
      <c r="AG141" s="395"/>
      <c r="AH141" s="49"/>
      <c r="AI141" s="395"/>
      <c r="AJ141" s="395"/>
      <c r="AK141" s="395"/>
      <c r="AL141" s="395"/>
      <c r="AM141" s="49"/>
      <c r="AN141" s="395"/>
      <c r="AO141" s="395"/>
      <c r="AP141" s="395"/>
      <c r="AQ141" s="395"/>
      <c r="AR141" s="420"/>
      <c r="AS141" s="395"/>
      <c r="AT141" s="395"/>
      <c r="AU141" s="395"/>
      <c r="AV141" s="395"/>
      <c r="AW141" s="420"/>
      <c r="AX141" s="395"/>
      <c r="AY141" s="395"/>
      <c r="AZ141" s="395"/>
      <c r="BA141" s="395"/>
      <c r="BB141" s="420"/>
      <c r="BC141" s="395"/>
      <c r="BD141" s="395"/>
      <c r="BE141" s="395"/>
      <c r="BF141" s="395"/>
      <c r="BG141" s="420"/>
      <c r="BH141" s="395"/>
      <c r="BI141" s="608"/>
      <c r="BJ141" s="621"/>
      <c r="BK141" s="608"/>
      <c r="BL141" s="582"/>
      <c r="BM141" s="395"/>
      <c r="BN141" s="395"/>
      <c r="BO141" s="395"/>
      <c r="BP141" s="395"/>
      <c r="BQ141" s="420"/>
      <c r="BR141" s="395"/>
      <c r="BS141" s="395"/>
      <c r="BT141" s="395"/>
      <c r="BU141" s="395"/>
      <c r="BV141" s="420"/>
      <c r="BW141" s="395"/>
      <c r="BX141" s="395"/>
      <c r="BY141" s="395"/>
      <c r="BZ141" s="395"/>
      <c r="CA141" s="420"/>
      <c r="CB141" s="395"/>
      <c r="CC141" s="395"/>
      <c r="CD141" s="395"/>
      <c r="CE141" s="395"/>
      <c r="CF141" s="420"/>
      <c r="CI141"/>
      <c r="CJ141"/>
      <c r="CK141"/>
      <c r="CL141"/>
      <c r="CM141"/>
      <c r="CN141"/>
      <c r="CO141"/>
      <c r="CP141"/>
      <c r="CQ141"/>
      <c r="CR141"/>
      <c r="CS141"/>
    </row>
    <row r="142" spans="1:97" ht="12.75" customHeight="1" x14ac:dyDescent="0.35">
      <c r="A142" s="24"/>
      <c r="B142" s="41" t="s">
        <v>138</v>
      </c>
      <c r="C142" s="42"/>
      <c r="D142" s="43"/>
      <c r="E142" s="43"/>
      <c r="F142" s="43"/>
      <c r="G142" s="43"/>
      <c r="H142" s="43"/>
      <c r="I142" s="239"/>
      <c r="J142" s="161"/>
      <c r="K142" s="161"/>
      <c r="L142" s="225">
        <v>3</v>
      </c>
      <c r="M142" s="225">
        <v>3.2</v>
      </c>
      <c r="N142" s="245">
        <v>12.4</v>
      </c>
      <c r="O142" s="225">
        <v>3.3</v>
      </c>
      <c r="P142" s="225">
        <v>3.3</v>
      </c>
      <c r="Q142" s="225">
        <v>3.5</v>
      </c>
      <c r="R142" s="225">
        <v>3.2</v>
      </c>
      <c r="S142" s="216">
        <f>SUM(O142:R142)</f>
        <v>13.3</v>
      </c>
      <c r="T142" s="225">
        <v>3.3</v>
      </c>
      <c r="U142" s="225">
        <v>3.1</v>
      </c>
      <c r="V142" s="225">
        <v>3.3</v>
      </c>
      <c r="W142" s="225">
        <v>3.4</v>
      </c>
      <c r="X142" s="216">
        <f>SUM(T142:W142)</f>
        <v>13.1</v>
      </c>
      <c r="Y142" s="225">
        <v>2.8</v>
      </c>
      <c r="Z142" s="225">
        <v>2.8</v>
      </c>
      <c r="AA142" s="225">
        <v>4.2</v>
      </c>
      <c r="AB142" s="225">
        <v>3.7</v>
      </c>
      <c r="AC142" s="216">
        <f>SUM(Y142:AB142)</f>
        <v>13.5</v>
      </c>
      <c r="AD142" s="225">
        <v>3.7</v>
      </c>
      <c r="AE142" s="225">
        <v>3.8</v>
      </c>
      <c r="AF142" s="225">
        <v>4.0999999999999996</v>
      </c>
      <c r="AG142" s="225">
        <v>4.4000000000000004</v>
      </c>
      <c r="AH142" s="216">
        <f>SUM(AD142:AG142)</f>
        <v>16</v>
      </c>
      <c r="AI142" s="225">
        <v>5</v>
      </c>
      <c r="AJ142" s="225">
        <v>2.4</v>
      </c>
      <c r="AK142" s="225">
        <v>2.6</v>
      </c>
      <c r="AL142" s="225">
        <v>2.2999999999999998</v>
      </c>
      <c r="AM142" s="216">
        <f>SUM(AI142:AL142)</f>
        <v>12.3</v>
      </c>
      <c r="AN142" s="225">
        <v>2.4</v>
      </c>
      <c r="AO142" s="225">
        <v>2.2000000000000002</v>
      </c>
      <c r="AP142" s="225">
        <v>2.1</v>
      </c>
      <c r="AQ142" s="225">
        <v>2</v>
      </c>
      <c r="AR142" s="216">
        <f>SUM(AN142:AQ142)</f>
        <v>8.6999999999999993</v>
      </c>
      <c r="AS142" s="225">
        <v>2</v>
      </c>
      <c r="AT142" s="225">
        <v>2</v>
      </c>
      <c r="AU142" s="225">
        <v>2</v>
      </c>
      <c r="AV142" s="225">
        <v>2</v>
      </c>
      <c r="AW142" s="216">
        <f>SUM(AS142:AV142)</f>
        <v>8</v>
      </c>
      <c r="AX142" s="225">
        <v>2</v>
      </c>
      <c r="AY142" s="225">
        <v>2</v>
      </c>
      <c r="AZ142" s="225">
        <v>2</v>
      </c>
      <c r="BA142" s="225">
        <v>1</v>
      </c>
      <c r="BB142" s="216">
        <f>SUM(AX142:BA142)</f>
        <v>7</v>
      </c>
      <c r="BC142" s="225">
        <v>2</v>
      </c>
      <c r="BD142" s="225">
        <v>1</v>
      </c>
      <c r="BE142" s="225">
        <v>2</v>
      </c>
      <c r="BF142" s="225">
        <v>3</v>
      </c>
      <c r="BG142" s="216">
        <f>SUM(BC142:BF142)</f>
        <v>8</v>
      </c>
      <c r="BH142" s="225">
        <v>3</v>
      </c>
      <c r="BI142" s="225">
        <v>4</v>
      </c>
      <c r="BJ142" s="225">
        <v>3</v>
      </c>
      <c r="BK142" s="225">
        <v>3</v>
      </c>
      <c r="BL142" s="216">
        <f>SUM(BH142:BK142)</f>
        <v>13</v>
      </c>
      <c r="BM142" s="225">
        <v>3</v>
      </c>
      <c r="BN142" s="225">
        <v>4</v>
      </c>
      <c r="BO142" s="225">
        <v>3</v>
      </c>
      <c r="BP142" s="225">
        <v>3</v>
      </c>
      <c r="BQ142" s="216">
        <f>SUM(BM142:BP142)</f>
        <v>13</v>
      </c>
      <c r="BR142" s="225">
        <v>3</v>
      </c>
      <c r="BS142" s="225">
        <v>3</v>
      </c>
      <c r="BT142" s="513">
        <f>BS142</f>
        <v>3</v>
      </c>
      <c r="BU142" s="513">
        <f>BT142</f>
        <v>3</v>
      </c>
      <c r="BV142" s="216">
        <f>SUM(BR142:BU142)</f>
        <v>12</v>
      </c>
      <c r="BW142" s="513">
        <f>BU142</f>
        <v>3</v>
      </c>
      <c r="BX142" s="513">
        <f>BW142</f>
        <v>3</v>
      </c>
      <c r="BY142" s="513">
        <f>BX142</f>
        <v>3</v>
      </c>
      <c r="BZ142" s="513">
        <f>BY142</f>
        <v>3</v>
      </c>
      <c r="CA142" s="216">
        <f>SUM(BW142:BZ142)</f>
        <v>12</v>
      </c>
      <c r="CB142" s="513">
        <f>BZ142</f>
        <v>3</v>
      </c>
      <c r="CC142" s="513">
        <f>CB142</f>
        <v>3</v>
      </c>
      <c r="CD142" s="513">
        <f>CC142</f>
        <v>3</v>
      </c>
      <c r="CE142" s="513">
        <f>CD142</f>
        <v>3</v>
      </c>
      <c r="CF142" s="216">
        <f>SUM(CB142:CE142)</f>
        <v>12</v>
      </c>
      <c r="CI142"/>
      <c r="CJ142"/>
      <c r="CK142"/>
      <c r="CL142"/>
      <c r="CM142"/>
      <c r="CN142"/>
      <c r="CO142"/>
      <c r="CP142"/>
      <c r="CQ142"/>
      <c r="CR142"/>
      <c r="CS142"/>
    </row>
    <row r="143" spans="1:97" ht="12.75" customHeight="1" x14ac:dyDescent="0.35">
      <c r="A143" s="24"/>
      <c r="B143" s="41" t="s">
        <v>166</v>
      </c>
      <c r="C143" s="42"/>
      <c r="D143" s="43"/>
      <c r="E143" s="43"/>
      <c r="F143" s="43"/>
      <c r="G143" s="43"/>
      <c r="H143" s="43"/>
      <c r="I143" s="421"/>
      <c r="J143" s="395"/>
      <c r="K143" s="395"/>
      <c r="L143" s="253">
        <f t="shared" ref="L143:AQ143" si="161">L142+L95</f>
        <v>230.4</v>
      </c>
      <c r="M143" s="253">
        <f t="shared" si="161"/>
        <v>256.39999999999998</v>
      </c>
      <c r="N143" s="251">
        <f t="shared" si="161"/>
        <v>916.4</v>
      </c>
      <c r="O143" s="253">
        <f t="shared" si="161"/>
        <v>241.39999999999998</v>
      </c>
      <c r="P143" s="253">
        <f t="shared" si="161"/>
        <v>251.80000000000004</v>
      </c>
      <c r="Q143" s="253">
        <f t="shared" si="161"/>
        <v>273</v>
      </c>
      <c r="R143" s="253">
        <f t="shared" si="161"/>
        <v>315.59999999999997</v>
      </c>
      <c r="S143" s="251">
        <f t="shared" si="161"/>
        <v>1081.8</v>
      </c>
      <c r="T143" s="253">
        <f t="shared" si="161"/>
        <v>266.60000000000002</v>
      </c>
      <c r="U143" s="253">
        <f t="shared" si="161"/>
        <v>282</v>
      </c>
      <c r="V143" s="253">
        <f t="shared" si="161"/>
        <v>290.10000000000002</v>
      </c>
      <c r="W143" s="253">
        <f t="shared" si="161"/>
        <v>324.69999999999993</v>
      </c>
      <c r="X143" s="251">
        <f t="shared" si="161"/>
        <v>1163.3999999999999</v>
      </c>
      <c r="Y143" s="253">
        <f t="shared" si="161"/>
        <v>293.8</v>
      </c>
      <c r="Z143" s="253">
        <f t="shared" si="161"/>
        <v>306.10000000000002</v>
      </c>
      <c r="AA143" s="253">
        <f t="shared" si="161"/>
        <v>309</v>
      </c>
      <c r="AB143" s="253">
        <f t="shared" si="161"/>
        <v>338</v>
      </c>
      <c r="AC143" s="251">
        <f t="shared" si="161"/>
        <v>1246.9000000000001</v>
      </c>
      <c r="AD143" s="253">
        <f t="shared" si="161"/>
        <v>310.7</v>
      </c>
      <c r="AE143" s="253">
        <f t="shared" si="161"/>
        <v>317.60000000000002</v>
      </c>
      <c r="AF143" s="253">
        <f t="shared" si="161"/>
        <v>372.8</v>
      </c>
      <c r="AG143" s="253">
        <f t="shared" si="161"/>
        <v>445.2</v>
      </c>
      <c r="AH143" s="251">
        <f t="shared" si="161"/>
        <v>1446.3</v>
      </c>
      <c r="AI143" s="253">
        <f t="shared" si="161"/>
        <v>411.8</v>
      </c>
      <c r="AJ143" s="253">
        <f t="shared" si="161"/>
        <v>425.19999999999993</v>
      </c>
      <c r="AK143" s="253">
        <f t="shared" si="161"/>
        <v>438.6</v>
      </c>
      <c r="AL143" s="253">
        <f t="shared" si="161"/>
        <v>467.00000000000006</v>
      </c>
      <c r="AM143" s="251">
        <f t="shared" si="161"/>
        <v>1742.6</v>
      </c>
      <c r="AN143" s="253">
        <f t="shared" si="161"/>
        <v>474.4</v>
      </c>
      <c r="AO143" s="253">
        <f t="shared" si="161"/>
        <v>477.4</v>
      </c>
      <c r="AP143" s="253">
        <f t="shared" si="161"/>
        <v>496.00000000000006</v>
      </c>
      <c r="AQ143" s="253">
        <f t="shared" si="161"/>
        <v>515</v>
      </c>
      <c r="AR143" s="251">
        <f t="shared" ref="AR143:BW143" si="162">AR142+AR95</f>
        <v>1962.8000000000002</v>
      </c>
      <c r="AS143" s="253">
        <f t="shared" si="162"/>
        <v>498</v>
      </c>
      <c r="AT143" s="253">
        <f t="shared" si="162"/>
        <v>499</v>
      </c>
      <c r="AU143" s="253">
        <f t="shared" si="162"/>
        <v>533</v>
      </c>
      <c r="AV143" s="253">
        <f t="shared" si="162"/>
        <v>557</v>
      </c>
      <c r="AW143" s="251">
        <f t="shared" si="162"/>
        <v>2087</v>
      </c>
      <c r="AX143" s="253">
        <f t="shared" si="162"/>
        <v>566</v>
      </c>
      <c r="AY143" s="253">
        <f t="shared" si="162"/>
        <v>575</v>
      </c>
      <c r="AZ143" s="253">
        <f t="shared" si="162"/>
        <v>603</v>
      </c>
      <c r="BA143" s="253">
        <f t="shared" si="162"/>
        <v>669</v>
      </c>
      <c r="BB143" s="251">
        <f t="shared" si="162"/>
        <v>2413</v>
      </c>
      <c r="BC143" s="253">
        <f t="shared" si="162"/>
        <v>697</v>
      </c>
      <c r="BD143" s="253">
        <f t="shared" si="162"/>
        <v>676</v>
      </c>
      <c r="BE143" s="253">
        <f t="shared" si="162"/>
        <v>687</v>
      </c>
      <c r="BF143" s="253">
        <f t="shared" si="162"/>
        <v>717</v>
      </c>
      <c r="BG143" s="251">
        <f t="shared" si="162"/>
        <v>2777</v>
      </c>
      <c r="BH143" s="253">
        <f t="shared" si="162"/>
        <v>740</v>
      </c>
      <c r="BI143" s="253">
        <f t="shared" si="162"/>
        <v>751</v>
      </c>
      <c r="BJ143" s="253">
        <f t="shared" si="162"/>
        <v>779</v>
      </c>
      <c r="BK143" s="253">
        <f t="shared" si="162"/>
        <v>799</v>
      </c>
      <c r="BL143" s="251">
        <f t="shared" si="162"/>
        <v>3069</v>
      </c>
      <c r="BM143" s="253">
        <f t="shared" si="162"/>
        <v>802</v>
      </c>
      <c r="BN143" s="253">
        <f t="shared" si="162"/>
        <v>806</v>
      </c>
      <c r="BO143" s="253">
        <f>BO142+BO95</f>
        <v>834</v>
      </c>
      <c r="BP143" s="253">
        <f>BP142+BP95</f>
        <v>866</v>
      </c>
      <c r="BQ143" s="251">
        <f t="shared" si="162"/>
        <v>3308</v>
      </c>
      <c r="BR143" s="253">
        <f>BR142+BR95</f>
        <v>862</v>
      </c>
      <c r="BS143" s="253">
        <f>BS142+BS95</f>
        <v>891</v>
      </c>
      <c r="BT143" s="253">
        <f t="shared" ref="BT143" si="163">BT142+BT95</f>
        <v>912</v>
      </c>
      <c r="BU143" s="253">
        <f t="shared" si="162"/>
        <v>952.46306902074514</v>
      </c>
      <c r="BV143" s="251">
        <f t="shared" si="162"/>
        <v>3617.463069020745</v>
      </c>
      <c r="BW143" s="253">
        <f t="shared" si="162"/>
        <v>950.25537284150232</v>
      </c>
      <c r="BX143" s="253">
        <f t="shared" ref="BX143:CF143" si="164">BX142+BX95</f>
        <v>959.94559977256108</v>
      </c>
      <c r="BY143" s="253">
        <f t="shared" si="164"/>
        <v>985.92438412645333</v>
      </c>
      <c r="BZ143" s="253">
        <f t="shared" si="164"/>
        <v>1033.4282069040048</v>
      </c>
      <c r="CA143" s="251">
        <f t="shared" si="164"/>
        <v>3929.5535636445211</v>
      </c>
      <c r="CB143" s="253">
        <f t="shared" si="164"/>
        <v>1030.8068592362074</v>
      </c>
      <c r="CC143" s="253">
        <f t="shared" si="164"/>
        <v>1041.14377251356</v>
      </c>
      <c r="CD143" s="253">
        <f t="shared" si="164"/>
        <v>1069.4828870412407</v>
      </c>
      <c r="CE143" s="253">
        <f t="shared" si="164"/>
        <v>1121.195667665982</v>
      </c>
      <c r="CF143" s="251">
        <f t="shared" si="164"/>
        <v>4262.6291864569903</v>
      </c>
      <c r="CI143"/>
      <c r="CJ143"/>
      <c r="CK143"/>
      <c r="CL143"/>
      <c r="CM143"/>
      <c r="CN143"/>
      <c r="CO143"/>
      <c r="CP143"/>
      <c r="CQ143"/>
      <c r="CR143"/>
      <c r="CS143"/>
    </row>
    <row r="144" spans="1:97" s="128" customFormat="1" ht="12.75" customHeight="1" x14ac:dyDescent="0.35">
      <c r="A144" s="41"/>
      <c r="B144" s="41" t="s">
        <v>432</v>
      </c>
      <c r="C144" s="53"/>
      <c r="D144" s="54"/>
      <c r="E144" s="54"/>
      <c r="F144" s="54"/>
      <c r="G144" s="54"/>
      <c r="H144" s="54"/>
      <c r="I144" s="421"/>
      <c r="J144" s="422"/>
      <c r="K144" s="422"/>
      <c r="L144" s="252">
        <f t="shared" ref="L144:AQ144" si="165">L143-L145</f>
        <v>177.6</v>
      </c>
      <c r="M144" s="252">
        <f t="shared" si="165"/>
        <v>198.59999999999997</v>
      </c>
      <c r="N144" s="251">
        <f t="shared" si="165"/>
        <v>701.5</v>
      </c>
      <c r="O144" s="252">
        <f t="shared" si="165"/>
        <v>187.3</v>
      </c>
      <c r="P144" s="252">
        <f t="shared" si="165"/>
        <v>193</v>
      </c>
      <c r="Q144" s="252">
        <f t="shared" si="165"/>
        <v>205.5</v>
      </c>
      <c r="R144" s="252">
        <f t="shared" si="165"/>
        <v>238.3</v>
      </c>
      <c r="S144" s="251">
        <f t="shared" si="165"/>
        <v>824.09999999999991</v>
      </c>
      <c r="T144" s="252">
        <f t="shared" si="165"/>
        <v>210</v>
      </c>
      <c r="U144" s="252">
        <f t="shared" si="165"/>
        <v>210.70000000000002</v>
      </c>
      <c r="V144" s="252">
        <f t="shared" si="165"/>
        <v>215.60000000000002</v>
      </c>
      <c r="W144" s="252">
        <f t="shared" si="165"/>
        <v>247.59999999999997</v>
      </c>
      <c r="X144" s="251">
        <f t="shared" si="165"/>
        <v>883.89999999999986</v>
      </c>
      <c r="Y144" s="252">
        <f t="shared" si="165"/>
        <v>230.3</v>
      </c>
      <c r="Z144" s="252">
        <f t="shared" si="165"/>
        <v>233.60000000000002</v>
      </c>
      <c r="AA144" s="252">
        <f t="shared" si="165"/>
        <v>235.2</v>
      </c>
      <c r="AB144" s="252">
        <f t="shared" si="165"/>
        <v>263</v>
      </c>
      <c r="AC144" s="251">
        <f t="shared" si="165"/>
        <v>962.09999999999991</v>
      </c>
      <c r="AD144" s="252">
        <f t="shared" si="165"/>
        <v>239.5</v>
      </c>
      <c r="AE144" s="252">
        <f t="shared" si="165"/>
        <v>242</v>
      </c>
      <c r="AF144" s="252">
        <f t="shared" si="165"/>
        <v>277.10000000000002</v>
      </c>
      <c r="AG144" s="252">
        <f t="shared" si="165"/>
        <v>332.29999999999995</v>
      </c>
      <c r="AH144" s="251">
        <f t="shared" si="165"/>
        <v>1090.9000000000001</v>
      </c>
      <c r="AI144" s="252">
        <f t="shared" si="165"/>
        <v>310.39999999999998</v>
      </c>
      <c r="AJ144" s="252">
        <f t="shared" si="165"/>
        <v>320.10000000000002</v>
      </c>
      <c r="AK144" s="252">
        <f t="shared" si="165"/>
        <v>313.10000000000002</v>
      </c>
      <c r="AL144" s="252">
        <f t="shared" si="165"/>
        <v>339.3</v>
      </c>
      <c r="AM144" s="251">
        <f t="shared" si="165"/>
        <v>1282.8999999999999</v>
      </c>
      <c r="AN144" s="252">
        <f t="shared" si="165"/>
        <v>341.1</v>
      </c>
      <c r="AO144" s="252">
        <f t="shared" si="165"/>
        <v>342.8</v>
      </c>
      <c r="AP144" s="252">
        <f t="shared" si="165"/>
        <v>350.4</v>
      </c>
      <c r="AQ144" s="252">
        <f t="shared" si="165"/>
        <v>383</v>
      </c>
      <c r="AR144" s="251">
        <f t="shared" ref="AR144:BV144" si="166">AR143-AR145</f>
        <v>1417.3000000000002</v>
      </c>
      <c r="AS144" s="252">
        <f t="shared" si="166"/>
        <v>352</v>
      </c>
      <c r="AT144" s="252">
        <f t="shared" si="166"/>
        <v>356</v>
      </c>
      <c r="AU144" s="252">
        <f t="shared" si="166"/>
        <v>365</v>
      </c>
      <c r="AV144" s="252">
        <f t="shared" si="166"/>
        <v>399</v>
      </c>
      <c r="AW144" s="251">
        <f t="shared" si="166"/>
        <v>1472</v>
      </c>
      <c r="AX144" s="252">
        <f t="shared" si="166"/>
        <v>380</v>
      </c>
      <c r="AY144" s="252">
        <f t="shared" si="166"/>
        <v>392</v>
      </c>
      <c r="AZ144" s="252">
        <f t="shared" si="166"/>
        <v>446</v>
      </c>
      <c r="BA144" s="252">
        <f t="shared" si="166"/>
        <v>569</v>
      </c>
      <c r="BB144" s="251">
        <f t="shared" si="166"/>
        <v>1787</v>
      </c>
      <c r="BC144" s="253">
        <f t="shared" si="166"/>
        <v>473</v>
      </c>
      <c r="BD144" s="253">
        <f t="shared" si="166"/>
        <v>471</v>
      </c>
      <c r="BE144" s="253">
        <f t="shared" si="166"/>
        <v>479</v>
      </c>
      <c r="BF144" s="253">
        <f t="shared" si="166"/>
        <v>514</v>
      </c>
      <c r="BG144" s="251">
        <f t="shared" si="166"/>
        <v>1937</v>
      </c>
      <c r="BH144" s="253">
        <f t="shared" si="166"/>
        <v>526</v>
      </c>
      <c r="BI144" s="253">
        <f t="shared" si="166"/>
        <v>541</v>
      </c>
      <c r="BJ144" s="253">
        <f t="shared" si="166"/>
        <v>517</v>
      </c>
      <c r="BK144" s="253">
        <f t="shared" si="166"/>
        <v>548</v>
      </c>
      <c r="BL144" s="251">
        <f t="shared" si="166"/>
        <v>2132</v>
      </c>
      <c r="BM144" s="253">
        <f>BM143-BM145</f>
        <v>564</v>
      </c>
      <c r="BN144" s="253">
        <f>BN143-BN145</f>
        <v>576</v>
      </c>
      <c r="BO144" s="253">
        <f>BO143-BO145</f>
        <v>581</v>
      </c>
      <c r="BP144" s="253">
        <f>BP143-BP145</f>
        <v>573</v>
      </c>
      <c r="BQ144" s="251">
        <f t="shared" si="166"/>
        <v>2294</v>
      </c>
      <c r="BR144" s="253">
        <f>BR143-BR145</f>
        <v>603</v>
      </c>
      <c r="BS144" s="253">
        <f>BS143-BS145</f>
        <v>605</v>
      </c>
      <c r="BT144" s="253">
        <f t="shared" ref="BT144" si="167">BT143-BT145</f>
        <v>610.53679602888087</v>
      </c>
      <c r="BU144" s="253">
        <f t="shared" si="166"/>
        <v>604.29803738511259</v>
      </c>
      <c r="BV144" s="251">
        <f t="shared" si="166"/>
        <v>2422.8348334139932</v>
      </c>
      <c r="BW144" s="253">
        <f t="shared" ref="BW144:CF144" si="168">BW143-BW145</f>
        <v>648.37645335411639</v>
      </c>
      <c r="BX144" s="253">
        <f t="shared" si="168"/>
        <v>635.22652392109671</v>
      </c>
      <c r="BY144" s="253">
        <f t="shared" si="168"/>
        <v>640.53018583037056</v>
      </c>
      <c r="BZ144" s="253">
        <f t="shared" si="168"/>
        <v>635.22078132616718</v>
      </c>
      <c r="CA144" s="251">
        <f t="shared" si="168"/>
        <v>2559.3539444317503</v>
      </c>
      <c r="CB144" s="253">
        <f t="shared" si="168"/>
        <v>690.6646721267939</v>
      </c>
      <c r="CC144" s="253">
        <f t="shared" si="168"/>
        <v>676.14958589070102</v>
      </c>
      <c r="CD144" s="253">
        <f t="shared" si="168"/>
        <v>681.65068667037849</v>
      </c>
      <c r="CE144" s="253">
        <f t="shared" si="168"/>
        <v>675.34872062672434</v>
      </c>
      <c r="CF144" s="251">
        <f t="shared" si="168"/>
        <v>2723.813665314598</v>
      </c>
    </row>
    <row r="145" spans="1:97" ht="12.75" customHeight="1" x14ac:dyDescent="0.35">
      <c r="A145" s="24"/>
      <c r="B145" s="58" t="s">
        <v>262</v>
      </c>
      <c r="C145" s="53"/>
      <c r="D145" s="54"/>
      <c r="E145" s="54"/>
      <c r="F145" s="54"/>
      <c r="G145" s="54"/>
      <c r="H145" s="54"/>
      <c r="I145" s="423"/>
      <c r="J145" s="430"/>
      <c r="K145" s="430"/>
      <c r="L145" s="331">
        <f t="shared" ref="L145:BG145" si="169">L135+L142</f>
        <v>52.800000000000011</v>
      </c>
      <c r="M145" s="331">
        <f t="shared" si="169"/>
        <v>57.8</v>
      </c>
      <c r="N145" s="330">
        <f t="shared" si="169"/>
        <v>214.9</v>
      </c>
      <c r="O145" s="331">
        <f t="shared" si="169"/>
        <v>54.099999999999952</v>
      </c>
      <c r="P145" s="331">
        <f t="shared" si="169"/>
        <v>58.800000000000026</v>
      </c>
      <c r="Q145" s="331">
        <f t="shared" si="169"/>
        <v>67.5</v>
      </c>
      <c r="R145" s="331">
        <f t="shared" si="169"/>
        <v>77.299999999999969</v>
      </c>
      <c r="S145" s="330">
        <f t="shared" si="169"/>
        <v>257.7000000000001</v>
      </c>
      <c r="T145" s="331">
        <f t="shared" si="169"/>
        <v>56.600000000000009</v>
      </c>
      <c r="U145" s="331">
        <f t="shared" si="169"/>
        <v>71.299999999999983</v>
      </c>
      <c r="V145" s="331">
        <f t="shared" si="169"/>
        <v>74.500000000000014</v>
      </c>
      <c r="W145" s="331">
        <f t="shared" si="169"/>
        <v>77.099999999999966</v>
      </c>
      <c r="X145" s="330">
        <f t="shared" si="169"/>
        <v>279.5</v>
      </c>
      <c r="Y145" s="331">
        <f t="shared" si="169"/>
        <v>63.499999999999986</v>
      </c>
      <c r="Z145" s="331">
        <f t="shared" si="169"/>
        <v>72.500000000000014</v>
      </c>
      <c r="AA145" s="331">
        <f t="shared" si="169"/>
        <v>73.800000000000026</v>
      </c>
      <c r="AB145" s="331">
        <f t="shared" si="169"/>
        <v>75.000000000000014</v>
      </c>
      <c r="AC145" s="330">
        <f t="shared" si="169"/>
        <v>284.80000000000018</v>
      </c>
      <c r="AD145" s="331">
        <f t="shared" si="169"/>
        <v>71.2</v>
      </c>
      <c r="AE145" s="331">
        <f t="shared" si="169"/>
        <v>75.600000000000009</v>
      </c>
      <c r="AF145" s="331">
        <f t="shared" si="169"/>
        <v>95.69999999999996</v>
      </c>
      <c r="AG145" s="331">
        <f t="shared" si="169"/>
        <v>112.9</v>
      </c>
      <c r="AH145" s="330">
        <f t="shared" si="169"/>
        <v>355.39999999999986</v>
      </c>
      <c r="AI145" s="331">
        <f t="shared" si="169"/>
        <v>101.40000000000003</v>
      </c>
      <c r="AJ145" s="331">
        <f t="shared" si="169"/>
        <v>105.09999999999994</v>
      </c>
      <c r="AK145" s="331">
        <f t="shared" si="169"/>
        <v>125.50000000000003</v>
      </c>
      <c r="AL145" s="331">
        <f t="shared" si="169"/>
        <v>127.70000000000003</v>
      </c>
      <c r="AM145" s="330">
        <f t="shared" si="169"/>
        <v>459.7000000000001</v>
      </c>
      <c r="AN145" s="331">
        <f t="shared" si="169"/>
        <v>133.29999999999998</v>
      </c>
      <c r="AO145" s="331">
        <f t="shared" si="169"/>
        <v>134.59999999999997</v>
      </c>
      <c r="AP145" s="331">
        <f t="shared" si="169"/>
        <v>145.60000000000005</v>
      </c>
      <c r="AQ145" s="331">
        <f t="shared" si="169"/>
        <v>132</v>
      </c>
      <c r="AR145" s="330">
        <f t="shared" si="169"/>
        <v>545.5</v>
      </c>
      <c r="AS145" s="331">
        <f t="shared" si="169"/>
        <v>146</v>
      </c>
      <c r="AT145" s="331">
        <f t="shared" si="169"/>
        <v>143</v>
      </c>
      <c r="AU145" s="331">
        <f t="shared" si="169"/>
        <v>168</v>
      </c>
      <c r="AV145" s="331">
        <f t="shared" si="169"/>
        <v>158</v>
      </c>
      <c r="AW145" s="330">
        <f t="shared" si="169"/>
        <v>615</v>
      </c>
      <c r="AX145" s="331">
        <f t="shared" si="169"/>
        <v>186</v>
      </c>
      <c r="AY145" s="331">
        <f t="shared" si="169"/>
        <v>183</v>
      </c>
      <c r="AZ145" s="331">
        <f t="shared" si="169"/>
        <v>157</v>
      </c>
      <c r="BA145" s="331">
        <f t="shared" si="169"/>
        <v>100</v>
      </c>
      <c r="BB145" s="330">
        <f t="shared" si="169"/>
        <v>626</v>
      </c>
      <c r="BC145" s="331">
        <f t="shared" si="169"/>
        <v>224</v>
      </c>
      <c r="BD145" s="331">
        <f t="shared" si="169"/>
        <v>205</v>
      </c>
      <c r="BE145" s="331">
        <f t="shared" si="169"/>
        <v>208</v>
      </c>
      <c r="BF145" s="331">
        <f t="shared" si="169"/>
        <v>203</v>
      </c>
      <c r="BG145" s="330">
        <f t="shared" si="169"/>
        <v>840</v>
      </c>
      <c r="BH145" s="331">
        <f t="shared" ref="BH145:BQ145" si="170">BH135+BH142</f>
        <v>214</v>
      </c>
      <c r="BI145" s="331">
        <f t="shared" si="170"/>
        <v>210</v>
      </c>
      <c r="BJ145" s="331">
        <f t="shared" si="170"/>
        <v>262</v>
      </c>
      <c r="BK145" s="331">
        <f t="shared" si="170"/>
        <v>251</v>
      </c>
      <c r="BL145" s="330">
        <f t="shared" si="170"/>
        <v>937</v>
      </c>
      <c r="BM145" s="331">
        <f>BM135+BM142</f>
        <v>238</v>
      </c>
      <c r="BN145" s="331">
        <f>BN135+BN142</f>
        <v>230</v>
      </c>
      <c r="BO145" s="331">
        <f>BO135+BO142</f>
        <v>253</v>
      </c>
      <c r="BP145" s="331">
        <f>BP135+BP142</f>
        <v>293</v>
      </c>
      <c r="BQ145" s="330">
        <f t="shared" si="170"/>
        <v>1014</v>
      </c>
      <c r="BR145" s="331">
        <f>BR135+BR142</f>
        <v>259</v>
      </c>
      <c r="BS145" s="331">
        <f>BS135+BS142</f>
        <v>286</v>
      </c>
      <c r="BT145" s="331">
        <f t="shared" ref="BT145" si="171">BT135+BT142</f>
        <v>301.46320397111919</v>
      </c>
      <c r="BU145" s="331">
        <f t="shared" ref="BU145:CA145" si="172">BU135+BU142</f>
        <v>348.1650316356326</v>
      </c>
      <c r="BV145" s="330">
        <f t="shared" si="172"/>
        <v>1194.6282356067518</v>
      </c>
      <c r="BW145" s="331">
        <f t="shared" si="172"/>
        <v>301.87891948738587</v>
      </c>
      <c r="BX145" s="331">
        <f t="shared" si="172"/>
        <v>324.71907585146442</v>
      </c>
      <c r="BY145" s="331">
        <f t="shared" si="172"/>
        <v>345.39419829608283</v>
      </c>
      <c r="BZ145" s="331">
        <f t="shared" si="172"/>
        <v>398.20742557783763</v>
      </c>
      <c r="CA145" s="330">
        <f t="shared" si="172"/>
        <v>1370.1996192127708</v>
      </c>
      <c r="CB145" s="331">
        <f>CB135+CB142</f>
        <v>340.1421871094135</v>
      </c>
      <c r="CC145" s="331">
        <f>CC135+CC142</f>
        <v>364.99418662285893</v>
      </c>
      <c r="CD145" s="331">
        <f>CD135+CD142</f>
        <v>387.83220037086221</v>
      </c>
      <c r="CE145" s="331">
        <f>CE135+CE142</f>
        <v>445.84694703925771</v>
      </c>
      <c r="CF145" s="330">
        <f>CF135+CF142</f>
        <v>1538.8155211423923</v>
      </c>
      <c r="CI145"/>
      <c r="CJ145"/>
      <c r="CK145"/>
      <c r="CL145"/>
      <c r="CM145"/>
      <c r="CN145"/>
      <c r="CO145"/>
      <c r="CP145"/>
      <c r="CQ145"/>
      <c r="CR145"/>
      <c r="CS145"/>
    </row>
    <row r="146" spans="1:97" ht="12.75" customHeight="1" x14ac:dyDescent="0.35">
      <c r="A146" s="24"/>
      <c r="B146" s="58" t="s">
        <v>165</v>
      </c>
      <c r="C146" s="53"/>
      <c r="D146" s="54"/>
      <c r="E146" s="54"/>
      <c r="F146" s="54"/>
      <c r="G146" s="54"/>
      <c r="H146" s="54"/>
      <c r="I146" s="333"/>
      <c r="J146" s="332"/>
      <c r="K146" s="332"/>
      <c r="L146" s="431">
        <f t="shared" ref="L146:AQ146" si="173">L145/L143</f>
        <v>0.22916666666666671</v>
      </c>
      <c r="M146" s="431">
        <f t="shared" si="173"/>
        <v>0.22542901716068645</v>
      </c>
      <c r="N146" s="432">
        <f t="shared" si="173"/>
        <v>0.23450458315146225</v>
      </c>
      <c r="O146" s="431">
        <f t="shared" si="173"/>
        <v>0.22410936205468085</v>
      </c>
      <c r="P146" s="431">
        <f t="shared" si="173"/>
        <v>0.23351866560762516</v>
      </c>
      <c r="Q146" s="431">
        <f t="shared" si="173"/>
        <v>0.24725274725274726</v>
      </c>
      <c r="R146" s="431">
        <f t="shared" si="173"/>
        <v>0.2449302915082382</v>
      </c>
      <c r="S146" s="432">
        <f t="shared" si="173"/>
        <v>0.238214087631725</v>
      </c>
      <c r="T146" s="431">
        <f t="shared" si="173"/>
        <v>0.21230307576894225</v>
      </c>
      <c r="U146" s="431">
        <f t="shared" si="173"/>
        <v>0.25283687943262406</v>
      </c>
      <c r="V146" s="431">
        <f t="shared" si="173"/>
        <v>0.25680799724233028</v>
      </c>
      <c r="W146" s="431">
        <f t="shared" si="173"/>
        <v>0.23744995380351089</v>
      </c>
      <c r="X146" s="432">
        <f t="shared" si="173"/>
        <v>0.24024411208526736</v>
      </c>
      <c r="Y146" s="431">
        <f t="shared" si="173"/>
        <v>0.2161334240980258</v>
      </c>
      <c r="Z146" s="431">
        <f t="shared" si="173"/>
        <v>0.23685070238484157</v>
      </c>
      <c r="AA146" s="431">
        <f t="shared" si="173"/>
        <v>0.23883495145631076</v>
      </c>
      <c r="AB146" s="431">
        <f t="shared" si="173"/>
        <v>0.22189349112426041</v>
      </c>
      <c r="AC146" s="432">
        <f t="shared" si="173"/>
        <v>0.22840644799101786</v>
      </c>
      <c r="AD146" s="431">
        <f t="shared" si="173"/>
        <v>0.22915996137753461</v>
      </c>
      <c r="AE146" s="431">
        <f t="shared" si="173"/>
        <v>0.23803526448362722</v>
      </c>
      <c r="AF146" s="431">
        <f t="shared" si="173"/>
        <v>0.25670600858369086</v>
      </c>
      <c r="AG146" s="431">
        <f t="shared" si="173"/>
        <v>0.25359389038634322</v>
      </c>
      <c r="AH146" s="432">
        <f t="shared" si="173"/>
        <v>0.24573048468505834</v>
      </c>
      <c r="AI146" s="431">
        <f t="shared" si="173"/>
        <v>0.24623603691112197</v>
      </c>
      <c r="AJ146" s="431">
        <f t="shared" si="173"/>
        <v>0.2471777986829726</v>
      </c>
      <c r="AK146" s="431">
        <f t="shared" si="173"/>
        <v>0.28613771089831286</v>
      </c>
      <c r="AL146" s="431">
        <f t="shared" si="173"/>
        <v>0.27344753747323342</v>
      </c>
      <c r="AM146" s="432">
        <f t="shared" si="173"/>
        <v>0.26380121657293704</v>
      </c>
      <c r="AN146" s="431">
        <f t="shared" si="173"/>
        <v>0.28098650927487351</v>
      </c>
      <c r="AO146" s="431">
        <f t="shared" si="173"/>
        <v>0.28194386258902382</v>
      </c>
      <c r="AP146" s="431">
        <f t="shared" si="173"/>
        <v>0.29354838709677428</v>
      </c>
      <c r="AQ146" s="431">
        <f t="shared" si="173"/>
        <v>0.25631067961165049</v>
      </c>
      <c r="AR146" s="432">
        <f t="shared" ref="AR146:BV146" si="174">AR145/AR143</f>
        <v>0.27791929896066841</v>
      </c>
      <c r="AS146" s="431">
        <f t="shared" si="174"/>
        <v>0.29317269076305219</v>
      </c>
      <c r="AT146" s="431">
        <f t="shared" si="174"/>
        <v>0.28657314629258518</v>
      </c>
      <c r="AU146" s="431">
        <f t="shared" si="174"/>
        <v>0.3151969981238274</v>
      </c>
      <c r="AV146" s="431">
        <f t="shared" si="174"/>
        <v>0.28366247755834828</v>
      </c>
      <c r="AW146" s="432">
        <f t="shared" si="174"/>
        <v>0.29468136080498325</v>
      </c>
      <c r="AX146" s="431">
        <f t="shared" si="174"/>
        <v>0.32862190812720848</v>
      </c>
      <c r="AY146" s="431">
        <f t="shared" si="174"/>
        <v>0.31826086956521737</v>
      </c>
      <c r="AZ146" s="431">
        <f t="shared" si="174"/>
        <v>0.26036484245439467</v>
      </c>
      <c r="BA146" s="431">
        <f t="shared" si="174"/>
        <v>0.14947683109118087</v>
      </c>
      <c r="BB146" s="432">
        <f t="shared" si="174"/>
        <v>0.25942809780356402</v>
      </c>
      <c r="BC146" s="431">
        <f t="shared" si="174"/>
        <v>0.321377331420373</v>
      </c>
      <c r="BD146" s="431">
        <f t="shared" si="174"/>
        <v>0.30325443786982248</v>
      </c>
      <c r="BE146" s="431">
        <f t="shared" si="174"/>
        <v>0.3027656477438137</v>
      </c>
      <c r="BF146" s="431">
        <f t="shared" si="174"/>
        <v>0.28312412831241285</v>
      </c>
      <c r="BG146" s="432">
        <f t="shared" si="174"/>
        <v>0.30248469571480013</v>
      </c>
      <c r="BH146" s="431">
        <f t="shared" si="174"/>
        <v>0.28918918918918918</v>
      </c>
      <c r="BI146" s="431">
        <f t="shared" si="174"/>
        <v>0.2796271637816245</v>
      </c>
      <c r="BJ146" s="431">
        <f t="shared" si="174"/>
        <v>0.33632862644415917</v>
      </c>
      <c r="BK146" s="431">
        <f t="shared" si="174"/>
        <v>0.31414267834793491</v>
      </c>
      <c r="BL146" s="432">
        <f t="shared" si="174"/>
        <v>0.30531117627891824</v>
      </c>
      <c r="BM146" s="431">
        <f>BM145/BM143</f>
        <v>0.29675810473815462</v>
      </c>
      <c r="BN146" s="431">
        <f>BN145/BN143</f>
        <v>0.28535980148883372</v>
      </c>
      <c r="BO146" s="431">
        <f>BO145/BO143</f>
        <v>0.30335731414868106</v>
      </c>
      <c r="BP146" s="431">
        <f>BP145/BP143</f>
        <v>0.33833718244803695</v>
      </c>
      <c r="BQ146" s="432">
        <f t="shared" si="174"/>
        <v>0.30652962515114873</v>
      </c>
      <c r="BR146" s="431">
        <f>BR145/BR143</f>
        <v>0.30046403712296982</v>
      </c>
      <c r="BS146" s="431">
        <f t="shared" si="174"/>
        <v>0.32098765432098764</v>
      </c>
      <c r="BT146" s="431">
        <f t="shared" ref="BT146" si="175">BT145/BT143</f>
        <v>0.33055175874026227</v>
      </c>
      <c r="BU146" s="431">
        <f t="shared" si="174"/>
        <v>0.36554176530287014</v>
      </c>
      <c r="BV146" s="432">
        <f t="shared" si="174"/>
        <v>0.33023923473810063</v>
      </c>
      <c r="BW146" s="431">
        <f t="shared" ref="BW146:CF146" si="176">BW145/BW143</f>
        <v>0.31768188648562129</v>
      </c>
      <c r="BX146" s="431">
        <f t="shared" si="176"/>
        <v>0.33826820595708734</v>
      </c>
      <c r="BY146" s="431">
        <f t="shared" si="176"/>
        <v>0.35032524183090197</v>
      </c>
      <c r="BZ146" s="431">
        <f t="shared" si="176"/>
        <v>0.3853266467061191</v>
      </c>
      <c r="CA146" s="432">
        <f t="shared" si="176"/>
        <v>0.34869091285320447</v>
      </c>
      <c r="CB146" s="431">
        <f t="shared" si="176"/>
        <v>0.32997664311377128</v>
      </c>
      <c r="CC146" s="431">
        <f t="shared" si="176"/>
        <v>0.35057039792081668</v>
      </c>
      <c r="CD146" s="431">
        <f t="shared" si="176"/>
        <v>0.36263525585137002</v>
      </c>
      <c r="CE146" s="431">
        <f t="shared" si="176"/>
        <v>0.39765311256275832</v>
      </c>
      <c r="CF146" s="432">
        <f t="shared" si="176"/>
        <v>0.36100149786226754</v>
      </c>
      <c r="CI146"/>
      <c r="CJ146"/>
      <c r="CK146"/>
      <c r="CL146"/>
      <c r="CM146"/>
      <c r="CN146"/>
      <c r="CO146"/>
      <c r="CP146"/>
      <c r="CQ146"/>
      <c r="CR146"/>
      <c r="CS146"/>
    </row>
    <row r="147" spans="1:97" ht="12.75" customHeight="1" x14ac:dyDescent="0.35">
      <c r="A147" s="41"/>
      <c r="B147" s="42" t="s">
        <v>60</v>
      </c>
      <c r="C147" s="42"/>
      <c r="D147" s="43"/>
      <c r="E147" s="43"/>
      <c r="F147" s="43"/>
      <c r="G147" s="43"/>
      <c r="H147" s="43"/>
      <c r="I147" s="44"/>
      <c r="J147" s="148"/>
      <c r="K147" s="148"/>
      <c r="L147" s="385">
        <f t="shared" ref="L147:AV147" si="177">(L146-G146)*10000</f>
        <v>2291.666666666667</v>
      </c>
      <c r="M147" s="385">
        <f t="shared" si="177"/>
        <v>2254.2901716068645</v>
      </c>
      <c r="N147" s="386">
        <f t="shared" si="177"/>
        <v>2345.0458315146225</v>
      </c>
      <c r="O147" s="385">
        <f t="shared" si="177"/>
        <v>2241.0936205468083</v>
      </c>
      <c r="P147" s="385">
        <f t="shared" si="177"/>
        <v>2335.1866560762514</v>
      </c>
      <c r="Q147" s="385">
        <f t="shared" si="177"/>
        <v>180.8608058608055</v>
      </c>
      <c r="R147" s="385">
        <f t="shared" si="177"/>
        <v>195.01274347551751</v>
      </c>
      <c r="S147" s="386">
        <f t="shared" si="177"/>
        <v>37.095044802627484</v>
      </c>
      <c r="T147" s="385">
        <f t="shared" si="177"/>
        <v>-118.06286285738598</v>
      </c>
      <c r="U147" s="385">
        <f t="shared" si="177"/>
        <v>193.18213824998904</v>
      </c>
      <c r="V147" s="385">
        <f t="shared" si="177"/>
        <v>95.552499895830152</v>
      </c>
      <c r="W147" s="385">
        <f t="shared" si="177"/>
        <v>-74.803377047273074</v>
      </c>
      <c r="X147" s="386">
        <f t="shared" si="177"/>
        <v>20.300244535423616</v>
      </c>
      <c r="Y147" s="385">
        <f t="shared" si="177"/>
        <v>38.303483290835494</v>
      </c>
      <c r="Z147" s="385">
        <f t="shared" si="177"/>
        <v>-159.8617704778249</v>
      </c>
      <c r="AA147" s="385">
        <f t="shared" si="177"/>
        <v>-179.7304578601952</v>
      </c>
      <c r="AB147" s="385">
        <f t="shared" si="177"/>
        <v>-155.56462679250481</v>
      </c>
      <c r="AC147" s="386">
        <f t="shared" si="177"/>
        <v>-118.37664094249494</v>
      </c>
      <c r="AD147" s="385">
        <f t="shared" si="177"/>
        <v>130.2653727950881</v>
      </c>
      <c r="AE147" s="385">
        <f t="shared" si="177"/>
        <v>11.845620987856464</v>
      </c>
      <c r="AF147" s="385">
        <f t="shared" si="177"/>
        <v>178.71057127380101</v>
      </c>
      <c r="AG147" s="385">
        <f t="shared" si="177"/>
        <v>317.00399262082817</v>
      </c>
      <c r="AH147" s="386">
        <f t="shared" si="177"/>
        <v>173.24036694040478</v>
      </c>
      <c r="AI147" s="385">
        <f>(AI146-AD146)*10000</f>
        <v>170.76075533587365</v>
      </c>
      <c r="AJ147" s="385">
        <f>(AJ146-AE146)*10000</f>
        <v>91.425341993453813</v>
      </c>
      <c r="AK147" s="385">
        <f>(AK146-AF146)*10000</f>
        <v>294.31702314621998</v>
      </c>
      <c r="AL147" s="385">
        <f>(AL146-AG146)*10000</f>
        <v>198.53647086890192</v>
      </c>
      <c r="AM147" s="386">
        <f>(AM146-AH146)*10000</f>
        <v>180.70731887878694</v>
      </c>
      <c r="AN147" s="385">
        <f t="shared" si="177"/>
        <v>347.50472363751533</v>
      </c>
      <c r="AO147" s="385">
        <f t="shared" si="177"/>
        <v>347.66063906051221</v>
      </c>
      <c r="AP147" s="385">
        <f t="shared" si="177"/>
        <v>74.106761984614195</v>
      </c>
      <c r="AQ147" s="385">
        <f t="shared" si="177"/>
        <v>-171.36857861582922</v>
      </c>
      <c r="AR147" s="386">
        <f t="shared" si="177"/>
        <v>141.1808238773138</v>
      </c>
      <c r="AS147" s="385">
        <f t="shared" si="177"/>
        <v>121.86181488178683</v>
      </c>
      <c r="AT147" s="385">
        <f t="shared" si="177"/>
        <v>46.292837035613601</v>
      </c>
      <c r="AU147" s="385">
        <f t="shared" si="177"/>
        <v>216.48611027053121</v>
      </c>
      <c r="AV147" s="385">
        <f t="shared" si="177"/>
        <v>273.51797946697786</v>
      </c>
      <c r="AW147" s="386">
        <f t="shared" ref="AW147:BC147" si="178">(AW146-AR146)*10000</f>
        <v>167.62061844314835</v>
      </c>
      <c r="AX147" s="385">
        <f t="shared" si="178"/>
        <v>354.49217364156294</v>
      </c>
      <c r="AY147" s="385">
        <f t="shared" si="178"/>
        <v>316.87723272632195</v>
      </c>
      <c r="AZ147" s="385">
        <f t="shared" si="178"/>
        <v>-548.32155669432723</v>
      </c>
      <c r="BA147" s="385">
        <f t="shared" si="178"/>
        <v>-1341.8564646716741</v>
      </c>
      <c r="BB147" s="386">
        <f>(BB146-AW146)*10000</f>
        <v>-352.53263001419231</v>
      </c>
      <c r="BC147" s="385">
        <f t="shared" si="178"/>
        <v>-72.445767068354812</v>
      </c>
      <c r="BD147" s="385">
        <f t="shared" ref="BD147:BV147" si="179">(BD146-AY146)*10000</f>
        <v>-150.06431695394895</v>
      </c>
      <c r="BE147" s="385">
        <f t="shared" si="179"/>
        <v>424.00805289419031</v>
      </c>
      <c r="BF147" s="385">
        <f t="shared" si="179"/>
        <v>1336.4729722123197</v>
      </c>
      <c r="BG147" s="386">
        <f t="shared" si="179"/>
        <v>430.56597911236116</v>
      </c>
      <c r="BH147" s="385">
        <f t="shared" si="179"/>
        <v>-321.88142231183826</v>
      </c>
      <c r="BI147" s="385">
        <f t="shared" si="179"/>
        <v>-236.27274088197981</v>
      </c>
      <c r="BJ147" s="385">
        <f t="shared" si="179"/>
        <v>335.62978700345468</v>
      </c>
      <c r="BK147" s="385">
        <f t="shared" si="179"/>
        <v>310.18550035522065</v>
      </c>
      <c r="BL147" s="386">
        <f t="shared" si="179"/>
        <v>28.264805641181056</v>
      </c>
      <c r="BM147" s="385">
        <f t="shared" si="179"/>
        <v>75.689155489654382</v>
      </c>
      <c r="BN147" s="385">
        <f t="shared" si="179"/>
        <v>57.326377072092207</v>
      </c>
      <c r="BO147" s="385">
        <f>(BO146-BJ146)*10000</f>
        <v>-329.71312295478117</v>
      </c>
      <c r="BP147" s="385">
        <f>(BP146-BK146)*10000</f>
        <v>241.94504100102043</v>
      </c>
      <c r="BQ147" s="386">
        <f t="shared" si="179"/>
        <v>12.184488722304931</v>
      </c>
      <c r="BR147" s="385">
        <f t="shared" si="179"/>
        <v>37.059323848152026</v>
      </c>
      <c r="BS147" s="385">
        <f t="shared" si="179"/>
        <v>356.27852832153917</v>
      </c>
      <c r="BT147" s="385">
        <f t="shared" si="179"/>
        <v>271.94444591581214</v>
      </c>
      <c r="BU147" s="385">
        <f t="shared" si="179"/>
        <v>272.04582854833183</v>
      </c>
      <c r="BV147" s="386">
        <f t="shared" si="179"/>
        <v>237.09609586951896</v>
      </c>
      <c r="BW147" s="385">
        <f t="shared" ref="BW147:CF147" si="180">(BW146-BR146)*10000</f>
        <v>172.17849362651472</v>
      </c>
      <c r="BX147" s="385">
        <f t="shared" si="180"/>
        <v>172.80551636099705</v>
      </c>
      <c r="BY147" s="385">
        <f t="shared" si="180"/>
        <v>197.73483090639698</v>
      </c>
      <c r="BZ147" s="385">
        <f t="shared" si="180"/>
        <v>197.84881403248966</v>
      </c>
      <c r="CA147" s="386">
        <f t="shared" si="180"/>
        <v>184.51678115103843</v>
      </c>
      <c r="CB147" s="385">
        <f t="shared" si="180"/>
        <v>122.94756628149995</v>
      </c>
      <c r="CC147" s="385">
        <f t="shared" si="180"/>
        <v>123.02191963729337</v>
      </c>
      <c r="CD147" s="385">
        <f t="shared" si="180"/>
        <v>123.10014020468051</v>
      </c>
      <c r="CE147" s="385">
        <f t="shared" si="180"/>
        <v>123.26465856639213</v>
      </c>
      <c r="CF147" s="386">
        <f t="shared" si="180"/>
        <v>123.10585009063068</v>
      </c>
      <c r="CI147"/>
      <c r="CJ147"/>
      <c r="CK147"/>
      <c r="CL147"/>
      <c r="CM147"/>
      <c r="CN147"/>
      <c r="CO147"/>
      <c r="CP147"/>
      <c r="CQ147"/>
      <c r="CR147"/>
      <c r="CS147"/>
    </row>
    <row r="148" spans="1:97" ht="12.75" customHeight="1" x14ac:dyDescent="0.35">
      <c r="A148" s="41"/>
      <c r="B148" s="42" t="s">
        <v>430</v>
      </c>
      <c r="C148" s="42"/>
      <c r="D148" s="43"/>
      <c r="E148" s="43"/>
      <c r="F148" s="43"/>
      <c r="G148" s="43"/>
      <c r="H148" s="43"/>
      <c r="I148" s="44"/>
      <c r="J148" s="148"/>
      <c r="K148" s="148"/>
      <c r="L148" s="385"/>
      <c r="M148" s="385"/>
      <c r="N148" s="386"/>
      <c r="O148" s="385"/>
      <c r="P148" s="385"/>
      <c r="Q148" s="529">
        <f t="shared" ref="Q148:AV148" si="181">(Q145-L145)/(Q95-L95)</f>
        <v>0.34916864608075987</v>
      </c>
      <c r="R148" s="529">
        <f t="shared" si="181"/>
        <v>0.3293918918918915</v>
      </c>
      <c r="S148" s="530">
        <f t="shared" si="181"/>
        <v>0.26018237082066931</v>
      </c>
      <c r="T148" s="529">
        <f t="shared" si="181"/>
        <v>9.9206349206351283E-2</v>
      </c>
      <c r="U148" s="529">
        <f t="shared" si="181"/>
        <v>0.4111842105263151</v>
      </c>
      <c r="V148" s="529">
        <f t="shared" si="181"/>
        <v>0.40462427745664797</v>
      </c>
      <c r="W148" s="529">
        <f t="shared" si="181"/>
        <v>-2.2471910112359928E-2</v>
      </c>
      <c r="X148" s="530">
        <f t="shared" si="181"/>
        <v>0.26650366748166149</v>
      </c>
      <c r="Y148" s="529">
        <f t="shared" si="181"/>
        <v>0.24909747292418702</v>
      </c>
      <c r="Z148" s="529">
        <f t="shared" si="181"/>
        <v>4.9180327868853672E-2</v>
      </c>
      <c r="AA148" s="529">
        <f t="shared" si="181"/>
        <v>-3.8888888888888258E-2</v>
      </c>
      <c r="AB148" s="529">
        <f t="shared" si="181"/>
        <v>-0.16153846153845711</v>
      </c>
      <c r="AC148" s="530">
        <f t="shared" si="181"/>
        <v>6.377858002406947E-2</v>
      </c>
      <c r="AD148" s="529">
        <f t="shared" si="181"/>
        <v>0.48125000000000107</v>
      </c>
      <c r="AE148" s="529">
        <f t="shared" si="181"/>
        <v>0.29523809523809469</v>
      </c>
      <c r="AF148" s="529">
        <f t="shared" si="181"/>
        <v>0.3427230046948348</v>
      </c>
      <c r="AG148" s="529">
        <f t="shared" si="181"/>
        <v>0.35586854460093886</v>
      </c>
      <c r="AH148" s="530">
        <f t="shared" si="181"/>
        <v>0.35855764347384322</v>
      </c>
      <c r="AI148" s="529">
        <f>(AI145-AD145)/(AI95-AD95)</f>
        <v>0.30260521042084199</v>
      </c>
      <c r="AJ148" s="529">
        <f>(AJ145-AE145)/(AJ95-AE95)</f>
        <v>0.27064220183486187</v>
      </c>
      <c r="AK148" s="529">
        <f>(AK145-AF145)/(AK95-AF95)</f>
        <v>0.44279346210995635</v>
      </c>
      <c r="AL148" s="529">
        <f>(AL145-AG145)/(AL95-AG95)</f>
        <v>0.61924686192468636</v>
      </c>
      <c r="AM148" s="530">
        <f>(AM145-AH145)/(AM95-AH95)</f>
        <v>0.34766666666666746</v>
      </c>
      <c r="AN148" s="529">
        <f t="shared" si="181"/>
        <v>0.48926380368098088</v>
      </c>
      <c r="AO148" s="529">
        <f t="shared" si="181"/>
        <v>0.56297709923664141</v>
      </c>
      <c r="AP148" s="529">
        <f t="shared" si="181"/>
        <v>0.34715025906735769</v>
      </c>
      <c r="AQ148" s="529">
        <f t="shared" si="181"/>
        <v>8.9026915113871077E-2</v>
      </c>
      <c r="AR148" s="530">
        <f t="shared" si="181"/>
        <v>0.38337801608579014</v>
      </c>
      <c r="AS148" s="529">
        <f t="shared" si="181"/>
        <v>0.52916666666666734</v>
      </c>
      <c r="AT148" s="529">
        <f t="shared" si="181"/>
        <v>0.38532110091743255</v>
      </c>
      <c r="AU148" s="529">
        <f t="shared" si="181"/>
        <v>0.60377358490565958</v>
      </c>
      <c r="AV148" s="529">
        <f t="shared" si="181"/>
        <v>0.61904761904761907</v>
      </c>
      <c r="AW148" s="530">
        <f t="shared" ref="AW148:CA148" si="182">(AW145-AR145)/(AW95-AR95)</f>
        <v>0.55644515612490053</v>
      </c>
      <c r="AX148" s="529">
        <f t="shared" si="182"/>
        <v>0.58823529411764708</v>
      </c>
      <c r="AY148" s="529">
        <f t="shared" si="182"/>
        <v>0.52631578947368418</v>
      </c>
      <c r="AZ148" s="529">
        <f t="shared" si="182"/>
        <v>-0.15714285714285714</v>
      </c>
      <c r="BA148" s="529">
        <f t="shared" si="182"/>
        <v>-0.51327433628318586</v>
      </c>
      <c r="BB148" s="530">
        <f t="shared" si="182"/>
        <v>3.3639143730886847E-2</v>
      </c>
      <c r="BC148" s="529">
        <f t="shared" si="182"/>
        <v>0.29007633587786258</v>
      </c>
      <c r="BD148" s="529">
        <f t="shared" si="182"/>
        <v>0.21568627450980393</v>
      </c>
      <c r="BE148" s="529">
        <f t="shared" si="182"/>
        <v>0.6071428571428571</v>
      </c>
      <c r="BF148" s="529">
        <f t="shared" si="182"/>
        <v>2.2391304347826089</v>
      </c>
      <c r="BG148" s="530">
        <f t="shared" si="182"/>
        <v>0.58953168044077131</v>
      </c>
      <c r="BH148" s="529">
        <f t="shared" si="182"/>
        <v>-0.23809523809523808</v>
      </c>
      <c r="BI148" s="529">
        <f t="shared" si="182"/>
        <v>6.9444444444444448E-2</v>
      </c>
      <c r="BJ148" s="529">
        <f t="shared" si="182"/>
        <v>0.59340659340659341</v>
      </c>
      <c r="BK148" s="529">
        <f t="shared" si="182"/>
        <v>0.58536585365853655</v>
      </c>
      <c r="BL148" s="530">
        <f t="shared" si="182"/>
        <v>0.33797909407665505</v>
      </c>
      <c r="BM148" s="529">
        <f t="shared" si="182"/>
        <v>0.38709677419354838</v>
      </c>
      <c r="BN148" s="529">
        <f t="shared" si="182"/>
        <v>0.36363636363636365</v>
      </c>
      <c r="BO148" s="529">
        <f>(BO145-BJ145)/(BO95-BJ95)</f>
        <v>-0.16363636363636364</v>
      </c>
      <c r="BP148" s="529">
        <f>(BP145-BK145)/(BP95-BK95)</f>
        <v>0.62686567164179108</v>
      </c>
      <c r="BQ148" s="530">
        <f t="shared" si="182"/>
        <v>0.32217573221757323</v>
      </c>
      <c r="BR148" s="529">
        <f t="shared" si="182"/>
        <v>0.35</v>
      </c>
      <c r="BS148" s="529">
        <f t="shared" si="182"/>
        <v>0.65116279069767447</v>
      </c>
      <c r="BT148" s="529">
        <f t="shared" si="182"/>
        <v>0.62132312783486132</v>
      </c>
      <c r="BU148" s="529">
        <f t="shared" si="182"/>
        <v>0.63801843099505084</v>
      </c>
      <c r="BV148" s="530">
        <f t="shared" si="182"/>
        <v>0.58180264782051183</v>
      </c>
      <c r="BW148" s="529">
        <f t="shared" si="182"/>
        <v>0.48585052792640798</v>
      </c>
      <c r="BX148" s="529">
        <f t="shared" si="182"/>
        <v>0.56158878854040828</v>
      </c>
      <c r="BY148" s="529">
        <f t="shared" si="182"/>
        <v>0.59426933134561277</v>
      </c>
      <c r="BZ148" s="529">
        <f t="shared" si="182"/>
        <v>0.61807334922789992</v>
      </c>
      <c r="CA148" s="530">
        <f t="shared" si="182"/>
        <v>0.56256562321024761</v>
      </c>
      <c r="CB148" s="529">
        <f>(CB145-BW145)/(CB95-BW95)</f>
        <v>0.47501628256164369</v>
      </c>
      <c r="CC148" s="529">
        <f>(CC145-BX145)/(CC95-BX95)</f>
        <v>0.49601006293407213</v>
      </c>
      <c r="CD148" s="529">
        <f>(CD145-BY145)/(CD95-BY95)</f>
        <v>0.50788370536099103</v>
      </c>
      <c r="CE148" s="529">
        <f>(CE145-BZ145)/(CE95-BZ95)</f>
        <v>0.54279252296722003</v>
      </c>
      <c r="CF148" s="530">
        <f>(CF145-CA145)/(CF95-CA95)</f>
        <v>0.50623909521159072</v>
      </c>
      <c r="CI148"/>
      <c r="CJ148"/>
      <c r="CK148"/>
      <c r="CL148"/>
      <c r="CM148"/>
      <c r="CN148"/>
      <c r="CO148"/>
      <c r="CP148"/>
      <c r="CQ148"/>
      <c r="CR148"/>
      <c r="CS148"/>
    </row>
    <row r="149" spans="1:97" ht="12.75" customHeight="1" thickBot="1" x14ac:dyDescent="0.4">
      <c r="A149" s="24"/>
      <c r="B149" s="42"/>
      <c r="C149" s="42"/>
      <c r="D149" s="43"/>
      <c r="E149" s="43"/>
      <c r="F149" s="43"/>
      <c r="G149" s="43"/>
      <c r="H149" s="43"/>
      <c r="I149" s="44"/>
      <c r="J149" s="395"/>
      <c r="K149" s="395"/>
      <c r="L149" s="395"/>
      <c r="M149" s="395"/>
      <c r="N149" s="44"/>
      <c r="O149" s="395"/>
      <c r="P149" s="395"/>
      <c r="Q149" s="395"/>
      <c r="R149" s="395"/>
      <c r="S149" s="44"/>
      <c r="T149" s="395"/>
      <c r="U149" s="395"/>
      <c r="V149" s="395"/>
      <c r="W149" s="395"/>
      <c r="X149" s="44"/>
      <c r="Y149" s="395"/>
      <c r="Z149" s="395"/>
      <c r="AA149" s="395"/>
      <c r="AB149" s="395"/>
      <c r="AC149" s="49"/>
      <c r="AD149" s="395"/>
      <c r="AE149" s="395"/>
      <c r="AF149" s="395"/>
      <c r="AG149" s="395"/>
      <c r="AH149" s="49"/>
      <c r="AI149" s="395"/>
      <c r="AJ149" s="395"/>
      <c r="AK149" s="395"/>
      <c r="AL149" s="395"/>
      <c r="AM149" s="49"/>
      <c r="AN149" s="395"/>
      <c r="AO149" s="395"/>
      <c r="AP149" s="395"/>
      <c r="AQ149" s="395"/>
      <c r="AR149" s="420"/>
      <c r="AS149" s="395"/>
      <c r="AT149" s="395"/>
      <c r="AU149" s="395"/>
      <c r="AV149" s="395"/>
      <c r="AW149" s="420"/>
      <c r="AX149" s="395"/>
      <c r="AY149" s="395"/>
      <c r="AZ149" s="395"/>
      <c r="BA149" s="395"/>
      <c r="BB149" s="420"/>
      <c r="BC149" s="395"/>
      <c r="BD149" s="395"/>
      <c r="BE149" s="395"/>
      <c r="BF149" s="395"/>
      <c r="BG149" s="420"/>
      <c r="BH149" s="395"/>
      <c r="BI149" s="395"/>
      <c r="BJ149" s="395"/>
      <c r="BK149" s="395"/>
      <c r="BL149" s="420"/>
      <c r="BM149" s="395"/>
      <c r="BN149" s="395"/>
      <c r="BO149" s="395"/>
      <c r="BP149" s="395"/>
      <c r="BQ149" s="420"/>
      <c r="BR149" s="395"/>
      <c r="BS149" s="395"/>
      <c r="BT149" s="395"/>
      <c r="BU149" s="395"/>
      <c r="BV149" s="420"/>
      <c r="BW149" s="395"/>
      <c r="BX149" s="395"/>
      <c r="BY149" s="395"/>
      <c r="BZ149" s="395"/>
      <c r="CA149" s="420"/>
      <c r="CB149" s="395"/>
      <c r="CC149" s="395"/>
      <c r="CD149" s="395"/>
      <c r="CE149" s="395"/>
      <c r="CF149" s="420"/>
      <c r="CI149"/>
      <c r="CJ149"/>
      <c r="CK149"/>
      <c r="CL149"/>
      <c r="CM149"/>
      <c r="CN149"/>
      <c r="CO149"/>
      <c r="CP149"/>
      <c r="CQ149"/>
      <c r="CR149"/>
      <c r="CS149"/>
    </row>
    <row r="150" spans="1:97" ht="12.75" customHeight="1" x14ac:dyDescent="0.35">
      <c r="B150" s="68" t="s">
        <v>58</v>
      </c>
      <c r="C150" s="68"/>
      <c r="D150" s="68"/>
      <c r="E150" s="171">
        <f t="shared" ref="E150:AJ150" si="183">E95+E31</f>
        <v>646.69999999999993</v>
      </c>
      <c r="F150" s="171">
        <f t="shared" si="183"/>
        <v>640.9</v>
      </c>
      <c r="G150" s="171">
        <f t="shared" si="183"/>
        <v>688.3</v>
      </c>
      <c r="H150" s="171">
        <f t="shared" si="183"/>
        <v>754.09999999999991</v>
      </c>
      <c r="I150" s="172">
        <f t="shared" si="183"/>
        <v>2730</v>
      </c>
      <c r="J150" s="171">
        <f t="shared" si="183"/>
        <v>728.65</v>
      </c>
      <c r="K150" s="171">
        <f t="shared" si="183"/>
        <v>753.3</v>
      </c>
      <c r="L150" s="171">
        <f t="shared" si="183"/>
        <v>705.5</v>
      </c>
      <c r="M150" s="171">
        <f t="shared" si="183"/>
        <v>779.2</v>
      </c>
      <c r="N150" s="172">
        <f t="shared" si="183"/>
        <v>2966.65</v>
      </c>
      <c r="O150" s="171">
        <f t="shared" si="183"/>
        <v>767.2</v>
      </c>
      <c r="P150" s="171">
        <f t="shared" si="183"/>
        <v>873.5</v>
      </c>
      <c r="Q150" s="171">
        <f t="shared" si="183"/>
        <v>816.1</v>
      </c>
      <c r="R150" s="171">
        <f t="shared" si="183"/>
        <v>877.49999999999989</v>
      </c>
      <c r="S150" s="172">
        <f t="shared" si="183"/>
        <v>3334.3</v>
      </c>
      <c r="T150" s="171">
        <f t="shared" si="183"/>
        <v>865.59999999999991</v>
      </c>
      <c r="U150" s="171">
        <f t="shared" si="183"/>
        <v>918.1</v>
      </c>
      <c r="V150" s="171">
        <f t="shared" si="183"/>
        <v>834.90000000000009</v>
      </c>
      <c r="W150" s="171">
        <f t="shared" si="183"/>
        <v>865.9</v>
      </c>
      <c r="X150" s="172">
        <f t="shared" si="183"/>
        <v>3484.5</v>
      </c>
      <c r="Y150" s="171">
        <f t="shared" si="183"/>
        <v>816.1</v>
      </c>
      <c r="Z150" s="171">
        <f t="shared" si="183"/>
        <v>928.90000000000009</v>
      </c>
      <c r="AA150" s="171">
        <f t="shared" si="183"/>
        <v>917.09999999999991</v>
      </c>
      <c r="AB150" s="171">
        <f t="shared" si="183"/>
        <v>942.09999999999991</v>
      </c>
      <c r="AC150" s="172">
        <f t="shared" si="183"/>
        <v>3604.2000000000003</v>
      </c>
      <c r="AD150" s="171">
        <f t="shared" si="183"/>
        <v>975.2</v>
      </c>
      <c r="AE150" s="171">
        <f t="shared" si="183"/>
        <v>1000.5</v>
      </c>
      <c r="AF150" s="171">
        <f t="shared" si="183"/>
        <v>1062.9000000000001</v>
      </c>
      <c r="AG150" s="171">
        <f t="shared" si="183"/>
        <v>1165.5</v>
      </c>
      <c r="AH150" s="172">
        <f t="shared" si="183"/>
        <v>4204.1000000000004</v>
      </c>
      <c r="AI150" s="171">
        <f t="shared" si="183"/>
        <v>1126.7</v>
      </c>
      <c r="AJ150" s="171">
        <f t="shared" si="183"/>
        <v>1175.0999999999999</v>
      </c>
      <c r="AK150" s="171">
        <f t="shared" ref="AK150:BN150" si="184">AK95+AK31</f>
        <v>1080.8</v>
      </c>
      <c r="AL150" s="171">
        <f t="shared" si="184"/>
        <v>1060.0999999999999</v>
      </c>
      <c r="AM150" s="204">
        <f t="shared" si="184"/>
        <v>4442.7</v>
      </c>
      <c r="AN150" s="171">
        <f t="shared" si="184"/>
        <v>1142.0999999999999</v>
      </c>
      <c r="AO150" s="171">
        <f t="shared" si="184"/>
        <v>1213.6000000000001</v>
      </c>
      <c r="AP150" s="171">
        <f t="shared" si="184"/>
        <v>1240.5</v>
      </c>
      <c r="AQ150" s="171">
        <f t="shared" si="184"/>
        <v>1233</v>
      </c>
      <c r="AR150" s="204">
        <f t="shared" si="184"/>
        <v>4829.2</v>
      </c>
      <c r="AS150" s="171">
        <f t="shared" si="184"/>
        <v>1290</v>
      </c>
      <c r="AT150" s="171">
        <f t="shared" si="184"/>
        <v>1435</v>
      </c>
      <c r="AU150" s="171">
        <f t="shared" si="184"/>
        <v>1356</v>
      </c>
      <c r="AV150" s="171">
        <f t="shared" si="184"/>
        <v>1290</v>
      </c>
      <c r="AW150" s="204">
        <f t="shared" si="184"/>
        <v>5371</v>
      </c>
      <c r="AX150" s="171">
        <f t="shared" si="184"/>
        <v>1600</v>
      </c>
      <c r="AY150" s="171">
        <f t="shared" si="184"/>
        <v>1553</v>
      </c>
      <c r="AZ150" s="171">
        <f t="shared" si="184"/>
        <v>1526</v>
      </c>
      <c r="BA150" s="171">
        <f t="shared" si="184"/>
        <v>1539</v>
      </c>
      <c r="BB150" s="204">
        <f t="shared" si="184"/>
        <v>6218</v>
      </c>
      <c r="BC150" s="171">
        <f t="shared" si="184"/>
        <v>1522</v>
      </c>
      <c r="BD150" s="171">
        <f t="shared" si="184"/>
        <v>1381</v>
      </c>
      <c r="BE150" s="171">
        <f t="shared" si="184"/>
        <v>1275</v>
      </c>
      <c r="BF150" s="171">
        <f t="shared" si="184"/>
        <v>1290</v>
      </c>
      <c r="BG150" s="204">
        <f t="shared" si="184"/>
        <v>5468</v>
      </c>
      <c r="BH150" s="171">
        <f t="shared" si="184"/>
        <v>1470</v>
      </c>
      <c r="BI150" s="171">
        <f t="shared" si="184"/>
        <v>1494</v>
      </c>
      <c r="BJ150" s="171">
        <f t="shared" si="184"/>
        <v>1472</v>
      </c>
      <c r="BK150" s="171">
        <f t="shared" si="184"/>
        <v>1480</v>
      </c>
      <c r="BL150" s="204">
        <f t="shared" si="184"/>
        <v>5916</v>
      </c>
      <c r="BM150" s="171">
        <f t="shared" si="184"/>
        <v>1786</v>
      </c>
      <c r="BN150" s="171">
        <f t="shared" si="184"/>
        <v>1817</v>
      </c>
      <c r="BO150" s="171">
        <f>BO95+BO31</f>
        <v>1813</v>
      </c>
      <c r="BP150" s="171">
        <f>BP95+BP31</f>
        <v>1672</v>
      </c>
      <c r="BQ150" s="204">
        <f t="shared" ref="BQ150:CA150" si="185">BQ95+BQ31</f>
        <v>7088</v>
      </c>
      <c r="BR150" s="171">
        <f t="shared" si="185"/>
        <v>1924</v>
      </c>
      <c r="BS150" s="171">
        <f>BS95+BS31</f>
        <v>1898</v>
      </c>
      <c r="BT150" s="171">
        <f>BT95+BT31</f>
        <v>2004.43</v>
      </c>
      <c r="BU150" s="171">
        <f t="shared" si="185"/>
        <v>1848.2380690207451</v>
      </c>
      <c r="BV150" s="204">
        <f t="shared" si="185"/>
        <v>7674.668069020745</v>
      </c>
      <c r="BW150" s="171">
        <f t="shared" si="185"/>
        <v>2107.1003728415026</v>
      </c>
      <c r="BX150" s="171">
        <f t="shared" si="185"/>
        <v>2055.8005997725613</v>
      </c>
      <c r="BY150" s="171">
        <f t="shared" si="185"/>
        <v>2157.4156591264536</v>
      </c>
      <c r="BZ150" s="171">
        <f t="shared" si="185"/>
        <v>1992.3977069040047</v>
      </c>
      <c r="CA150" s="204">
        <f t="shared" si="185"/>
        <v>8312.7143386445205</v>
      </c>
      <c r="CB150" s="171">
        <f>CB95+CB31</f>
        <v>2267.5473342362075</v>
      </c>
      <c r="CC150" s="171">
        <f>CC95+CC31</f>
        <v>2212.0217975135602</v>
      </c>
      <c r="CD150" s="171">
        <f>CD95+CD31</f>
        <v>2321.8252901662408</v>
      </c>
      <c r="CE150" s="171">
        <f>CE95+CE31</f>
        <v>2144.9637501659818</v>
      </c>
      <c r="CF150" s="204">
        <f>CF95+CF31</f>
        <v>8946.3581720819893</v>
      </c>
      <c r="CI150"/>
      <c r="CJ150"/>
      <c r="CK150"/>
      <c r="CL150"/>
      <c r="CM150"/>
      <c r="CN150"/>
      <c r="CO150"/>
      <c r="CP150"/>
      <c r="CQ150"/>
      <c r="CR150"/>
      <c r="CS150"/>
    </row>
    <row r="151" spans="1:97" ht="12.75" customHeight="1" x14ac:dyDescent="0.35">
      <c r="B151" s="42" t="s">
        <v>24</v>
      </c>
      <c r="C151" s="42"/>
      <c r="D151" s="24"/>
      <c r="E151" s="147"/>
      <c r="F151" s="147"/>
      <c r="G151" s="147"/>
      <c r="H151" s="147"/>
      <c r="I151" s="264">
        <v>0.193</v>
      </c>
      <c r="J151" s="147"/>
      <c r="K151" s="147"/>
      <c r="L151" s="147"/>
      <c r="M151" s="147"/>
      <c r="N151" s="264">
        <v>8.8999999999999996E-2</v>
      </c>
      <c r="O151" s="153">
        <f t="shared" ref="O151:X151" si="186">IFERROR( O150/J150-1, "NA")</f>
        <v>5.2906059150483964E-2</v>
      </c>
      <c r="P151" s="153">
        <f t="shared" si="186"/>
        <v>0.15956458250365069</v>
      </c>
      <c r="Q151" s="153">
        <f t="shared" si="186"/>
        <v>0.15676824946846213</v>
      </c>
      <c r="R151" s="153">
        <f t="shared" si="186"/>
        <v>0.12615503080082124</v>
      </c>
      <c r="S151" s="184">
        <f t="shared" si="186"/>
        <v>0.1239276625149579</v>
      </c>
      <c r="T151" s="153">
        <f t="shared" si="186"/>
        <v>0.12825860271115719</v>
      </c>
      <c r="U151" s="153">
        <f t="shared" si="186"/>
        <v>5.105895821408124E-2</v>
      </c>
      <c r="V151" s="153">
        <f t="shared" si="186"/>
        <v>2.3036392598946298E-2</v>
      </c>
      <c r="W151" s="153">
        <f t="shared" si="186"/>
        <v>-1.3219373219373165E-2</v>
      </c>
      <c r="X151" s="184">
        <f t="shared" si="186"/>
        <v>4.5046936388447367E-2</v>
      </c>
      <c r="Y151" s="153">
        <f t="shared" ref="Y151:AF151" si="187">IFERROR( Y150/T150-1, "NA")</f>
        <v>-5.7185767097966633E-2</v>
      </c>
      <c r="Z151" s="153">
        <f t="shared" si="187"/>
        <v>1.1763424463566041E-2</v>
      </c>
      <c r="AA151" s="153">
        <f t="shared" si="187"/>
        <v>9.8454904779015306E-2</v>
      </c>
      <c r="AB151" s="153">
        <f t="shared" si="187"/>
        <v>8.80009238942141E-2</v>
      </c>
      <c r="AC151" s="184">
        <f t="shared" si="187"/>
        <v>3.4352130865260566E-2</v>
      </c>
      <c r="AD151" s="153">
        <f t="shared" si="187"/>
        <v>0.1949515990687416</v>
      </c>
      <c r="AE151" s="153">
        <f t="shared" si="187"/>
        <v>7.7080417698352832E-2</v>
      </c>
      <c r="AF151" s="153">
        <f t="shared" si="187"/>
        <v>0.15897939156035346</v>
      </c>
      <c r="AG151" s="153">
        <f t="shared" ref="AG151:AN151" si="188">IFERROR( AG150/AB150-1, "NA")</f>
        <v>0.23712981636768937</v>
      </c>
      <c r="AH151" s="184">
        <f t="shared" si="188"/>
        <v>0.16644470340158701</v>
      </c>
      <c r="AI151" s="153">
        <f>IFERROR( AI150/AD150-1, "NA")</f>
        <v>0.15535274815422473</v>
      </c>
      <c r="AJ151" s="153">
        <f>IFERROR( AJ150/AE150-1, "NA")</f>
        <v>0.17451274362818592</v>
      </c>
      <c r="AK151" s="153">
        <f>IFERROR( AK150/AF150-1, "NA")</f>
        <v>1.6840718788220688E-2</v>
      </c>
      <c r="AL151" s="153">
        <f>IFERROR( AL150/AG150-1, "NA")</f>
        <v>-9.0433290433290514E-2</v>
      </c>
      <c r="AM151" s="184">
        <f>IFERROR( AM150/AH150-1, "NA")</f>
        <v>5.6754120977141165E-2</v>
      </c>
      <c r="AN151" s="153">
        <f t="shared" si="188"/>
        <v>1.3668234667613355E-2</v>
      </c>
      <c r="AO151" s="153">
        <f t="shared" ref="AO151:AZ151" si="189">IFERROR( AO150/AJ150-1, "NA")</f>
        <v>3.2763169091992284E-2</v>
      </c>
      <c r="AP151" s="153">
        <f t="shared" si="189"/>
        <v>0.1477609178386381</v>
      </c>
      <c r="AQ151" s="153">
        <f t="shared" si="189"/>
        <v>0.16309782096028691</v>
      </c>
      <c r="AR151" s="184">
        <f t="shared" si="189"/>
        <v>8.6996646183627124E-2</v>
      </c>
      <c r="AS151" s="153">
        <f t="shared" si="189"/>
        <v>0.12949829261886014</v>
      </c>
      <c r="AT151" s="153">
        <f t="shared" si="189"/>
        <v>0.18243243243243223</v>
      </c>
      <c r="AU151" s="153">
        <f t="shared" si="189"/>
        <v>9.3107617896009742E-2</v>
      </c>
      <c r="AV151" s="153">
        <f t="shared" si="189"/>
        <v>4.6228710462287159E-2</v>
      </c>
      <c r="AW151" s="184">
        <f t="shared" si="189"/>
        <v>0.11219249565145373</v>
      </c>
      <c r="AX151" s="153">
        <f t="shared" si="189"/>
        <v>0.24031007751937983</v>
      </c>
      <c r="AY151" s="153">
        <f t="shared" si="189"/>
        <v>8.2229965156794371E-2</v>
      </c>
      <c r="AZ151" s="153">
        <f t="shared" si="189"/>
        <v>0.12536873156342176</v>
      </c>
      <c r="BA151" s="153">
        <f t="shared" ref="BA151:BV151" si="190">IFERROR( BA150/AV150-1, "NA")</f>
        <v>0.19302325581395352</v>
      </c>
      <c r="BB151" s="184">
        <f t="shared" si="190"/>
        <v>0.15769875256004462</v>
      </c>
      <c r="BC151" s="153">
        <f t="shared" si="190"/>
        <v>-4.874999999999996E-2</v>
      </c>
      <c r="BD151" s="153">
        <f t="shared" si="190"/>
        <v>-0.11075338055376693</v>
      </c>
      <c r="BE151" s="153">
        <f t="shared" si="190"/>
        <v>-0.16448230668414154</v>
      </c>
      <c r="BF151" s="153">
        <f t="shared" si="190"/>
        <v>-0.16179337231968816</v>
      </c>
      <c r="BG151" s="184">
        <f t="shared" si="190"/>
        <v>-0.12061756191701511</v>
      </c>
      <c r="BH151" s="153">
        <f t="shared" si="190"/>
        <v>-3.4165571616294299E-2</v>
      </c>
      <c r="BI151" s="153">
        <f t="shared" si="190"/>
        <v>8.1824764663287475E-2</v>
      </c>
      <c r="BJ151" s="153">
        <f t="shared" si="190"/>
        <v>0.15450980392156866</v>
      </c>
      <c r="BK151" s="153">
        <f t="shared" si="190"/>
        <v>0.1472868217054264</v>
      </c>
      <c r="BL151" s="184">
        <f t="shared" si="190"/>
        <v>8.1931236283833142E-2</v>
      </c>
      <c r="BM151" s="153">
        <f>IFERROR( BM150/BH150-1, "NA")</f>
        <v>0.21496598639455788</v>
      </c>
      <c r="BN151" s="153">
        <f>IFERROR( BN150/BI150-1, "NA")</f>
        <v>0.21619812583668008</v>
      </c>
      <c r="BO151" s="153">
        <f>IFERROR( BO150/BJ150-1, "NA")</f>
        <v>0.23165760869565211</v>
      </c>
      <c r="BP151" s="153">
        <f>IFERROR( BP150/BK150-1, "NA")</f>
        <v>0.12972972972972974</v>
      </c>
      <c r="BQ151" s="184">
        <f t="shared" si="190"/>
        <v>0.19810682893847198</v>
      </c>
      <c r="BR151" s="153">
        <f t="shared" si="190"/>
        <v>7.7267637178051407E-2</v>
      </c>
      <c r="BS151" s="153">
        <f>IFERROR( BS150/BN150-1, "NA")</f>
        <v>4.4578976334617604E-2</v>
      </c>
      <c r="BT151" s="153">
        <f>IFERROR( BT150/BO150-1, "NA")</f>
        <v>0.10558742415885281</v>
      </c>
      <c r="BU151" s="153">
        <f t="shared" si="190"/>
        <v>0.10540554367269439</v>
      </c>
      <c r="BV151" s="184">
        <f t="shared" si="190"/>
        <v>8.276919709660624E-2</v>
      </c>
      <c r="BW151" s="153">
        <f t="shared" ref="BW151:CF151" si="191">IFERROR( BW150/BR150-1, "NA")</f>
        <v>9.5166513950884823E-2</v>
      </c>
      <c r="BX151" s="153">
        <f t="shared" si="191"/>
        <v>8.3140463526112374E-2</v>
      </c>
      <c r="BY151" s="153">
        <f t="shared" si="191"/>
        <v>7.6323772407344448E-2</v>
      </c>
      <c r="BZ151" s="153">
        <f t="shared" si="191"/>
        <v>7.7998413894612595E-2</v>
      </c>
      <c r="CA151" s="184">
        <f t="shared" si="191"/>
        <v>8.3136659968303661E-2</v>
      </c>
      <c r="CB151" s="153">
        <f t="shared" si="191"/>
        <v>7.614585591778722E-2</v>
      </c>
      <c r="CC151" s="153">
        <f t="shared" si="191"/>
        <v>7.5990442729845453E-2</v>
      </c>
      <c r="CD151" s="153">
        <f t="shared" si="191"/>
        <v>7.6206747802302299E-2</v>
      </c>
      <c r="CE151" s="153">
        <f t="shared" si="191"/>
        <v>7.6574090972554965E-2</v>
      </c>
      <c r="CF151" s="184">
        <f t="shared" si="191"/>
        <v>7.6225864094927154E-2</v>
      </c>
      <c r="CI151"/>
      <c r="CJ151"/>
      <c r="CK151"/>
      <c r="CL151"/>
      <c r="CM151"/>
      <c r="CN151"/>
      <c r="CO151"/>
      <c r="CP151"/>
      <c r="CQ151"/>
      <c r="CR151"/>
      <c r="CS151"/>
    </row>
    <row r="152" spans="1:97" ht="12.75" customHeight="1" x14ac:dyDescent="0.35">
      <c r="B152" s="42" t="s">
        <v>265</v>
      </c>
      <c r="C152" s="42"/>
      <c r="D152" s="24"/>
      <c r="E152" s="147"/>
      <c r="F152" s="147"/>
      <c r="G152" s="147"/>
      <c r="H152" s="147"/>
      <c r="I152" s="159"/>
      <c r="J152" s="147"/>
      <c r="K152" s="147"/>
      <c r="L152" s="147"/>
      <c r="M152" s="147"/>
      <c r="N152" s="159"/>
      <c r="O152" s="153">
        <f>O150/M150-1</f>
        <v>-1.5400410677618104E-2</v>
      </c>
      <c r="P152" s="153">
        <f>P150/O150-1</f>
        <v>0.13855578727841489</v>
      </c>
      <c r="Q152" s="153">
        <f>Q150/P150-1</f>
        <v>-6.5712650257584437E-2</v>
      </c>
      <c r="R152" s="153">
        <f>R150/Q150-1</f>
        <v>7.5235877956132624E-2</v>
      </c>
      <c r="S152" s="159"/>
      <c r="T152" s="153">
        <f>T150/R150-1</f>
        <v>-1.3561253561253483E-2</v>
      </c>
      <c r="U152" s="153">
        <f>U150/T150-1</f>
        <v>6.0651571164510365E-2</v>
      </c>
      <c r="V152" s="153">
        <f>V150/U150-1</f>
        <v>-9.0621936608212494E-2</v>
      </c>
      <c r="W152" s="153">
        <f>W150/V150-1</f>
        <v>3.7130195232961904E-2</v>
      </c>
      <c r="X152" s="159"/>
      <c r="Y152" s="153">
        <f>Y150/W150-1</f>
        <v>-5.7512414828502112E-2</v>
      </c>
      <c r="Z152" s="153">
        <f>Z150/Y150-1</f>
        <v>0.13821835559367734</v>
      </c>
      <c r="AA152" s="153">
        <f>AA150/Z150-1</f>
        <v>-1.2703197330175664E-2</v>
      </c>
      <c r="AB152" s="153">
        <f>AB150/AA150-1</f>
        <v>2.7259840802529745E-2</v>
      </c>
      <c r="AC152" s="159"/>
      <c r="AD152" s="153">
        <f>AD150/AB150-1</f>
        <v>3.5134274493153761E-2</v>
      </c>
      <c r="AE152" s="153">
        <f>AE150/AD150-1</f>
        <v>2.5943396226415061E-2</v>
      </c>
      <c r="AF152" s="153">
        <f>AF150/AE150-1</f>
        <v>6.2368815592203974E-2</v>
      </c>
      <c r="AG152" s="153">
        <f>AG150/AF150-1</f>
        <v>9.6528365791701765E-2</v>
      </c>
      <c r="AH152" s="159"/>
      <c r="AI152" s="153">
        <f>AI150/AG150-1</f>
        <v>-3.3290433290433241E-2</v>
      </c>
      <c r="AJ152" s="153">
        <f>AJ150/AI150-1</f>
        <v>4.2957308955356321E-2</v>
      </c>
      <c r="AK152" s="153">
        <f>AK150/AJ150-1</f>
        <v>-8.0248489490256092E-2</v>
      </c>
      <c r="AL152" s="153">
        <f>AL150/AK150-1</f>
        <v>-1.9152479644707676E-2</v>
      </c>
      <c r="AM152" s="159"/>
      <c r="AN152" s="153">
        <f>AN150/AL150-1</f>
        <v>7.7351193283652586E-2</v>
      </c>
      <c r="AO152" s="153">
        <f>AO150/AN150-1</f>
        <v>6.2603975133526113E-2</v>
      </c>
      <c r="AP152" s="153">
        <f>AP150/AO150-1</f>
        <v>2.216545814106774E-2</v>
      </c>
      <c r="AQ152" s="153">
        <f>AQ150/AP150-1</f>
        <v>-6.0459492140265692E-3</v>
      </c>
      <c r="AR152" s="159"/>
      <c r="AS152" s="153">
        <f>AS150/AQ150-1</f>
        <v>4.6228710462287159E-2</v>
      </c>
      <c r="AT152" s="153">
        <f>AT150/AS150-1</f>
        <v>0.11240310077519378</v>
      </c>
      <c r="AU152" s="153">
        <f>AU150/AT150-1</f>
        <v>-5.5052264808362339E-2</v>
      </c>
      <c r="AV152" s="153">
        <f>AV150/AU150-1</f>
        <v>-4.8672566371681381E-2</v>
      </c>
      <c r="AW152" s="159"/>
      <c r="AX152" s="153">
        <f>AX150/AV150-1</f>
        <v>0.24031007751937983</v>
      </c>
      <c r="AY152" s="153">
        <f>AY150/AW150-1</f>
        <v>-0.71085458946192515</v>
      </c>
      <c r="AZ152" s="153">
        <f>AZ150/AX150-1</f>
        <v>-4.6250000000000013E-2</v>
      </c>
      <c r="BA152" s="153">
        <f>BA150/AZ150-1</f>
        <v>8.5190039318479016E-3</v>
      </c>
      <c r="BB152" s="159"/>
      <c r="BC152" s="153">
        <f>BC150/BA150-1</f>
        <v>-1.1046133853151452E-2</v>
      </c>
      <c r="BD152" s="153">
        <f>BD150/BC150-1</f>
        <v>-9.2641261498028871E-2</v>
      </c>
      <c r="BE152" s="153">
        <f>BE150/BD150-1</f>
        <v>-7.6755973931933341E-2</v>
      </c>
      <c r="BF152" s="153">
        <f>BF150/BE150-1</f>
        <v>1.1764705882352899E-2</v>
      </c>
      <c r="BG152" s="159"/>
      <c r="BH152" s="153">
        <f>BH150/BF150-1</f>
        <v>0.13953488372093026</v>
      </c>
      <c r="BI152" s="153">
        <f>BI150/BH150-1</f>
        <v>1.6326530612244872E-2</v>
      </c>
      <c r="BJ152" s="153">
        <f>BJ150/BI150-1</f>
        <v>-1.4725568942436373E-2</v>
      </c>
      <c r="BK152" s="153">
        <f>BK150/BJ150-1</f>
        <v>5.4347826086955653E-3</v>
      </c>
      <c r="BL152" s="159"/>
      <c r="BM152" s="153">
        <f>BM150/BK150-1</f>
        <v>0.20675675675675675</v>
      </c>
      <c r="BN152" s="153">
        <f>BN150/BM150-1</f>
        <v>1.7357222844344822E-2</v>
      </c>
      <c r="BO152" s="153">
        <f>BO150/BN150-1</f>
        <v>-2.2014309301046087E-3</v>
      </c>
      <c r="BP152" s="153">
        <f>BP150/BO150-1</f>
        <v>-7.7771649200220616E-2</v>
      </c>
      <c r="BQ152" s="159"/>
      <c r="BR152" s="153">
        <f>BR150/BP150-1</f>
        <v>0.15071770334928236</v>
      </c>
      <c r="BS152" s="153">
        <f>BS150/BR150-1</f>
        <v>-1.3513513513513487E-2</v>
      </c>
      <c r="BT152" s="153">
        <f>BT150/BS150-1</f>
        <v>5.6074815595363647E-2</v>
      </c>
      <c r="BU152" s="153">
        <f>BU150/BT150-1</f>
        <v>-7.7923365235630593E-2</v>
      </c>
      <c r="BV152" s="159"/>
      <c r="BW152" s="153">
        <f>BW150/BU150-1</f>
        <v>0.14005896110445937</v>
      </c>
      <c r="BX152" s="153">
        <f>BX150/BW150-1</f>
        <v>-2.4346145883768044E-2</v>
      </c>
      <c r="BY152" s="153">
        <f>BY150/BX150-1</f>
        <v>4.9428460797771079E-2</v>
      </c>
      <c r="BZ152" s="153">
        <f>BZ150/BY150-1</f>
        <v>-7.6488715340680025E-2</v>
      </c>
      <c r="CA152" s="159"/>
      <c r="CB152" s="153">
        <f>CB150/BZ150-1</f>
        <v>0.13809975105811523</v>
      </c>
      <c r="CC152" s="153">
        <f>CC150/CB150-1</f>
        <v>-2.4487046371338583E-2</v>
      </c>
      <c r="CD152" s="153">
        <f>CD150/CC150-1</f>
        <v>4.9639426146752319E-2</v>
      </c>
      <c r="CE152" s="153">
        <f>CE150/CD150-1</f>
        <v>-7.6173491928669623E-2</v>
      </c>
      <c r="CF152" s="159"/>
      <c r="CI152"/>
      <c r="CJ152"/>
      <c r="CK152"/>
      <c r="CL152"/>
      <c r="CM152"/>
      <c r="CN152"/>
      <c r="CO152"/>
      <c r="CP152"/>
      <c r="CQ152"/>
      <c r="CR152"/>
      <c r="CS152"/>
    </row>
    <row r="153" spans="1:97" ht="12.75" customHeight="1" x14ac:dyDescent="0.35">
      <c r="B153" s="42" t="s">
        <v>25</v>
      </c>
      <c r="C153" s="42"/>
      <c r="D153" s="24"/>
      <c r="E153" s="62"/>
      <c r="F153" s="62"/>
      <c r="G153" s="62"/>
      <c r="H153" s="62"/>
      <c r="I153" s="264">
        <v>3.5000000000000003E-2</v>
      </c>
      <c r="J153" s="62"/>
      <c r="K153" s="62"/>
      <c r="L153" s="62"/>
      <c r="M153" s="62"/>
      <c r="N153" s="264">
        <v>1E-3</v>
      </c>
      <c r="O153" s="46">
        <f>(J31*(1+O33)+J95*(1+O97))/J150-1</f>
        <v>1.4231798531531004E-2</v>
      </c>
      <c r="P153" s="46">
        <f>(K31*(1+P33)+K95*(1+P97))/K150-1</f>
        <v>2.8602150537634374E-2</v>
      </c>
      <c r="Q153" s="46">
        <f>(L31*(1+Q33)+L95*(1+Q97))/L150-1</f>
        <v>3.6116229624379992E-2</v>
      </c>
      <c r="R153" s="46">
        <f>(M31*(1+R33)+M95*(1+R97))/M150-1</f>
        <v>3.1373203285420814E-2</v>
      </c>
      <c r="S153" s="47">
        <f>SUMPRODUCT(O153:R153,J$150:M$150)/N$150</f>
        <v>2.758734599632583E-2</v>
      </c>
      <c r="T153" s="46">
        <f>(O31*(1+T33)+O95*(1+T97))/O150-1</f>
        <v>2.7448383733055026E-2</v>
      </c>
      <c r="U153" s="46">
        <f>(P31*(1+U33)+P95*(1+U97))/P150-1</f>
        <v>1.4224384659416112E-2</v>
      </c>
      <c r="V153" s="46">
        <f>(Q31*(1+V33)+Q95*(1+V97))/Q150-1</f>
        <v>5.2677367969611311E-3</v>
      </c>
      <c r="W153" s="46">
        <f>(R31*(1+W33)+R95*(1+W97))/R150-1</f>
        <v>0</v>
      </c>
      <c r="X153" s="47">
        <f>SUMPRODUCT(T153:W153,O$150:R$150)/S$150</f>
        <v>1.1331433884173519E-2</v>
      </c>
      <c r="Y153" s="46">
        <f>(T31*(1+Y33)+T95*(1+Y97))/T150-1</f>
        <v>6.8440965804066334E-3</v>
      </c>
      <c r="Z153" s="46">
        <f>(U31*(1+Z33)+U95*(1+Z97))/U150-1</f>
        <v>9.1133863413572769E-3</v>
      </c>
      <c r="AA153" s="46">
        <f>(V31*(1+AA33)+V95*(1+AA97))/V150-1</f>
        <v>1.0305425799496781E-2</v>
      </c>
      <c r="AB153" s="46">
        <f>(W31*(1+AB33)+W95*(1+AB97))/W150-1</f>
        <v>1.1131770412287745E-2</v>
      </c>
      <c r="AC153" s="47">
        <f>SUMPRODUCT(Y153:AB153,T$150:W$150)/X$150</f>
        <v>9.3368489022815099E-3</v>
      </c>
      <c r="AD153" s="46">
        <f>(Y31*(1+AD33)+Y95*(1+AD97))/Y150-1</f>
        <v>1.0697218478127768E-2</v>
      </c>
      <c r="AE153" s="46">
        <f>(Z31*(1+AE33)+Z95*(1+AE97))/Z150-1</f>
        <v>0</v>
      </c>
      <c r="AF153" s="46">
        <f>(AA31*(1+AF33)+AA95*(1+AF97))/AA150-1</f>
        <v>3.2929887689455928E-2</v>
      </c>
      <c r="AG153" s="46">
        <f>(AB31*(1+AG33)+AB95*(1+AG97))/AB150-1</f>
        <v>6.5810423521919015E-2</v>
      </c>
      <c r="AH153" s="47">
        <f>SUMPRODUCT(AD153:AG153,Y$150:AB$150)/AC$150</f>
        <v>2.8003440430608734E-2</v>
      </c>
      <c r="AI153" s="46">
        <f>(AD31*(1+AI33)+AD95*(1+AI97))/AD150-1</f>
        <v>7.5369155045118985E-2</v>
      </c>
      <c r="AJ153" s="46">
        <f>(AE31*(1+AJ33)+AE95*(1+AJ97))/AE150-1</f>
        <v>7.9960019990005016E-2</v>
      </c>
      <c r="AK153" s="46">
        <f>(AF31*(1+AK33)+AF95*(1+AK97))/AF150-1</f>
        <v>3.4716342082980578E-2</v>
      </c>
      <c r="AL153" s="46">
        <f>(AG31*(1+AL33)+AG95*(1+AL97))/AG150-1</f>
        <v>9.695409695409829E-3</v>
      </c>
      <c r="AM153" s="47">
        <f>SUMPRODUCT(AI153:AL153,AD$150:AG$150)/AH$150</f>
        <v>4.7976974857876893E-2</v>
      </c>
      <c r="AN153" s="46">
        <f>(AI31*(1+AN33)+AI95*(1+AN97))/AI150-1</f>
        <v>1.0118043844856484E-2</v>
      </c>
      <c r="AO153" s="46">
        <f>(AJ31*(1+AO33)+AJ95*(1+AO97))/AJ150-1</f>
        <v>8.4248149093695268E-3</v>
      </c>
      <c r="AP153" s="46">
        <f>(AK31*(1+AP33)+AK95*(1+AP97))/AK150-1</f>
        <v>1.1658031088082943E-2</v>
      </c>
      <c r="AQ153" s="46">
        <f>(AL31*(1+AQ33)+AL95*(1+AQ97))/AL150-1</f>
        <v>-7.5464578813319028E-3</v>
      </c>
      <c r="AR153" s="47">
        <f>SUMPRODUCT(AN153:AQ153,AI$150:AL$150)/AM$150</f>
        <v>5.8297881918653134E-3</v>
      </c>
      <c r="AS153" s="46">
        <f>(AN31*(1+AS33)+AN95*(1+AS97))/AN150-1</f>
        <v>-1.4884861220558654E-2</v>
      </c>
      <c r="AT153" s="46">
        <f>(AO31*(1+AT33)+AO95*(1+AT97))/AO150-1</f>
        <v>-4.9439683586025573E-3</v>
      </c>
      <c r="AU153" s="46">
        <f>(AP31*(1+AU33)+AP95*(1+AU97))/AP150-1</f>
        <v>-7.6336154776300846E-3</v>
      </c>
      <c r="AV153" s="46">
        <f>(AQ31*(1+AV33)+AQ95*(1+AV97))/AQ150-1</f>
        <v>4.8661800486617945E-3</v>
      </c>
      <c r="AW153" s="47">
        <f>SUMPRODUCT(AS153:AV153,AN$150:AQ$150)/AR$150</f>
        <v>-5.4811355918164975E-3</v>
      </c>
      <c r="AX153" s="46">
        <f>(AS31*(1+AX33)+AS95*(1+AX97))/AS150-1</f>
        <v>1.4728682170542573E-2</v>
      </c>
      <c r="AY153" s="46">
        <f>(AT31*(1+AY33)+AT95*(1+AY97))/AT150-1</f>
        <v>9.0592334494774551E-3</v>
      </c>
      <c r="AZ153" s="46">
        <f>(AU31*(1+AZ33)+AU95*(1+AZ97))/AU150-1</f>
        <v>2.0648967551622377E-2</v>
      </c>
      <c r="BA153" s="46">
        <f>(AV31*(1+BA33)+AV95*(1+BA97))/AV150-1</f>
        <v>6.0465116279069697E-2</v>
      </c>
      <c r="BB153" s="47">
        <f>SUMPRODUCT(AX153:BA153,AS$150:AV$150)/AW$150</f>
        <v>2.5693539378141856E-2</v>
      </c>
      <c r="BC153" s="46">
        <f>(AX31*(1+BC33)+AX95*(1+BC97))/AX150-1</f>
        <v>4.9374999999999947E-2</v>
      </c>
      <c r="BD153" s="46">
        <f>(AY31*(1+BD33)+AY95*(1+BD97))/AY150-1</f>
        <v>5.3444945267224764E-2</v>
      </c>
      <c r="BE153" s="46">
        <f>(AZ31*(1+BE33)+AZ95*(1+BE97))/AZ150-1</f>
        <v>4.587155963302747E-2</v>
      </c>
      <c r="BF153" s="46">
        <f>(BA31*(1+BF33)+BA95*(1+BF97))/BA150-1</f>
        <v>2.5990903183885639E-3</v>
      </c>
      <c r="BG153" s="47">
        <f>SUMPRODUCT(BC153:BF153,AX$150:BA$150)/BB$150</f>
        <v>3.7954326149887405E-2</v>
      </c>
      <c r="BH153" s="46">
        <f>(BC31*(1+BH33)+BC95*(1+BH97))/BC150-1</f>
        <v>0</v>
      </c>
      <c r="BI153" s="46">
        <f>(BD31*(1+BI33)+BD95*(1+BI97))/BD150-1</f>
        <v>0</v>
      </c>
      <c r="BJ153" s="46">
        <f>(BE31*(1+BJ33)+BE95*(1+BJ97))/BE150-1</f>
        <v>0</v>
      </c>
      <c r="BK153" s="46">
        <f>(BF31*(1+BK33)+BF95*(1+BK97))/BF150-1</f>
        <v>0</v>
      </c>
      <c r="BL153" s="47">
        <f>SUMPRODUCT(BH153:BK153,BC$150:BF$150)/BG$150</f>
        <v>0</v>
      </c>
      <c r="BM153" s="46">
        <f>(BH31*(1+BM33)+BH95*(1+BM97))/BH150-1</f>
        <v>0</v>
      </c>
      <c r="BN153" s="46">
        <f>(BI31*(1+BN33)+BI95*(1+BN97))/BI150-1</f>
        <v>0</v>
      </c>
      <c r="BO153" s="46">
        <f>(BJ31*(1+BO33)+BJ95*(1+BO97))/BJ150-1</f>
        <v>2.0380434782609758E-3</v>
      </c>
      <c r="BP153" s="46">
        <f>(BK31*(1+BP33)+BK95*(1+BP97))/BK150-1</f>
        <v>3.3783783783782884E-3</v>
      </c>
      <c r="BQ153" s="47">
        <f>SUMPRODUCT(BM153:BP153,BH$150:BK$150)/BL$150</f>
        <v>1.3522650439486178E-3</v>
      </c>
      <c r="BR153" s="46">
        <f>(BM31*(1+BR33)+BM95*(1+BR97))/BM150-1</f>
        <v>8.3986562150055732E-3</v>
      </c>
      <c r="BS153" s="46">
        <f>(BN31*(1+BS33)+BN95*(1+BS97))/BN150-1</f>
        <v>9.3560814529443093E-3</v>
      </c>
      <c r="BT153" s="46">
        <f>(BO31*(1+BT33)+BO95*(1+BT97))/BO150-1</f>
        <v>7.1704357418642672E-3</v>
      </c>
      <c r="BU153" s="46">
        <f>(BP31*(1+BU33)+BP95*(1+BU97))/BP150-1</f>
        <v>4.7846889952152249E-3</v>
      </c>
      <c r="BV153" s="47">
        <f>SUMPRODUCT(BR153:BU153,BM$150:BP$150)/BQ$150</f>
        <v>7.4774266365687835E-3</v>
      </c>
      <c r="BW153" s="46">
        <f>(BR31*(1+BW33)+BR95*(1+BW97))/BR150-1</f>
        <v>-1.0395010395010118E-3</v>
      </c>
      <c r="BX153" s="46">
        <f>(BS31*(1+BX33)+BS95*(1+BX97))/BS150-1</f>
        <v>-1.0537407797681642E-3</v>
      </c>
      <c r="BY153" s="46">
        <f>(BT31*(1+BY33)+BT95*(1+BY97))/BT150-1</f>
        <v>-1.4966848430726376E-3</v>
      </c>
      <c r="BZ153" s="46">
        <f>(BU31*(1+BZ33)+BU95*(1+BZ97))/BU150-1</f>
        <v>0</v>
      </c>
      <c r="CA153" s="47">
        <f>SUMPRODUCT(BW153:BZ153,BR$150:BU$150)/BV$150</f>
        <v>-9.1209156370630881E-4</v>
      </c>
      <c r="CB153" s="46">
        <f>(BW31*(1+CB33)+BW95*(1+CB97))/BW150-1</f>
        <v>0</v>
      </c>
      <c r="CC153" s="46">
        <f>(BX31*(1+CC33)+BX95*(1+CC97))/BX150-1</f>
        <v>0</v>
      </c>
      <c r="CD153" s="46">
        <f>(BY31*(1+CD33)+BY95*(1+CD97))/BY150-1</f>
        <v>0</v>
      </c>
      <c r="CE153" s="46">
        <f>(BZ31*(1+CE33)+BZ95*(1+CE97))/BZ150-1</f>
        <v>0</v>
      </c>
      <c r="CF153" s="47">
        <f>SUMPRODUCT(CB153:CE153,BW$150:BZ$150)/CA$150</f>
        <v>0</v>
      </c>
      <c r="CI153"/>
      <c r="CJ153"/>
      <c r="CK153"/>
      <c r="CL153"/>
      <c r="CM153"/>
      <c r="CN153"/>
      <c r="CO153"/>
      <c r="CP153"/>
      <c r="CQ153"/>
      <c r="CR153"/>
      <c r="CS153"/>
    </row>
    <row r="154" spans="1:97" s="1" customFormat="1" ht="12.75" customHeight="1" x14ac:dyDescent="0.4">
      <c r="A154" s="24"/>
      <c r="B154" s="53" t="s">
        <v>64</v>
      </c>
      <c r="C154" s="53"/>
      <c r="D154" s="24"/>
      <c r="E154" s="270"/>
      <c r="F154" s="270"/>
      <c r="G154" s="270"/>
      <c r="H154" s="270"/>
      <c r="I154" s="269">
        <f>I151-I153</f>
        <v>0.158</v>
      </c>
      <c r="J154" s="270"/>
      <c r="K154" s="270"/>
      <c r="L154" s="270"/>
      <c r="M154" s="270"/>
      <c r="N154" s="269">
        <f t="shared" ref="N154:W154" si="192">N151-N153</f>
        <v>8.7999999999999995E-2</v>
      </c>
      <c r="O154" s="155">
        <f t="shared" si="192"/>
        <v>3.867426061895296E-2</v>
      </c>
      <c r="P154" s="155">
        <f t="shared" si="192"/>
        <v>0.13096243196601631</v>
      </c>
      <c r="Q154" s="155">
        <f t="shared" si="192"/>
        <v>0.12065201984408214</v>
      </c>
      <c r="R154" s="155">
        <f t="shared" si="192"/>
        <v>9.478182751540043E-2</v>
      </c>
      <c r="S154" s="269">
        <f t="shared" si="192"/>
        <v>9.6340316518632077E-2</v>
      </c>
      <c r="T154" s="155">
        <f t="shared" si="192"/>
        <v>0.10081021897810216</v>
      </c>
      <c r="U154" s="155">
        <f t="shared" si="192"/>
        <v>3.6834573554665129E-2</v>
      </c>
      <c r="V154" s="155">
        <f t="shared" si="192"/>
        <v>1.7768655801985167E-2</v>
      </c>
      <c r="W154" s="155">
        <f t="shared" si="192"/>
        <v>-1.3219373219373165E-2</v>
      </c>
      <c r="X154" s="269">
        <f>SUMPRODUCT(T154:W154,O$150:R$150)/S$150</f>
        <v>3.3715502504273798E-2</v>
      </c>
      <c r="Y154" s="155">
        <f>Y151-Y153</f>
        <v>-6.4029863678373267E-2</v>
      </c>
      <c r="Z154" s="155">
        <f>Z151-Z153</f>
        <v>2.6500381222087643E-3</v>
      </c>
      <c r="AA154" s="155">
        <f>AA151-AA153</f>
        <v>8.8149478979518525E-2</v>
      </c>
      <c r="AB154" s="155">
        <f>AB151-AB153</f>
        <v>7.6869153481926356E-2</v>
      </c>
      <c r="AC154" s="269">
        <f>SUMPRODUCT(Y154:AB154,T$150:W$150)/X$150</f>
        <v>2.5015281962978916E-2</v>
      </c>
      <c r="AD154" s="155">
        <f>AD151-AD153</f>
        <v>0.18425438059061383</v>
      </c>
      <c r="AE154" s="155">
        <f>AE151-AE153</f>
        <v>7.7080417698352832E-2</v>
      </c>
      <c r="AF154" s="155">
        <f>AF151-AF153</f>
        <v>0.12604950387089753</v>
      </c>
      <c r="AG154" s="155">
        <f>AG151-AG153</f>
        <v>0.17131939284577036</v>
      </c>
      <c r="AH154" s="269">
        <f>SUMPRODUCT(AD154:AG154,Y$150:AB$150)/AC$150</f>
        <v>0.13844126297097836</v>
      </c>
      <c r="AI154" s="155">
        <f>AI151-AI153</f>
        <v>7.9983593109105744E-2</v>
      </c>
      <c r="AJ154" s="155">
        <f>AJ151-AJ153</f>
        <v>9.4552723638180902E-2</v>
      </c>
      <c r="AK154" s="155">
        <f>AK151-AK153</f>
        <v>-1.787562329475989E-2</v>
      </c>
      <c r="AL154" s="155">
        <f>AL151-AL153</f>
        <v>-0.10012870012870034</v>
      </c>
      <c r="AM154" s="269">
        <f>SUMPRODUCT(AI154:AL154,AD$150:AG$150)/AH$150</f>
        <v>8.7771461192643792E-3</v>
      </c>
      <c r="AN154" s="155">
        <f>AN151-AN153</f>
        <v>3.5501908227568713E-3</v>
      </c>
      <c r="AO154" s="155">
        <f>AO151-AO153</f>
        <v>2.4338354182622757E-2</v>
      </c>
      <c r="AP154" s="155">
        <f>AP151-AP153</f>
        <v>0.13610288675055515</v>
      </c>
      <c r="AQ154" s="155">
        <f>AQ151-AQ153</f>
        <v>0.17064427884161881</v>
      </c>
      <c r="AR154" s="269">
        <f>SUMPRODUCT(AN154:AQ154,AI$150:AL$150)/AM$150</f>
        <v>8.116685799176182E-2</v>
      </c>
      <c r="AS154" s="155">
        <f>AS151-AS153</f>
        <v>0.1443831538394188</v>
      </c>
      <c r="AT154" s="155">
        <f>AT151-AT153</f>
        <v>0.18737640079103479</v>
      </c>
      <c r="AU154" s="155">
        <f>AU151-AU153</f>
        <v>0.10074123337363983</v>
      </c>
      <c r="AV154" s="155">
        <f>AV151-AV153</f>
        <v>4.1362530413625365E-2</v>
      </c>
      <c r="AW154" s="269">
        <f>SUMPRODUCT(AS154:AV154,AN$150:AQ$150)/AR$150</f>
        <v>0.11767363124327021</v>
      </c>
      <c r="AX154" s="155">
        <f>AX151-AX153</f>
        <v>0.22558139534883725</v>
      </c>
      <c r="AY154" s="155">
        <f>AY151-AY153</f>
        <v>7.3170731707316916E-2</v>
      </c>
      <c r="AZ154" s="155">
        <f>AZ151-AZ153</f>
        <v>0.10471976401179939</v>
      </c>
      <c r="BA154" s="155">
        <f>BA151-BA153</f>
        <v>0.13255813953488382</v>
      </c>
      <c r="BB154" s="269">
        <f>SUMPRODUCT(AX154:BA154,AS$150:AV$150)/AW$150</f>
        <v>0.13200521318190278</v>
      </c>
      <c r="BC154" s="155">
        <f>BC151-BC153</f>
        <v>-9.8124999999999907E-2</v>
      </c>
      <c r="BD154" s="155">
        <f>BD151-BD153</f>
        <v>-0.1641983258209917</v>
      </c>
      <c r="BE154" s="155">
        <f>BE151-BE153</f>
        <v>-0.21035386631716901</v>
      </c>
      <c r="BF154" s="155">
        <f>BF151-BF153</f>
        <v>-0.16439246263807672</v>
      </c>
      <c r="BG154" s="269">
        <f>SUMPRODUCT(BC154:BF154,AX$150:BA$150)/BB$150</f>
        <v>-0.15857188806690256</v>
      </c>
      <c r="BH154" s="155">
        <f>BH151-BH153</f>
        <v>-3.4165571616294299E-2</v>
      </c>
      <c r="BI154" s="155">
        <f>BI151-BI153</f>
        <v>8.1824764663287475E-2</v>
      </c>
      <c r="BJ154" s="155">
        <f>BJ151-BJ153</f>
        <v>0.15450980392156866</v>
      </c>
      <c r="BK154" s="155">
        <f>BK151-BK153</f>
        <v>0.1472868217054264</v>
      </c>
      <c r="BL154" s="269">
        <f>SUMPRODUCT(BH154:BK154,BC$150:BF$150)/BG$150</f>
        <v>8.1931236283833239E-2</v>
      </c>
      <c r="BM154" s="155">
        <f>BM151-BM153</f>
        <v>0.21496598639455788</v>
      </c>
      <c r="BN154" s="155">
        <f>BN151-BN153</f>
        <v>0.21619812583668008</v>
      </c>
      <c r="BO154" s="155">
        <f>BO151-BO153</f>
        <v>0.22961956521739113</v>
      </c>
      <c r="BP154" s="155">
        <f>BP151-BP153</f>
        <v>0.12635135135135145</v>
      </c>
      <c r="BQ154" s="269">
        <f>SUMPRODUCT(BM154:BP154,BH$150:BK$150)/BL$150</f>
        <v>0.19675456389452337</v>
      </c>
      <c r="BR154" s="155">
        <f>BR151-BR153</f>
        <v>6.8868980963045834E-2</v>
      </c>
      <c r="BS154" s="155">
        <f>BS151-BS153</f>
        <v>3.5222894881673295E-2</v>
      </c>
      <c r="BT154" s="155">
        <f>BT151-BT153</f>
        <v>9.8416988416988538E-2</v>
      </c>
      <c r="BU154" s="155">
        <f>BU151-BU153</f>
        <v>0.10062085467747917</v>
      </c>
      <c r="BV154" s="269">
        <f>SUMPRODUCT(BR154:BU154,BM$150:BP$150)/BQ$150</f>
        <v>7.5291770460037474E-2</v>
      </c>
      <c r="BW154" s="155">
        <f>BW151-BW153</f>
        <v>9.6206014990385835E-2</v>
      </c>
      <c r="BX154" s="155">
        <f>BX151-BX153</f>
        <v>8.4194204305880538E-2</v>
      </c>
      <c r="BY154" s="155">
        <f>BY151-BY153</f>
        <v>7.7820457250417086E-2</v>
      </c>
      <c r="BZ154" s="155">
        <f>BZ151-BZ153</f>
        <v>7.7998413894612595E-2</v>
      </c>
      <c r="CA154" s="269">
        <f>SUMPRODUCT(BW154:BZ154,BR$150:BU$150)/BV$150</f>
        <v>8.4048751532010163E-2</v>
      </c>
      <c r="CB154" s="155">
        <f>CB151-CB153</f>
        <v>7.614585591778722E-2</v>
      </c>
      <c r="CC154" s="155">
        <f>CC151-CC153</f>
        <v>7.5990442729845453E-2</v>
      </c>
      <c r="CD154" s="155">
        <f>CD151-CD153</f>
        <v>7.6206747802302299E-2</v>
      </c>
      <c r="CE154" s="155">
        <f>CE151-CE153</f>
        <v>7.6574090972554965E-2</v>
      </c>
      <c r="CF154" s="269">
        <f>SUMPRODUCT(CB154:CE154,BW$150:BZ$150)/CA$150</f>
        <v>7.6225864094926987E-2</v>
      </c>
    </row>
    <row r="155" spans="1:97" ht="12.75" customHeight="1" x14ac:dyDescent="0.35">
      <c r="B155" s="42" t="s">
        <v>27</v>
      </c>
      <c r="C155" s="42"/>
      <c r="D155" s="24"/>
      <c r="E155" s="62"/>
      <c r="F155" s="62"/>
      <c r="G155" s="62"/>
      <c r="H155" s="62"/>
      <c r="I155" s="264">
        <v>-0.02</v>
      </c>
      <c r="J155" s="62"/>
      <c r="K155" s="62"/>
      <c r="L155" s="62"/>
      <c r="M155" s="62"/>
      <c r="N155" s="264">
        <v>-1E-3</v>
      </c>
      <c r="O155" s="46">
        <f>(J31*(1+O35)+J95*(1+O99))/J150-1</f>
        <v>0</v>
      </c>
      <c r="P155" s="46">
        <f>(K31*(1+P35)+K95*(1+P99))/K150-1</f>
        <v>1.5734767025089802E-2</v>
      </c>
      <c r="Q155" s="50">
        <v>0</v>
      </c>
      <c r="R155" s="46">
        <f>(M31*(1+R35)+M95*(1+R99))/M150-1</f>
        <v>-3.0000000000000138E-2</v>
      </c>
      <c r="S155" s="47">
        <v>1E-3</v>
      </c>
      <c r="T155" s="46">
        <f>(O31*(1+T35)+O95*(1+T99))/O150-1</f>
        <v>-5.0000000000000155E-2</v>
      </c>
      <c r="U155" s="46">
        <f>(P31*(1+U35)+P95*(1+U99))/P150-1</f>
        <v>-5.2844876931883222E-2</v>
      </c>
      <c r="V155" s="46">
        <f>(Q31*(1+V35)+Q95*(1+V99))/Q150-1</f>
        <v>-5.0000000000000044E-2</v>
      </c>
      <c r="W155" s="46">
        <f>(R31*(1+W35)+R95*(1+W99))/R150-1</f>
        <v>-3.6439886039886016E-2</v>
      </c>
      <c r="X155" s="47">
        <f>SUMPRODUCT(T155:W155,O$150:R$150)/S$150</f>
        <v>-4.7176618780553674E-2</v>
      </c>
      <c r="Y155" s="46">
        <f>(T31*(1+Y35)+T95*(1+Y99))/T150-1</f>
        <v>-1.58250924214417E-2</v>
      </c>
      <c r="Z155" s="46">
        <f>(U31*(1+Z35)+U95*(1+Z99))/U150-1</f>
        <v>-3.0377954471190183E-3</v>
      </c>
      <c r="AA155" s="46">
        <f>(V31*(1+AA35)+V95*(1+AA99))/V150-1</f>
        <v>-1.0305425799497003E-2</v>
      </c>
      <c r="AB155" s="46">
        <f>(W31*(1+AB35)+W95*(1+AB99))/W150-1</f>
        <v>-1.4842360549716993E-2</v>
      </c>
      <c r="AC155" s="47">
        <f>SUMPRODUCT(Y155:AB155,T$150:W$150)/X$150</f>
        <v>-1.0889137609413086E-2</v>
      </c>
      <c r="AD155" s="46">
        <f>(Y31*(1+AD35)+Y95*(1+AD99))/Y150-1</f>
        <v>-3.565739492709219E-3</v>
      </c>
      <c r="AE155" s="46">
        <f>(Z31*(1+AE35)+Z95*(1+AE99))/Z150-1</f>
        <v>0</v>
      </c>
      <c r="AF155" s="46">
        <f>(AA31*(1+AF35)+AA95*(1+AF99))/AA150-1</f>
        <v>1.0000000000000009E-2</v>
      </c>
      <c r="AG155" s="46">
        <f>(AB31*(1+AG35)+AB95*(1+AG99))/AB150-1</f>
        <v>3.0000000000000249E-2</v>
      </c>
      <c r="AH155" s="47">
        <f>SUMPRODUCT(AD155:AG155,Y$150:AB$150)/AC$150</f>
        <v>9.5788247045114697E-3</v>
      </c>
      <c r="AI155" s="46">
        <f>(AD31*(1+AI35)+AD95*(1+AI99))/AD150-1</f>
        <v>3.4518457752256149E-2</v>
      </c>
      <c r="AJ155" s="46">
        <f>(AE31*(1+AJ35)+AE95*(1+AJ99))/AE150-1</f>
        <v>1.313643178410806E-2</v>
      </c>
      <c r="AK155" s="46">
        <f>(AF31*(1+AK35)+AF95*(1+AK99))/AF150-1</f>
        <v>-3.4688117414621855E-3</v>
      </c>
      <c r="AL155" s="46">
        <f>(AG31*(1+AL35)+AG95*(1+AL99))/AG150-1</f>
        <v>-1.3782067782067697E-2</v>
      </c>
      <c r="AM155" s="47">
        <f>SUMPRODUCT(AI155:AL155,AD$150:AG$150)/AH$150</f>
        <v>6.4354796508171181E-3</v>
      </c>
      <c r="AN155" s="46">
        <f>(AI31*(1+AN35)+AI95*(1+AN99))/AI150-1</f>
        <v>-2.3610544066743677E-2</v>
      </c>
      <c r="AO155" s="46">
        <f>(AJ31*(1+AO35)+AJ95*(1+AO99))/AJ150-1</f>
        <v>-2.2317589992341125E-2</v>
      </c>
      <c r="AP155" s="46">
        <f>(AK31*(1+AP35)+AK95*(1+AP99))/AK150-1</f>
        <v>-1.4034048852701653E-2</v>
      </c>
      <c r="AQ155" s="46">
        <f>(AL31*(1+AQ35)+AL95*(1+AQ99))/AL150-1</f>
        <v>-5.6164512781810005E-3</v>
      </c>
      <c r="AR155" s="47">
        <f>SUMPRODUCT(AN155:AQ155,AI$150:AL$150)/AM$150</f>
        <v>-1.6645148220676569E-2</v>
      </c>
      <c r="AS155" s="46">
        <f>(AN31*(1+AS35)+AN95*(1+AS99))/AN150-1</f>
        <v>-1.0000000000000009E-2</v>
      </c>
      <c r="AT155" s="46">
        <f>(AO31*(1+AT35)+AO95*(1+AT99))/AO150-1</f>
        <v>-1.391562294001325E-2</v>
      </c>
      <c r="AU155" s="46">
        <f>(AP31*(1+AU35)+AP95*(1+AU99))/AP150-1</f>
        <v>6.449012494961659E-3</v>
      </c>
      <c r="AV155" s="46">
        <f>(AQ31*(1+AV35)+AQ95*(1+AV99))/AQ150-1</f>
        <v>1.9999999999999796E-2</v>
      </c>
      <c r="AW155" s="47">
        <f>SUMPRODUCT(AS155:AV155,AN$150:AQ$150)/AR$150</f>
        <v>9.0097738755893196E-4</v>
      </c>
      <c r="AX155" s="46">
        <f>(AS31*(1+AX35)+AS95*(1+AX99))/AS150-1</f>
        <v>3.3844961240310223E-2</v>
      </c>
      <c r="AY155" s="46">
        <f>(AT31*(1+AY35)+AT95*(1+AY99))/AT150-1</f>
        <v>3.0390243902439051E-2</v>
      </c>
      <c r="AZ155" s="46">
        <f>(AU31*(1+AZ35)+AU95*(1+AZ99))/AU150-1</f>
        <v>5.1327433628318708E-3</v>
      </c>
      <c r="BA155" s="46">
        <f>(AV31*(1+BA35)+AV95*(1+BA99))/AV150-1</f>
        <v>-4.3023255813953165E-3</v>
      </c>
      <c r="BB155" s="47">
        <f>SUMPRODUCT(AX155:BA155,AS$150:AV$150)/AW$150</f>
        <v>1.6510891826475572E-2</v>
      </c>
      <c r="BC155" s="46">
        <f>(AX31*(1+BC35)+AX95*(1+BC99))/AX150-1</f>
        <v>-1.4599999999999946E-2</v>
      </c>
      <c r="BD155" s="46">
        <f>(AY31*(1+BD35)+AY95*(1+BD99))/AY150-1</f>
        <v>-3.0264005151319995E-2</v>
      </c>
      <c r="BE155" s="46">
        <f>(AZ31*(1+BE35)+AZ95*(1+BE99))/AZ150-1</f>
        <v>-4.3905635648754937E-2</v>
      </c>
      <c r="BF155" s="46">
        <f>(BA31*(1+BF35)+BA95*(1+BF99))/BA150-1</f>
        <v>-3.3138401559454245E-2</v>
      </c>
      <c r="BG155" s="47">
        <f>SUMPRODUCT(BC155:BF155,AX$150:BA$150)/BB$150</f>
        <v>-3.029269861691862E-2</v>
      </c>
      <c r="BH155" s="46">
        <f>(BC31*(1+BH35)+BC95*(1+BH99))/BC150-1</f>
        <v>-1.8396846254927768E-2</v>
      </c>
      <c r="BI155" s="46">
        <f>(BD31*(1+BI35)+BD95*(1+BI99))/BD150-1</f>
        <v>1.4663287472846953E-3</v>
      </c>
      <c r="BJ155" s="46">
        <f>(BE31*(1+BJ35)+BE95*(1+BJ99))/BE150-1</f>
        <v>1.3333333333333419E-2</v>
      </c>
      <c r="BK155" s="46">
        <f>(BF31*(1+BK35)+BF95*(1+BK99))/BF150-1</f>
        <v>1.6279069767441756E-2</v>
      </c>
      <c r="BL155" s="47">
        <f>SUMPRODUCT(BH155:BK155,BC$150:BF$150)/BG$150</f>
        <v>2.1991587417703141E-3</v>
      </c>
      <c r="BM155" s="46">
        <f>(BH31*(1+BM35)+BH95*(1+BM99))/BH150-1</f>
        <v>2.0408163265306367E-3</v>
      </c>
      <c r="BN155" s="46">
        <f>(BI31*(1+BN35)+BI95*(1+BN99))/BI150-1</f>
        <v>-4.6854082998660784E-3</v>
      </c>
      <c r="BO155" s="46">
        <f>(BJ31*(1+BO35)+BJ95*(1+BO99))/BJ150-1</f>
        <v>5.4347826086955653E-3</v>
      </c>
      <c r="BP155" s="46">
        <f>(BK31*(1+BP35)+BK95*(1+BP99))/BK150-1</f>
        <v>-2.7027027027026751E-3</v>
      </c>
      <c r="BQ155" s="47">
        <f>SUMPRODUCT(BM155:BP155,BH$150:BK$150)/BL$150</f>
        <v>4.7291447296406262E-18</v>
      </c>
      <c r="BR155" s="46">
        <f>(BM31*(1+BR35)+BM95*(1+BR99))/BM150-1</f>
        <v>-7.838745800671898E-3</v>
      </c>
      <c r="BS155" s="46">
        <f>(BN31*(1+BS35)+BN95*(1+BS99))/BN150-1</f>
        <v>1.4859658778205942E-2</v>
      </c>
      <c r="BT155" s="46">
        <f ca="1">(BO31*(1+BT35)+BO95*(1+BT99))/BO150-1</f>
        <v>1.3237727523441878E-2</v>
      </c>
      <c r="BU155" s="46">
        <f>(BP31*(1+BU35)+BP95*(1+BU99))/BP150-1</f>
        <v>2.2125389306978382E-2</v>
      </c>
      <c r="BV155" s="47">
        <f ca="1">SUMPRODUCT(BR155:BU155,BM$150:BP$150)/BQ$150</f>
        <v>1.0439284836522032E-2</v>
      </c>
      <c r="BW155" s="46">
        <f>(BR31*(1+BW35)+BR95*(1+BW99))/BR150-1</f>
        <v>2.4879508276206108E-2</v>
      </c>
      <c r="BX155" s="46">
        <f>(BS31*(1+BX35)+BS95*(1+BX99))/BS150-1</f>
        <v>3.5267261456701782E-3</v>
      </c>
      <c r="BY155" s="46">
        <f>(BT31*(1+BY35)+BT95*(1+BY99))/BT150-1</f>
        <v>-2.5900166584635897E-3</v>
      </c>
      <c r="BZ155" s="46">
        <f>(BU31*(1+BZ35)+BU95*(1+BZ99))/BU150-1</f>
        <v>-4.3248227505119363E-3</v>
      </c>
      <c r="CA155" s="47">
        <f>SUMPRODUCT(BW155:BZ155,BR$150:BU$150)/BV$150</f>
        <v>5.3913850912896541E-3</v>
      </c>
      <c r="CB155" s="46">
        <f>(BW31*(1+CB35)+BW95*(1+CB99))/BW150-1</f>
        <v>-7.4805456544069227E-4</v>
      </c>
      <c r="CC155" s="46">
        <f>(BX31*(1+CC35)+BX95*(1+CC99))/BX150-1</f>
        <v>-7.3947636069704448E-4</v>
      </c>
      <c r="CD155" s="46">
        <f>(BY31*(1+CD35)+BY95*(1+CD99))/BY150-1</f>
        <v>-7.4479770739932505E-4</v>
      </c>
      <c r="CE155" s="46">
        <f>(BZ31*(1+CE35)+BZ95*(1+CE99))/BZ150-1</f>
        <v>-7.1164210804086636E-4</v>
      </c>
      <c r="CF155" s="47">
        <f>SUMPRODUCT(CB155:CE155,BW$150:BZ$150)/CA$150</f>
        <v>-7.3636048241787022E-4</v>
      </c>
      <c r="CI155"/>
      <c r="CJ155"/>
      <c r="CK155"/>
      <c r="CL155"/>
      <c r="CM155"/>
      <c r="CN155"/>
      <c r="CO155"/>
      <c r="CP155"/>
      <c r="CQ155"/>
      <c r="CR155"/>
      <c r="CS155"/>
    </row>
    <row r="156" spans="1:97" ht="12.75" customHeight="1" thickBot="1" x14ac:dyDescent="0.4">
      <c r="A156" s="58"/>
      <c r="B156" s="70" t="s">
        <v>28</v>
      </c>
      <c r="C156" s="70"/>
      <c r="D156" s="71"/>
      <c r="E156" s="256"/>
      <c r="F156" s="256"/>
      <c r="G156" s="256"/>
      <c r="H156" s="256"/>
      <c r="I156" s="244">
        <f>I151-I153-I155</f>
        <v>0.17799999999999999</v>
      </c>
      <c r="J156" s="256"/>
      <c r="K156" s="256"/>
      <c r="L156" s="256"/>
      <c r="M156" s="256"/>
      <c r="N156" s="244">
        <f t="shared" ref="N156:W156" si="193">N151-N153-N155</f>
        <v>8.8999999999999996E-2</v>
      </c>
      <c r="O156" s="246">
        <f t="shared" si="193"/>
        <v>3.867426061895296E-2</v>
      </c>
      <c r="P156" s="246">
        <f t="shared" si="193"/>
        <v>0.11522766494092651</v>
      </c>
      <c r="Q156" s="246">
        <f t="shared" si="193"/>
        <v>0.12065201984408214</v>
      </c>
      <c r="R156" s="246">
        <f t="shared" si="193"/>
        <v>0.12478182751540057</v>
      </c>
      <c r="S156" s="244">
        <f t="shared" si="193"/>
        <v>9.5340316518632076E-2</v>
      </c>
      <c r="T156" s="246">
        <f t="shared" si="193"/>
        <v>0.15081021897810232</v>
      </c>
      <c r="U156" s="246">
        <f t="shared" si="193"/>
        <v>8.9679450486548351E-2</v>
      </c>
      <c r="V156" s="246">
        <f t="shared" si="193"/>
        <v>6.7768655801985211E-2</v>
      </c>
      <c r="W156" s="246">
        <f t="shared" si="193"/>
        <v>2.3220512820512851E-2</v>
      </c>
      <c r="X156" s="244">
        <f>SUMPRODUCT(T156:W156,O$150:R$150)/S$150</f>
        <v>8.0892121284827465E-2</v>
      </c>
      <c r="Y156" s="246">
        <f>Y151-Y153-Y155</f>
        <v>-4.8204771256931567E-2</v>
      </c>
      <c r="Z156" s="246">
        <f>Z151-Z153-Z155</f>
        <v>5.6878335693277826E-3</v>
      </c>
      <c r="AA156" s="246">
        <f>AA151-AA153-AA155</f>
        <v>9.8454904779015529E-2</v>
      </c>
      <c r="AB156" s="246">
        <f>AB151-AB153-AB155</f>
        <v>9.1711514031643349E-2</v>
      </c>
      <c r="AC156" s="244">
        <f>SUMPRODUCT(Y156:AB156,T$150:W$150)/X$150</f>
        <v>3.5904419572392002E-2</v>
      </c>
      <c r="AD156" s="246">
        <f>AD151-AD153-AD155</f>
        <v>0.18782012008332305</v>
      </c>
      <c r="AE156" s="246">
        <f>AE151-AE153-AE155</f>
        <v>7.7080417698352832E-2</v>
      </c>
      <c r="AF156" s="246">
        <f>AF151-AF153-AF155</f>
        <v>0.11604950387089752</v>
      </c>
      <c r="AG156" s="246">
        <f>AG151-AG153-AG155</f>
        <v>0.14131939284577011</v>
      </c>
      <c r="AH156" s="244">
        <f>SUMPRODUCT(AD156:AG156,Y$150:AB$150)/AC$150</f>
        <v>0.12886243826646687</v>
      </c>
      <c r="AI156" s="246">
        <f>AI151-AI153-AI155</f>
        <v>4.5465135356849595E-2</v>
      </c>
      <c r="AJ156" s="246">
        <f>AJ151-AJ153-AJ155</f>
        <v>8.1416291854072842E-2</v>
      </c>
      <c r="AK156" s="246">
        <f>AK151-AK153-AK155</f>
        <v>-1.4406811553297705E-2</v>
      </c>
      <c r="AL156" s="246">
        <f>AL151-AL153-AL155</f>
        <v>-8.6346632346632646E-2</v>
      </c>
      <c r="AM156" s="244">
        <f>SUMPRODUCT(AI156:AL156,AD$150:AG$150)/AH$150</f>
        <v>2.3416664684472615E-3</v>
      </c>
      <c r="AN156" s="246">
        <f>AN151-AN153-AN155</f>
        <v>2.7160734889500548E-2</v>
      </c>
      <c r="AO156" s="246">
        <f>AO151-AO153-AO155</f>
        <v>4.6655944174963881E-2</v>
      </c>
      <c r="AP156" s="246">
        <f>AP151-AP153-AP155</f>
        <v>0.1501369356032568</v>
      </c>
      <c r="AQ156" s="246">
        <f>AQ151-AQ153-AQ155</f>
        <v>0.17626073011979981</v>
      </c>
      <c r="AR156" s="244">
        <f>SUMPRODUCT(AN156:AQ156,AI$150:AL$150)/AM$150</f>
        <v>9.7812006212438379E-2</v>
      </c>
      <c r="AS156" s="246">
        <f>AS151-AS153-AS155</f>
        <v>0.15438315383941881</v>
      </c>
      <c r="AT156" s="246">
        <f>AT151-AT153-AT155</f>
        <v>0.20129202373104804</v>
      </c>
      <c r="AU156" s="246">
        <f>AU151-AU153-AU155</f>
        <v>9.4292220878678168E-2</v>
      </c>
      <c r="AV156" s="246">
        <f>AV151-AV153-AV155</f>
        <v>2.1362530413625569E-2</v>
      </c>
      <c r="AW156" s="244">
        <f>SUMPRODUCT(AS156:AV156,AN$150:AQ$150)/AR$150</f>
        <v>0.11677265385571126</v>
      </c>
      <c r="AX156" s="246">
        <f>AX151-AX153-AX155</f>
        <v>0.19173643410852703</v>
      </c>
      <c r="AY156" s="246">
        <f>AY151-AY153-AY155</f>
        <v>4.2780487804877865E-2</v>
      </c>
      <c r="AZ156" s="246">
        <f>AZ151-AZ153-AZ155</f>
        <v>9.9587020648967517E-2</v>
      </c>
      <c r="BA156" s="246">
        <f>BA151-BA153-BA155</f>
        <v>0.13686046511627914</v>
      </c>
      <c r="BB156" s="244">
        <f>SUMPRODUCT(AX156:BA156,AS$150:AV$150)/AW$150</f>
        <v>0.11549432135542724</v>
      </c>
      <c r="BC156" s="246">
        <f>BC151-BC153-BC155</f>
        <v>-8.352499999999996E-2</v>
      </c>
      <c r="BD156" s="246">
        <f>BD151-BD153-BD155</f>
        <v>-0.1339343206696717</v>
      </c>
      <c r="BE156" s="246">
        <f>BE151-BE153-BE155</f>
        <v>-0.16644823066841408</v>
      </c>
      <c r="BF156" s="246">
        <f>BF151-BF153-BF155</f>
        <v>-0.13125406107862247</v>
      </c>
      <c r="BG156" s="244">
        <f>SUMPRODUCT(BC156:BF156,AX$150:BA$150)/BB$150</f>
        <v>-0.12827918944998393</v>
      </c>
      <c r="BH156" s="246">
        <f>BH151-BH153-BH155</f>
        <v>-1.5768725361366531E-2</v>
      </c>
      <c r="BI156" s="246">
        <f>BI151-BI153-BI155</f>
        <v>8.0358435916002779E-2</v>
      </c>
      <c r="BJ156" s="246">
        <f>BJ151-BJ153-BJ155</f>
        <v>0.14117647058823524</v>
      </c>
      <c r="BK156" s="246">
        <f>BK151-BK153-BK155</f>
        <v>0.13100775193798464</v>
      </c>
      <c r="BL156" s="244">
        <f>SUMPRODUCT(BH156:BK156,BC$150:BF$150)/BG$150</f>
        <v>7.9732077542062935E-2</v>
      </c>
      <c r="BM156" s="246">
        <f>BM151-BM153-BM155</f>
        <v>0.21292517006802725</v>
      </c>
      <c r="BN156" s="246">
        <f>BN151-BN153-BN155</f>
        <v>0.22088353413654616</v>
      </c>
      <c r="BO156" s="246">
        <f>BO151-BO153-BO155</f>
        <v>0.22418478260869557</v>
      </c>
      <c r="BP156" s="246">
        <f>BP151-BP153-BP155</f>
        <v>0.12905405405405412</v>
      </c>
      <c r="BQ156" s="244">
        <f>SUMPRODUCT(BM156:BP156,BH$150:BK$150)/BL$150</f>
        <v>0.19675456389452334</v>
      </c>
      <c r="BR156" s="246">
        <f>BR151-BR153-BR155</f>
        <v>7.6707726763717732E-2</v>
      </c>
      <c r="BS156" s="246">
        <f>BS151-BS153-BS155</f>
        <v>2.0363236103467353E-2</v>
      </c>
      <c r="BT156" s="246">
        <f ca="1">BT151-BT153-BT155</f>
        <v>8.517926089354666E-2</v>
      </c>
      <c r="BU156" s="246">
        <f>BU151-BU153-BU155</f>
        <v>7.8495465370500783E-2</v>
      </c>
      <c r="BV156" s="244">
        <f ca="1">SUMPRODUCT(BR156:BU156,BM$150:BP$150)/BQ$150</f>
        <v>6.4852485623515435E-2</v>
      </c>
      <c r="BW156" s="246">
        <f>BW151-BW153-BW155</f>
        <v>7.1326506714179727E-2</v>
      </c>
      <c r="BX156" s="246">
        <f>BX151-BX153-BX155</f>
        <v>8.066747816021036E-2</v>
      </c>
      <c r="BY156" s="246">
        <f>BY151-BY153-BY155</f>
        <v>8.0410473908880675E-2</v>
      </c>
      <c r="BZ156" s="246">
        <f>BZ151-BZ153-BZ155</f>
        <v>8.2323236645124531E-2</v>
      </c>
      <c r="CA156" s="244">
        <f>SUMPRODUCT(BW156:BZ156,BR$150:BU$150)/BV$150</f>
        <v>7.8657366440720508E-2</v>
      </c>
      <c r="CB156" s="246">
        <f>CB151-CB153-CB155</f>
        <v>7.6893910483227912E-2</v>
      </c>
      <c r="CC156" s="246">
        <f>CC151-CC153-CC155</f>
        <v>7.6729919090542498E-2</v>
      </c>
      <c r="CD156" s="246">
        <f>CD151-CD153-CD155</f>
        <v>7.6951545509701624E-2</v>
      </c>
      <c r="CE156" s="246">
        <f>CE151-CE153-CE155</f>
        <v>7.7285733080595831E-2</v>
      </c>
      <c r="CF156" s="244">
        <f>SUMPRODUCT(CB156:CE156,BW$150:BZ$150)/CA$150</f>
        <v>7.6962224577344862E-2</v>
      </c>
      <c r="CI156"/>
      <c r="CJ156"/>
      <c r="CK156"/>
      <c r="CL156"/>
      <c r="CM156"/>
      <c r="CN156"/>
      <c r="CO156"/>
      <c r="CP156"/>
      <c r="CQ156"/>
      <c r="CR156"/>
      <c r="CS156"/>
    </row>
    <row r="157" spans="1:97" ht="12.75" customHeight="1" x14ac:dyDescent="0.35">
      <c r="B157" s="42"/>
      <c r="C157" s="41"/>
      <c r="D157" s="41"/>
      <c r="E157" s="41"/>
      <c r="F157" s="41"/>
      <c r="G157" s="41"/>
      <c r="H157" s="41"/>
      <c r="I157" s="265"/>
      <c r="J157" s="37"/>
      <c r="K157" s="37"/>
      <c r="L157" s="37"/>
      <c r="M157" s="37"/>
      <c r="N157" s="265"/>
      <c r="O157" s="262"/>
      <c r="P157" s="262"/>
      <c r="Q157" s="262"/>
      <c r="R157" s="262"/>
      <c r="S157" s="266"/>
      <c r="T157" s="262"/>
      <c r="U157" s="262"/>
      <c r="V157" s="262"/>
      <c r="W157" s="262"/>
      <c r="X157" s="267"/>
      <c r="Y157" s="262"/>
      <c r="Z157" s="260"/>
      <c r="AA157" s="262"/>
      <c r="AB157" s="262"/>
      <c r="AC157" s="267"/>
      <c r="AD157" s="260"/>
      <c r="AE157" s="260"/>
      <c r="AF157" s="262"/>
      <c r="AG157" s="262"/>
      <c r="AH157" s="267"/>
      <c r="AI157" s="262"/>
      <c r="AJ157" s="262"/>
      <c r="AK157" s="260"/>
      <c r="AL157" s="262"/>
      <c r="AM157" s="267"/>
      <c r="AN157" s="262"/>
      <c r="AO157" s="37"/>
      <c r="AP157" s="37"/>
      <c r="AQ157" s="37"/>
      <c r="AR157" s="268"/>
      <c r="AS157" s="37"/>
      <c r="AT157" s="37"/>
      <c r="AU157" s="37"/>
      <c r="AV157" s="37"/>
      <c r="AW157" s="268"/>
      <c r="AX157" s="37"/>
      <c r="AY157" s="37"/>
      <c r="AZ157" s="37"/>
      <c r="BA157" s="37"/>
      <c r="BB157" s="268"/>
      <c r="BC157" s="37"/>
      <c r="BD157" s="37"/>
      <c r="BE157" s="37"/>
      <c r="BF157" s="37"/>
      <c r="BG157" s="268"/>
      <c r="BH157" s="37"/>
      <c r="BI157" s="37"/>
      <c r="BJ157" s="37"/>
      <c r="BK157" s="37"/>
      <c r="BL157" s="268"/>
      <c r="BM157" s="37"/>
      <c r="BN157" s="37"/>
      <c r="BO157" s="37"/>
      <c r="BP157" s="37"/>
      <c r="BQ157" s="268"/>
      <c r="BR157" s="37"/>
      <c r="BS157" s="37"/>
      <c r="BT157" s="37"/>
      <c r="BU157" s="37"/>
      <c r="BV157" s="268"/>
      <c r="BW157" s="37"/>
      <c r="BX157" s="37"/>
      <c r="BY157" s="37"/>
      <c r="BZ157" s="37"/>
      <c r="CA157" s="268"/>
      <c r="CB157" s="37"/>
      <c r="CC157" s="37"/>
      <c r="CD157" s="37"/>
      <c r="CE157" s="37"/>
      <c r="CF157" s="268"/>
      <c r="CI157"/>
      <c r="CJ157"/>
      <c r="CK157"/>
      <c r="CL157"/>
      <c r="CM157"/>
      <c r="CN157"/>
      <c r="CO157"/>
      <c r="CP157"/>
      <c r="CQ157"/>
      <c r="CR157"/>
      <c r="CS157"/>
    </row>
    <row r="158" spans="1:97" ht="12.75" customHeight="1" x14ac:dyDescent="0.35">
      <c r="B158" s="218" t="s">
        <v>406</v>
      </c>
      <c r="C158" s="58"/>
      <c r="D158" s="58"/>
      <c r="E158" s="58"/>
      <c r="F158" s="58"/>
      <c r="G158" s="58"/>
      <c r="H158" s="58"/>
      <c r="I158" s="66"/>
      <c r="J158" s="56"/>
      <c r="K158" s="56"/>
      <c r="L158" s="56"/>
      <c r="M158" s="56"/>
      <c r="N158" s="66"/>
      <c r="O158" s="56"/>
      <c r="P158" s="56"/>
      <c r="Q158" s="56"/>
      <c r="R158" s="56"/>
      <c r="S158" s="67"/>
      <c r="T158" s="56"/>
      <c r="U158" s="56"/>
      <c r="V158" s="56"/>
      <c r="W158" s="56"/>
      <c r="X158" s="67"/>
      <c r="Y158" s="56"/>
      <c r="Z158" s="56"/>
      <c r="AA158" s="56"/>
      <c r="AB158" s="56"/>
      <c r="AC158" s="67"/>
      <c r="AD158" s="56"/>
      <c r="AE158" s="56"/>
      <c r="AF158" s="56"/>
      <c r="AG158" s="56"/>
      <c r="AH158" s="67"/>
      <c r="AI158" s="56"/>
      <c r="AJ158" s="56"/>
      <c r="AK158" s="56"/>
      <c r="AL158" s="56"/>
      <c r="AM158" s="67"/>
      <c r="AN158" s="56"/>
      <c r="AO158" s="56"/>
      <c r="AP158" s="56"/>
      <c r="AQ158" s="56"/>
      <c r="AR158" s="67"/>
      <c r="AS158" s="56"/>
      <c r="AT158" s="56"/>
      <c r="AU158" s="466"/>
      <c r="AV158" s="56"/>
      <c r="AW158" s="67"/>
      <c r="AX158" s="56"/>
      <c r="AY158" s="56"/>
      <c r="AZ158" s="56"/>
      <c r="BA158" s="56"/>
      <c r="BB158" s="67"/>
      <c r="BC158" s="56"/>
      <c r="BD158" s="56"/>
      <c r="BE158" s="56"/>
      <c r="BF158" s="56"/>
      <c r="BG158" s="67"/>
      <c r="BH158" s="56"/>
      <c r="BI158" s="56"/>
      <c r="BJ158" s="56"/>
      <c r="BK158" s="56"/>
      <c r="BL158" s="67"/>
      <c r="BM158" s="56"/>
      <c r="BN158" s="56"/>
      <c r="BO158" s="56"/>
      <c r="BP158" s="56"/>
      <c r="BQ158" s="67"/>
      <c r="BR158" s="56"/>
      <c r="BS158" s="56"/>
      <c r="BT158" s="56"/>
      <c r="BU158" s="56"/>
      <c r="BV158" s="67"/>
      <c r="BW158" s="56"/>
      <c r="BX158" s="56"/>
      <c r="BY158" s="56"/>
      <c r="BZ158" s="56"/>
      <c r="CA158" s="67"/>
      <c r="CB158" s="56"/>
      <c r="CC158" s="56"/>
      <c r="CD158" s="56"/>
      <c r="CE158" s="56"/>
      <c r="CF158" s="67"/>
      <c r="CI158"/>
      <c r="CJ158"/>
      <c r="CK158"/>
      <c r="CL158"/>
      <c r="CM158"/>
      <c r="CN158"/>
      <c r="CO158"/>
      <c r="CP158"/>
      <c r="CQ158"/>
      <c r="CR158"/>
      <c r="CS158"/>
    </row>
    <row r="159" spans="1:97" ht="12.75" customHeight="1" x14ac:dyDescent="0.35">
      <c r="B159" s="2" t="s">
        <v>160</v>
      </c>
      <c r="C159" s="58"/>
      <c r="D159" s="58"/>
      <c r="E159" s="58"/>
      <c r="F159" s="58"/>
      <c r="G159" s="58"/>
      <c r="H159" s="58"/>
      <c r="I159" s="66"/>
      <c r="J159" s="56"/>
      <c r="K159" s="56"/>
      <c r="L159" s="56"/>
      <c r="M159" s="56"/>
      <c r="N159" s="508">
        <f t="shared" ref="N159:AS159" si="194">N31/(N$31+N$95)</f>
        <v>0.69527918696172453</v>
      </c>
      <c r="O159" s="509">
        <f t="shared" si="194"/>
        <v>0.68965067778936395</v>
      </c>
      <c r="P159" s="509">
        <f t="shared" si="194"/>
        <v>0.71551230681167721</v>
      </c>
      <c r="Q159" s="509">
        <f t="shared" si="194"/>
        <v>0.66977086141404241</v>
      </c>
      <c r="R159" s="509">
        <f t="shared" si="194"/>
        <v>0.64398860398860391</v>
      </c>
      <c r="S159" s="510">
        <f t="shared" si="194"/>
        <v>0.67954293254956066</v>
      </c>
      <c r="T159" s="509">
        <f t="shared" si="194"/>
        <v>0.69581792975970425</v>
      </c>
      <c r="U159" s="509">
        <f t="shared" si="194"/>
        <v>0.69622045528809506</v>
      </c>
      <c r="V159" s="509">
        <f t="shared" si="194"/>
        <v>0.65648580668343515</v>
      </c>
      <c r="W159" s="509">
        <f t="shared" si="194"/>
        <v>0.62894098625707362</v>
      </c>
      <c r="X159" s="510">
        <f t="shared" si="194"/>
        <v>0.66988090113359156</v>
      </c>
      <c r="Y159" s="509">
        <f t="shared" si="194"/>
        <v>0.64342605072907733</v>
      </c>
      <c r="Z159" s="509">
        <f t="shared" si="194"/>
        <v>0.67348476692862524</v>
      </c>
      <c r="AA159" s="509">
        <f t="shared" si="194"/>
        <v>0.66764802093555775</v>
      </c>
      <c r="AB159" s="509">
        <f t="shared" si="194"/>
        <v>0.64515444220358775</v>
      </c>
      <c r="AC159" s="510">
        <f t="shared" si="194"/>
        <v>0.65778813606348152</v>
      </c>
      <c r="AD159" s="509">
        <f t="shared" si="194"/>
        <v>0.68519278096800662</v>
      </c>
      <c r="AE159" s="509">
        <f t="shared" si="194"/>
        <v>0.68635682158920541</v>
      </c>
      <c r="AF159" s="509">
        <f t="shared" si="194"/>
        <v>0.65311882585379621</v>
      </c>
      <c r="AG159" s="509">
        <f t="shared" si="194"/>
        <v>0.62179322179322183</v>
      </c>
      <c r="AH159" s="510">
        <f t="shared" si="194"/>
        <v>0.65978449608715295</v>
      </c>
      <c r="AI159" s="509">
        <f t="shared" si="194"/>
        <v>0.63894559332564116</v>
      </c>
      <c r="AJ159" s="509">
        <f t="shared" si="194"/>
        <v>0.6402008339715769</v>
      </c>
      <c r="AK159" s="509">
        <f t="shared" si="194"/>
        <v>0.59659511472982973</v>
      </c>
      <c r="AL159" s="509">
        <f t="shared" si="194"/>
        <v>0.56164512781813036</v>
      </c>
      <c r="AM159" s="510">
        <f t="shared" si="194"/>
        <v>0.61052963288090578</v>
      </c>
      <c r="AN159" s="509">
        <f t="shared" si="194"/>
        <v>0.58672620611154891</v>
      </c>
      <c r="AO159" s="509">
        <f t="shared" si="194"/>
        <v>0.60843770599868163</v>
      </c>
      <c r="AP159" s="509">
        <f t="shared" si="194"/>
        <v>0.60185409109230137</v>
      </c>
      <c r="AQ159" s="509">
        <f t="shared" si="194"/>
        <v>0.58394160583941601</v>
      </c>
      <c r="AR159" s="510">
        <f t="shared" si="194"/>
        <v>0.59535740909467405</v>
      </c>
      <c r="AS159" s="509">
        <f t="shared" si="194"/>
        <v>0.61550387596899225</v>
      </c>
      <c r="AT159" s="509">
        <f t="shared" ref="AT159:CA159" si="195">AT31/(AT$31+AT$95)</f>
        <v>0.65365853658536588</v>
      </c>
      <c r="AU159" s="509">
        <f t="shared" si="195"/>
        <v>0.6084070796460177</v>
      </c>
      <c r="AV159" s="509">
        <f t="shared" si="195"/>
        <v>0.56976744186046513</v>
      </c>
      <c r="AW159" s="510">
        <f t="shared" si="195"/>
        <v>0.61292124371625401</v>
      </c>
      <c r="AX159" s="509">
        <f t="shared" si="195"/>
        <v>0.64749999999999996</v>
      </c>
      <c r="AY159" s="509">
        <f t="shared" si="195"/>
        <v>0.63103670315518356</v>
      </c>
      <c r="AZ159" s="509">
        <f t="shared" si="195"/>
        <v>0.60615989515072088</v>
      </c>
      <c r="BA159" s="509">
        <f t="shared" si="195"/>
        <v>0.56595191682910984</v>
      </c>
      <c r="BB159" s="510">
        <f t="shared" si="195"/>
        <v>0.61305886137021548</v>
      </c>
      <c r="BC159" s="509">
        <f t="shared" si="195"/>
        <v>0.54336399474375818</v>
      </c>
      <c r="BD159" s="509">
        <f t="shared" si="195"/>
        <v>0.51122375090514116</v>
      </c>
      <c r="BE159" s="509">
        <f t="shared" si="195"/>
        <v>0.46274509803921571</v>
      </c>
      <c r="BF159" s="509">
        <f t="shared" si="195"/>
        <v>0.44651162790697674</v>
      </c>
      <c r="BG159" s="510">
        <f t="shared" si="195"/>
        <v>0.49359912216532553</v>
      </c>
      <c r="BH159" s="509">
        <f t="shared" si="195"/>
        <v>0.49863945578231295</v>
      </c>
      <c r="BI159" s="509">
        <f t="shared" si="195"/>
        <v>0.5</v>
      </c>
      <c r="BJ159" s="509">
        <f t="shared" si="195"/>
        <v>0.47282608695652173</v>
      </c>
      <c r="BK159" s="509">
        <f t="shared" si="195"/>
        <v>0.46216216216216216</v>
      </c>
      <c r="BL159" s="510">
        <f t="shared" si="195"/>
        <v>0.48343475321162949</v>
      </c>
      <c r="BM159" s="509">
        <f t="shared" si="195"/>
        <v>0.55263157894736847</v>
      </c>
      <c r="BN159" s="509">
        <f t="shared" si="195"/>
        <v>0.55861309851403407</v>
      </c>
      <c r="BO159" s="509">
        <f>BO31/(BO$31+BO$95)</f>
        <v>0.54164368450082734</v>
      </c>
      <c r="BP159" s="509">
        <f t="shared" si="195"/>
        <v>0.48385167464114831</v>
      </c>
      <c r="BQ159" s="510">
        <f t="shared" si="195"/>
        <v>0.53512979683972917</v>
      </c>
      <c r="BR159" s="509">
        <f t="shared" si="195"/>
        <v>0.55353430353430355</v>
      </c>
      <c r="BS159" s="509">
        <f t="shared" si="195"/>
        <v>0.53213909378292945</v>
      </c>
      <c r="BT159" s="509">
        <f t="shared" si="195"/>
        <v>0.54650449254900402</v>
      </c>
      <c r="BU159" s="509">
        <f t="shared" si="195"/>
        <v>0.48628746213208318</v>
      </c>
      <c r="BV159" s="510">
        <f t="shared" si="195"/>
        <v>0.53021250735593228</v>
      </c>
      <c r="BW159" s="509">
        <f t="shared" si="195"/>
        <v>0.55044601336950372</v>
      </c>
      <c r="BX159" s="509">
        <f t="shared" si="195"/>
        <v>0.53451438827363373</v>
      </c>
      <c r="BY159" s="509">
        <f t="shared" si="195"/>
        <v>0.54439730704261058</v>
      </c>
      <c r="BZ159" s="509">
        <f t="shared" si="195"/>
        <v>0.48282001965100058</v>
      </c>
      <c r="CA159" s="510">
        <f t="shared" si="195"/>
        <v>0.52872751257282824</v>
      </c>
      <c r="CB159" s="509">
        <f>CB31/(CB$31+CB$95)</f>
        <v>0.54673190556244322</v>
      </c>
      <c r="CC159" s="509">
        <f>CC31/(CC$31+CC$95)</f>
        <v>0.53068103864053529</v>
      </c>
      <c r="CD159" s="509">
        <f>CD31/(CD$31+CD$95)</f>
        <v>0.54067048388258288</v>
      </c>
      <c r="CE159" s="509">
        <f>CE31/(CE$31+CE$95)</f>
        <v>0.47868784841727352</v>
      </c>
      <c r="CF159" s="510">
        <f>CF31/(CF$31+CF$95)</f>
        <v>0.52487603282847484</v>
      </c>
      <c r="CI159"/>
      <c r="CJ159"/>
      <c r="CK159"/>
      <c r="CL159"/>
      <c r="CM159"/>
      <c r="CN159"/>
      <c r="CO159"/>
      <c r="CP159"/>
      <c r="CQ159"/>
      <c r="CR159"/>
      <c r="CS159"/>
    </row>
    <row r="160" spans="1:97" ht="12.75" customHeight="1" x14ac:dyDescent="0.35">
      <c r="B160" s="2" t="s">
        <v>161</v>
      </c>
      <c r="C160" s="58"/>
      <c r="D160" s="58"/>
      <c r="E160" s="58"/>
      <c r="F160" s="58"/>
      <c r="G160" s="58"/>
      <c r="H160" s="58"/>
      <c r="I160" s="66"/>
      <c r="J160" s="56"/>
      <c r="K160" s="56"/>
      <c r="L160" s="56"/>
      <c r="M160" s="56"/>
      <c r="N160" s="508">
        <f t="shared" ref="N160:AS160" si="196">N95/(N$31+N$95)</f>
        <v>0.30472081303827547</v>
      </c>
      <c r="O160" s="509">
        <f t="shared" si="196"/>
        <v>0.31034932221063599</v>
      </c>
      <c r="P160" s="509">
        <f t="shared" si="196"/>
        <v>0.2844876931883229</v>
      </c>
      <c r="Q160" s="509">
        <f t="shared" si="196"/>
        <v>0.33022913858595759</v>
      </c>
      <c r="R160" s="509">
        <f t="shared" si="196"/>
        <v>0.35601139601139603</v>
      </c>
      <c r="S160" s="510">
        <f t="shared" si="196"/>
        <v>0.32045706745043934</v>
      </c>
      <c r="T160" s="509">
        <f t="shared" si="196"/>
        <v>0.30418207024029581</v>
      </c>
      <c r="U160" s="509">
        <f t="shared" si="196"/>
        <v>0.30377954471190499</v>
      </c>
      <c r="V160" s="509">
        <f t="shared" si="196"/>
        <v>0.34351419331656485</v>
      </c>
      <c r="W160" s="509">
        <f t="shared" si="196"/>
        <v>0.37105901374292638</v>
      </c>
      <c r="X160" s="510">
        <f t="shared" si="196"/>
        <v>0.33011909886640839</v>
      </c>
      <c r="Y160" s="509">
        <f t="shared" si="196"/>
        <v>0.35657394927092267</v>
      </c>
      <c r="Z160" s="509">
        <f t="shared" si="196"/>
        <v>0.3265152330713747</v>
      </c>
      <c r="AA160" s="509">
        <f t="shared" si="196"/>
        <v>0.3323519790644423</v>
      </c>
      <c r="AB160" s="509">
        <f t="shared" si="196"/>
        <v>0.3548455577964123</v>
      </c>
      <c r="AC160" s="510">
        <f t="shared" si="196"/>
        <v>0.34221186393651848</v>
      </c>
      <c r="AD160" s="507">
        <f t="shared" si="196"/>
        <v>0.31480721903199343</v>
      </c>
      <c r="AE160" s="507">
        <f t="shared" si="196"/>
        <v>0.31364317841079459</v>
      </c>
      <c r="AF160" s="507">
        <f t="shared" si="196"/>
        <v>0.34688117414620373</v>
      </c>
      <c r="AG160" s="507">
        <f t="shared" si="196"/>
        <v>0.37820677820677823</v>
      </c>
      <c r="AH160" s="506">
        <f t="shared" si="196"/>
        <v>0.34021550391284694</v>
      </c>
      <c r="AI160" s="507">
        <f t="shared" si="196"/>
        <v>0.36105440667435873</v>
      </c>
      <c r="AJ160" s="507">
        <f t="shared" si="196"/>
        <v>0.3597991660284231</v>
      </c>
      <c r="AK160" s="507">
        <f t="shared" si="196"/>
        <v>0.40340488527017027</v>
      </c>
      <c r="AL160" s="507">
        <f t="shared" si="196"/>
        <v>0.43835487218186969</v>
      </c>
      <c r="AM160" s="506">
        <f t="shared" si="196"/>
        <v>0.38947036711909427</v>
      </c>
      <c r="AN160" s="507">
        <f t="shared" si="196"/>
        <v>0.41327379388845115</v>
      </c>
      <c r="AO160" s="507">
        <f t="shared" si="196"/>
        <v>0.39156229400131831</v>
      </c>
      <c r="AP160" s="507">
        <f t="shared" si="196"/>
        <v>0.39814590890769852</v>
      </c>
      <c r="AQ160" s="507">
        <f t="shared" si="196"/>
        <v>0.41605839416058393</v>
      </c>
      <c r="AR160" s="506">
        <f t="shared" si="196"/>
        <v>0.40464259090532601</v>
      </c>
      <c r="AS160" s="507">
        <f t="shared" si="196"/>
        <v>0.38449612403100775</v>
      </c>
      <c r="AT160" s="507">
        <f t="shared" ref="AT160:CA160" si="197">AT95/(AT$31+AT$95)</f>
        <v>0.34634146341463412</v>
      </c>
      <c r="AU160" s="507">
        <f t="shared" si="197"/>
        <v>0.3915929203539823</v>
      </c>
      <c r="AV160" s="507">
        <f t="shared" si="197"/>
        <v>0.43023255813953487</v>
      </c>
      <c r="AW160" s="506">
        <f t="shared" si="197"/>
        <v>0.38707875628374605</v>
      </c>
      <c r="AX160" s="507">
        <f t="shared" si="197"/>
        <v>0.35249999999999998</v>
      </c>
      <c r="AY160" s="507">
        <f t="shared" si="197"/>
        <v>0.36896329684481649</v>
      </c>
      <c r="AZ160" s="507">
        <f t="shared" si="197"/>
        <v>0.39384010484927917</v>
      </c>
      <c r="BA160" s="507">
        <f t="shared" si="197"/>
        <v>0.43404808317089016</v>
      </c>
      <c r="BB160" s="506">
        <f t="shared" si="197"/>
        <v>0.38694113862978452</v>
      </c>
      <c r="BC160" s="509">
        <f t="shared" si="197"/>
        <v>0.45663600525624176</v>
      </c>
      <c r="BD160" s="509">
        <f t="shared" si="197"/>
        <v>0.48877624909485878</v>
      </c>
      <c r="BE160" s="509">
        <f t="shared" si="197"/>
        <v>0.53725490196078429</v>
      </c>
      <c r="BF160" s="509">
        <f t="shared" si="197"/>
        <v>0.55348837209302326</v>
      </c>
      <c r="BG160" s="510">
        <f t="shared" si="197"/>
        <v>0.50640087783467447</v>
      </c>
      <c r="BH160" s="509">
        <f t="shared" si="197"/>
        <v>0.50136054421768705</v>
      </c>
      <c r="BI160" s="509">
        <f t="shared" si="197"/>
        <v>0.5</v>
      </c>
      <c r="BJ160" s="509">
        <f t="shared" si="197"/>
        <v>0.52717391304347827</v>
      </c>
      <c r="BK160" s="509">
        <f t="shared" si="197"/>
        <v>0.53783783783783778</v>
      </c>
      <c r="BL160" s="510">
        <f t="shared" si="197"/>
        <v>0.51656524678837057</v>
      </c>
      <c r="BM160" s="509">
        <f t="shared" si="197"/>
        <v>0.44736842105263158</v>
      </c>
      <c r="BN160" s="509">
        <f t="shared" si="197"/>
        <v>0.44138690148596588</v>
      </c>
      <c r="BO160" s="509">
        <f>BO95/(BO$31+BO$95)</f>
        <v>0.45835631549917266</v>
      </c>
      <c r="BP160" s="509">
        <f t="shared" si="197"/>
        <v>0.51614832535885169</v>
      </c>
      <c r="BQ160" s="510">
        <f t="shared" si="197"/>
        <v>0.46487020316027089</v>
      </c>
      <c r="BR160" s="509">
        <f t="shared" si="197"/>
        <v>0.44646569646569645</v>
      </c>
      <c r="BS160" s="509">
        <f t="shared" si="197"/>
        <v>0.4678609062170706</v>
      </c>
      <c r="BT160" s="509">
        <f t="shared" si="197"/>
        <v>0.45349550745099604</v>
      </c>
      <c r="BU160" s="509">
        <f t="shared" si="197"/>
        <v>0.51371253786791693</v>
      </c>
      <c r="BV160" s="510">
        <f t="shared" si="197"/>
        <v>0.46978749264406777</v>
      </c>
      <c r="BW160" s="509">
        <f t="shared" si="197"/>
        <v>0.44955398663049617</v>
      </c>
      <c r="BX160" s="509">
        <f t="shared" si="197"/>
        <v>0.4654856117263661</v>
      </c>
      <c r="BY160" s="509">
        <f t="shared" si="197"/>
        <v>0.45560269295738931</v>
      </c>
      <c r="BZ160" s="509">
        <f t="shared" si="197"/>
        <v>0.51717998034899948</v>
      </c>
      <c r="CA160" s="510">
        <f t="shared" si="197"/>
        <v>0.47127248742717187</v>
      </c>
      <c r="CB160" s="509">
        <f>CB95/(CB$31+CB$95)</f>
        <v>0.45326809443755678</v>
      </c>
      <c r="CC160" s="509">
        <f>CC95/(CC$31+CC$95)</f>
        <v>0.4693189613594646</v>
      </c>
      <c r="CD160" s="509">
        <f>CD95/(CD$31+CD$95)</f>
        <v>0.45932951611741701</v>
      </c>
      <c r="CE160" s="509">
        <f>CE95/(CE$31+CE$95)</f>
        <v>0.52131215158272659</v>
      </c>
      <c r="CF160" s="510">
        <f>CF95/(CF$31+CF$95)</f>
        <v>0.47512396717152533</v>
      </c>
      <c r="CI160"/>
      <c r="CJ160"/>
      <c r="CK160"/>
      <c r="CL160"/>
      <c r="CM160"/>
      <c r="CN160"/>
      <c r="CO160"/>
      <c r="CP160"/>
      <c r="CQ160"/>
      <c r="CR160"/>
      <c r="CS160"/>
    </row>
    <row r="161" spans="2:97" ht="12.75" customHeight="1" x14ac:dyDescent="0.35">
      <c r="B161" s="42"/>
      <c r="C161" s="41"/>
      <c r="D161" s="41"/>
      <c r="E161" s="41"/>
      <c r="F161" s="41"/>
      <c r="G161" s="41"/>
      <c r="H161" s="41"/>
      <c r="I161" s="265"/>
      <c r="J161" s="37"/>
      <c r="K161" s="37"/>
      <c r="L161" s="37"/>
      <c r="M161" s="37"/>
      <c r="N161" s="265"/>
      <c r="O161" s="262"/>
      <c r="P161" s="262"/>
      <c r="Q161" s="262"/>
      <c r="R161" s="262"/>
      <c r="S161" s="266"/>
      <c r="T161" s="262"/>
      <c r="U161" s="262"/>
      <c r="V161" s="262"/>
      <c r="W161" s="262"/>
      <c r="X161" s="267"/>
      <c r="Y161" s="262"/>
      <c r="Z161" s="260"/>
      <c r="AA161" s="262"/>
      <c r="AB161" s="262"/>
      <c r="AC161" s="267"/>
      <c r="AD161" s="260"/>
      <c r="AE161" s="260"/>
      <c r="AF161" s="262"/>
      <c r="AG161" s="262"/>
      <c r="AH161" s="267"/>
      <c r="AI161" s="262"/>
      <c r="AJ161" s="262"/>
      <c r="AK161" s="260"/>
      <c r="AL161" s="262"/>
      <c r="AM161" s="267"/>
      <c r="AN161" s="262"/>
      <c r="AO161" s="37"/>
      <c r="AP161" s="37"/>
      <c r="AQ161" s="37"/>
      <c r="AR161" s="268"/>
      <c r="AS161" s="37"/>
      <c r="AT161" s="37"/>
      <c r="AU161" s="37"/>
      <c r="AV161" s="37"/>
      <c r="AW161" s="268"/>
      <c r="AX161" s="37"/>
      <c r="AY161" s="37"/>
      <c r="AZ161" s="37"/>
      <c r="BA161" s="37"/>
      <c r="BB161" s="268"/>
      <c r="BC161" s="37"/>
      <c r="BD161" s="37"/>
      <c r="BE161" s="37"/>
      <c r="BF161" s="37"/>
      <c r="BG161" s="268"/>
      <c r="BH161" s="37"/>
      <c r="BI161" s="37"/>
      <c r="BJ161" s="37"/>
      <c r="BK161" s="37"/>
      <c r="BL161" s="268"/>
      <c r="BM161" s="37"/>
      <c r="BN161" s="37"/>
      <c r="BO161" s="37"/>
      <c r="BP161" s="37"/>
      <c r="BQ161" s="268"/>
      <c r="BR161" s="37"/>
      <c r="BS161" s="37"/>
      <c r="BT161" s="37"/>
      <c r="BU161" s="37"/>
      <c r="BV161" s="268"/>
      <c r="BW161" s="37"/>
      <c r="BX161" s="37"/>
      <c r="BY161" s="37"/>
      <c r="BZ161" s="37"/>
      <c r="CA161" s="268"/>
      <c r="CB161" s="37"/>
      <c r="CC161" s="37"/>
      <c r="CD161" s="37"/>
      <c r="CE161" s="37"/>
      <c r="CF161" s="268"/>
      <c r="CI161"/>
      <c r="CJ161"/>
      <c r="CK161"/>
      <c r="CL161"/>
      <c r="CM161"/>
      <c r="CN161"/>
      <c r="CO161"/>
      <c r="CP161"/>
      <c r="CQ161"/>
      <c r="CR161"/>
      <c r="CS161"/>
    </row>
    <row r="162" spans="2:97" ht="12.75" customHeight="1" x14ac:dyDescent="0.35">
      <c r="B162" s="218" t="s">
        <v>453</v>
      </c>
      <c r="C162" s="58"/>
      <c r="D162" s="58"/>
      <c r="E162" s="58"/>
      <c r="F162" s="58"/>
      <c r="G162" s="58"/>
      <c r="H162" s="58"/>
      <c r="I162" s="66"/>
      <c r="J162" s="56"/>
      <c r="K162" s="56"/>
      <c r="L162" s="56"/>
      <c r="M162" s="56"/>
      <c r="N162" s="66"/>
      <c r="O162" s="56"/>
      <c r="P162" s="56"/>
      <c r="Q162" s="56"/>
      <c r="R162" s="56"/>
      <c r="S162" s="67"/>
      <c r="T162" s="56"/>
      <c r="U162" s="56"/>
      <c r="V162" s="56"/>
      <c r="W162" s="56"/>
      <c r="X162" s="67"/>
      <c r="Y162" s="56"/>
      <c r="Z162" s="56"/>
      <c r="AA162" s="56"/>
      <c r="AB162" s="56"/>
      <c r="AC162" s="67"/>
      <c r="AD162" s="56"/>
      <c r="AE162" s="56"/>
      <c r="AF162" s="56"/>
      <c r="AG162" s="56"/>
      <c r="AH162" s="67"/>
      <c r="AI162" s="56"/>
      <c r="AJ162" s="56"/>
      <c r="AK162" s="56"/>
      <c r="AL162" s="56"/>
      <c r="AM162" s="67"/>
      <c r="AN162" s="56"/>
      <c r="AO162" s="56"/>
      <c r="AP162" s="56"/>
      <c r="AQ162" s="56"/>
      <c r="AR162" s="67"/>
      <c r="AS162" s="56"/>
      <c r="AT162" s="56"/>
      <c r="AU162" s="466"/>
      <c r="AV162" s="56"/>
      <c r="AW162" s="67"/>
      <c r="AX162" s="56"/>
      <c r="AY162" s="56"/>
      <c r="AZ162" s="56"/>
      <c r="BA162" s="56"/>
      <c r="BB162" s="67"/>
      <c r="BC162" s="56"/>
      <c r="BD162" s="56"/>
      <c r="BE162" s="56"/>
      <c r="BF162" s="56"/>
      <c r="BG162" s="67"/>
      <c r="BH162" s="56"/>
      <c r="BI162" s="56"/>
      <c r="BJ162" s="56"/>
      <c r="BK162" s="56"/>
      <c r="BL162" s="67"/>
      <c r="BM162" s="56"/>
      <c r="BN162" s="56"/>
      <c r="BO162" s="56"/>
      <c r="BP162" s="56"/>
      <c r="BQ162" s="67"/>
      <c r="BR162" s="56"/>
      <c r="BS162" s="56"/>
      <c r="BT162" s="56"/>
      <c r="BU162" s="56"/>
      <c r="BV162" s="67"/>
      <c r="BW162" s="56"/>
      <c r="BX162" s="56"/>
      <c r="BY162" s="56"/>
      <c r="BZ162" s="56"/>
      <c r="CA162" s="67"/>
      <c r="CB162" s="56"/>
      <c r="CC162" s="56"/>
      <c r="CD162" s="56"/>
      <c r="CE162" s="56"/>
      <c r="CF162" s="67"/>
      <c r="CI162"/>
      <c r="CJ162"/>
      <c r="CK162"/>
      <c r="CL162"/>
      <c r="CM162"/>
      <c r="CN162"/>
      <c r="CO162"/>
      <c r="CP162"/>
      <c r="CQ162"/>
      <c r="CR162"/>
      <c r="CS162"/>
    </row>
    <row r="163" spans="2:97" ht="12.75" customHeight="1" x14ac:dyDescent="0.35">
      <c r="B163" s="2" t="s">
        <v>160</v>
      </c>
      <c r="C163" s="58"/>
      <c r="D163" s="58"/>
      <c r="E163" s="58"/>
      <c r="F163" s="58"/>
      <c r="G163" s="58"/>
      <c r="H163" s="58"/>
      <c r="I163" s="66"/>
      <c r="J163" s="56"/>
      <c r="K163" s="56"/>
      <c r="L163" s="56"/>
      <c r="M163" s="56"/>
      <c r="N163" s="508">
        <f t="shared" ref="N163:AS163" si="198">N52/(N$52+N$135)</f>
        <v>0.83551963611257773</v>
      </c>
      <c r="O163" s="509">
        <f t="shared" si="198"/>
        <v>0.84666465439179006</v>
      </c>
      <c r="P163" s="509">
        <f t="shared" si="198"/>
        <v>0.86423679060665348</v>
      </c>
      <c r="Q163" s="509">
        <f t="shared" si="198"/>
        <v>0.81566820276497698</v>
      </c>
      <c r="R163" s="509">
        <f t="shared" si="198"/>
        <v>0.78620888632429309</v>
      </c>
      <c r="S163" s="510">
        <f t="shared" si="198"/>
        <v>0.82955575702629192</v>
      </c>
      <c r="T163" s="509">
        <f t="shared" si="198"/>
        <v>0.85748663101604272</v>
      </c>
      <c r="U163" s="509">
        <f t="shared" si="198"/>
        <v>0.83777354900095147</v>
      </c>
      <c r="V163" s="509">
        <f t="shared" si="198"/>
        <v>0.797266514806378</v>
      </c>
      <c r="W163" s="509">
        <f t="shared" si="198"/>
        <v>0.77960526315789491</v>
      </c>
      <c r="X163" s="510">
        <f t="shared" si="198"/>
        <v>0.82</v>
      </c>
      <c r="Y163" s="509">
        <f t="shared" si="198"/>
        <v>0.80240885416666674</v>
      </c>
      <c r="Z163" s="509">
        <f t="shared" si="198"/>
        <v>0.83164251207729467</v>
      </c>
      <c r="AA163" s="509">
        <f t="shared" si="198"/>
        <v>0.82987044732339277</v>
      </c>
      <c r="AB163" s="509">
        <f t="shared" si="198"/>
        <v>0.81885162601626016</v>
      </c>
      <c r="AC163" s="510">
        <f t="shared" si="198"/>
        <v>0.82196994553448377</v>
      </c>
      <c r="AD163" s="509">
        <f t="shared" si="198"/>
        <v>0.84983314794215792</v>
      </c>
      <c r="AE163" s="509">
        <f t="shared" si="198"/>
        <v>0.84684300341296925</v>
      </c>
      <c r="AF163" s="509">
        <f t="shared" si="198"/>
        <v>0.80448239060832449</v>
      </c>
      <c r="AG163" s="509">
        <f t="shared" si="198"/>
        <v>0.7772531307739684</v>
      </c>
      <c r="AH163" s="510">
        <f t="shared" si="198"/>
        <v>0.81888040984043975</v>
      </c>
      <c r="AI163" s="509">
        <f t="shared" si="198"/>
        <v>0.8094485076101996</v>
      </c>
      <c r="AJ163" s="509">
        <f t="shared" si="198"/>
        <v>0.81374682626042805</v>
      </c>
      <c r="AK163" s="509">
        <f t="shared" si="198"/>
        <v>0.74395833333333328</v>
      </c>
      <c r="AL163" s="509">
        <f t="shared" si="198"/>
        <v>0.71724915445321302</v>
      </c>
      <c r="AM163" s="510">
        <f t="shared" si="198"/>
        <v>0.77413166397415178</v>
      </c>
      <c r="AN163" s="509">
        <f t="shared" si="198"/>
        <v>0.72965716646014045</v>
      </c>
      <c r="AO163" s="509">
        <f t="shared" si="198"/>
        <v>0.76516495211067759</v>
      </c>
      <c r="AP163" s="509">
        <f t="shared" si="198"/>
        <v>0.75151515151515147</v>
      </c>
      <c r="AQ163" s="509">
        <f t="shared" si="198"/>
        <v>0.75095785440613028</v>
      </c>
      <c r="AR163" s="510">
        <f t="shared" si="198"/>
        <v>0.75003492433061703</v>
      </c>
      <c r="AS163" s="509">
        <f t="shared" si="198"/>
        <v>0.76393442622950825</v>
      </c>
      <c r="AT163" s="509">
        <f t="shared" ref="AT163:CA163" si="199">AT52/(AT$52+AT$135)</f>
        <v>0.80658436213991769</v>
      </c>
      <c r="AU163" s="509">
        <f t="shared" si="199"/>
        <v>0.75659824046920821</v>
      </c>
      <c r="AV163" s="509">
        <f t="shared" si="199"/>
        <v>0.68228105906313641</v>
      </c>
      <c r="AW163" s="510">
        <f t="shared" si="199"/>
        <v>0.75835987261146498</v>
      </c>
      <c r="AX163" s="509">
        <f t="shared" si="199"/>
        <v>0.78899082568807344</v>
      </c>
      <c r="AY163" s="509">
        <f t="shared" si="199"/>
        <v>0.77845777233782132</v>
      </c>
      <c r="AZ163" s="509">
        <f t="shared" si="199"/>
        <v>0.77633477633477632</v>
      </c>
      <c r="BA163" s="509">
        <f t="shared" si="199"/>
        <v>0.81901279707495434</v>
      </c>
      <c r="BB163" s="510">
        <f t="shared" si="199"/>
        <v>0.78866507340389214</v>
      </c>
      <c r="BC163" s="509">
        <f t="shared" si="199"/>
        <v>0.67779390420899854</v>
      </c>
      <c r="BD163" s="509">
        <f t="shared" si="199"/>
        <v>0.64583333333333337</v>
      </c>
      <c r="BE163" s="509">
        <f t="shared" si="199"/>
        <v>0.54424778761061943</v>
      </c>
      <c r="BF163" s="509">
        <f t="shared" si="199"/>
        <v>0.53379953379953382</v>
      </c>
      <c r="BG163" s="510">
        <f t="shared" si="199"/>
        <v>0.61230195712954338</v>
      </c>
      <c r="BH163" s="509">
        <f t="shared" si="199"/>
        <v>0.65296052631578949</v>
      </c>
      <c r="BI163" s="509">
        <f t="shared" si="199"/>
        <v>0.65837479270315091</v>
      </c>
      <c r="BJ163" s="509">
        <f t="shared" si="199"/>
        <v>0.5733113673805601</v>
      </c>
      <c r="BK163" s="509">
        <f t="shared" si="199"/>
        <v>0.57241379310344831</v>
      </c>
      <c r="BL163" s="510">
        <f t="shared" si="199"/>
        <v>0.61467889908256879</v>
      </c>
      <c r="BM163" s="509">
        <f t="shared" si="199"/>
        <v>0.72546728971962615</v>
      </c>
      <c r="BN163" s="509">
        <f t="shared" si="199"/>
        <v>0.73380447585394581</v>
      </c>
      <c r="BO163" s="509">
        <f>BO52/(BO$52+BO$135)</f>
        <v>0.69362745098039214</v>
      </c>
      <c r="BP163" s="509">
        <f t="shared" si="199"/>
        <v>0.57415565345080766</v>
      </c>
      <c r="BQ163" s="510">
        <f t="shared" si="199"/>
        <v>0.68738288569643968</v>
      </c>
      <c r="BR163" s="509">
        <f t="shared" si="199"/>
        <v>0.7282377919320594</v>
      </c>
      <c r="BS163" s="509">
        <f t="shared" si="199"/>
        <v>0.69003285870755748</v>
      </c>
      <c r="BT163" s="509">
        <f t="shared" si="199"/>
        <v>0.70184816831344909</v>
      </c>
      <c r="BU163" s="509">
        <f t="shared" si="199"/>
        <v>0.58809617103195788</v>
      </c>
      <c r="BV163" s="510">
        <f t="shared" si="199"/>
        <v>0.67985324708039796</v>
      </c>
      <c r="BW163" s="509">
        <f t="shared" si="199"/>
        <v>0.7189321379844209</v>
      </c>
      <c r="BX163" s="509">
        <f t="shared" si="199"/>
        <v>0.68570651836831009</v>
      </c>
      <c r="BY163" s="509">
        <f t="shared" si="199"/>
        <v>0.68497358197144198</v>
      </c>
      <c r="BZ163" s="509">
        <f t="shared" si="199"/>
        <v>0.56829294229956129</v>
      </c>
      <c r="CA163" s="510">
        <f t="shared" si="199"/>
        <v>0.66786686752528934</v>
      </c>
      <c r="CB163" s="509">
        <f>CB52/(CB$52+CB$135)</f>
        <v>0.71179277342920577</v>
      </c>
      <c r="CC163" s="509">
        <f>CC52/(CC$52+CC$135)</f>
        <v>0.67865492960082008</v>
      </c>
      <c r="CD163" s="509">
        <f>CD52/(CD$52+CD$135)</f>
        <v>0.6774560301535455</v>
      </c>
      <c r="CE163" s="509">
        <f>CE52/(CE$52+CE$135)</f>
        <v>0.56084366982053879</v>
      </c>
      <c r="CF163" s="510">
        <f>CF52/(CF$52+CF$135)</f>
        <v>0.66054223403759482</v>
      </c>
      <c r="CI163"/>
      <c r="CJ163"/>
      <c r="CK163"/>
      <c r="CL163"/>
      <c r="CM163"/>
      <c r="CN163"/>
      <c r="CO163"/>
      <c r="CP163"/>
      <c r="CQ163"/>
      <c r="CR163"/>
      <c r="CS163"/>
    </row>
    <row r="164" spans="2:97" ht="12.75" customHeight="1" x14ac:dyDescent="0.35">
      <c r="B164" s="2" t="s">
        <v>161</v>
      </c>
      <c r="C164" s="58"/>
      <c r="D164" s="58"/>
      <c r="E164" s="58"/>
      <c r="F164" s="58"/>
      <c r="G164" s="58"/>
      <c r="H164" s="58"/>
      <c r="I164" s="66"/>
      <c r="J164" s="56"/>
      <c r="K164" s="56"/>
      <c r="L164" s="56"/>
      <c r="M164" s="56"/>
      <c r="N164" s="508">
        <f t="shared" ref="N164:AS164" si="200">N135/(N$52+N$135)</f>
        <v>0.16448036388742232</v>
      </c>
      <c r="O164" s="509">
        <f t="shared" si="200"/>
        <v>0.15333534560820997</v>
      </c>
      <c r="P164" s="509">
        <f t="shared" si="200"/>
        <v>0.13576320939334643</v>
      </c>
      <c r="Q164" s="509">
        <f t="shared" si="200"/>
        <v>0.18433179723502302</v>
      </c>
      <c r="R164" s="509">
        <f t="shared" si="200"/>
        <v>0.21379111367570686</v>
      </c>
      <c r="S164" s="510">
        <f t="shared" si="200"/>
        <v>0.17044424297370811</v>
      </c>
      <c r="T164" s="509">
        <f t="shared" si="200"/>
        <v>0.14251336898395728</v>
      </c>
      <c r="U164" s="509">
        <f t="shared" si="200"/>
        <v>0.16222645099904848</v>
      </c>
      <c r="V164" s="509">
        <f t="shared" si="200"/>
        <v>0.20273348519362189</v>
      </c>
      <c r="W164" s="509">
        <f t="shared" si="200"/>
        <v>0.22039473684210517</v>
      </c>
      <c r="X164" s="510">
        <f t="shared" si="200"/>
        <v>0.18</v>
      </c>
      <c r="Y164" s="509">
        <f t="shared" si="200"/>
        <v>0.19759114583333331</v>
      </c>
      <c r="Z164" s="509">
        <f t="shared" si="200"/>
        <v>0.16835748792270536</v>
      </c>
      <c r="AA164" s="509">
        <f t="shared" si="200"/>
        <v>0.17012955267660726</v>
      </c>
      <c r="AB164" s="509">
        <f t="shared" si="200"/>
        <v>0.18114837398373987</v>
      </c>
      <c r="AC164" s="510">
        <f t="shared" si="200"/>
        <v>0.17803005446551623</v>
      </c>
      <c r="AD164" s="507">
        <f t="shared" si="200"/>
        <v>0.15016685205784203</v>
      </c>
      <c r="AE164" s="507">
        <f t="shared" si="200"/>
        <v>0.15315699658703072</v>
      </c>
      <c r="AF164" s="507">
        <f t="shared" si="200"/>
        <v>0.19551760939167548</v>
      </c>
      <c r="AG164" s="507">
        <f t="shared" si="200"/>
        <v>0.2227468692260316</v>
      </c>
      <c r="AH164" s="506">
        <f t="shared" si="200"/>
        <v>0.18111959015956022</v>
      </c>
      <c r="AI164" s="507">
        <f t="shared" si="200"/>
        <v>0.1905514923898004</v>
      </c>
      <c r="AJ164" s="507">
        <f t="shared" si="200"/>
        <v>0.18625317373957193</v>
      </c>
      <c r="AK164" s="507">
        <f t="shared" si="200"/>
        <v>0.25604166666666672</v>
      </c>
      <c r="AL164" s="507">
        <f t="shared" si="200"/>
        <v>0.28275084554678698</v>
      </c>
      <c r="AM164" s="506">
        <f t="shared" si="200"/>
        <v>0.22586833602584819</v>
      </c>
      <c r="AN164" s="507">
        <f t="shared" si="200"/>
        <v>0.27034283353985961</v>
      </c>
      <c r="AO164" s="507">
        <f t="shared" si="200"/>
        <v>0.23483504788932238</v>
      </c>
      <c r="AP164" s="507">
        <f t="shared" si="200"/>
        <v>0.24848484848484859</v>
      </c>
      <c r="AQ164" s="507">
        <f t="shared" si="200"/>
        <v>0.24904214559386972</v>
      </c>
      <c r="AR164" s="506">
        <f t="shared" si="200"/>
        <v>0.24996507566938297</v>
      </c>
      <c r="AS164" s="507">
        <f t="shared" si="200"/>
        <v>0.23606557377049181</v>
      </c>
      <c r="AT164" s="507">
        <f t="shared" ref="AT164:CA164" si="201">AT135/(AT$52+AT$135)</f>
        <v>0.19341563786008231</v>
      </c>
      <c r="AU164" s="507">
        <f t="shared" si="201"/>
        <v>0.24340175953079179</v>
      </c>
      <c r="AV164" s="507">
        <f t="shared" si="201"/>
        <v>0.31771894093686354</v>
      </c>
      <c r="AW164" s="506">
        <f t="shared" si="201"/>
        <v>0.24164012738853502</v>
      </c>
      <c r="AX164" s="507">
        <f t="shared" si="201"/>
        <v>0.21100917431192662</v>
      </c>
      <c r="AY164" s="507">
        <f t="shared" si="201"/>
        <v>0.22154222766217871</v>
      </c>
      <c r="AZ164" s="507">
        <f t="shared" si="201"/>
        <v>0.22366522366522368</v>
      </c>
      <c r="BA164" s="507">
        <f t="shared" si="201"/>
        <v>0.18098720292504569</v>
      </c>
      <c r="BB164" s="506">
        <f t="shared" si="201"/>
        <v>0.21133492659610789</v>
      </c>
      <c r="BC164" s="509">
        <f t="shared" si="201"/>
        <v>0.32220609579100146</v>
      </c>
      <c r="BD164" s="509">
        <f t="shared" si="201"/>
        <v>0.35416666666666669</v>
      </c>
      <c r="BE164" s="509">
        <f t="shared" si="201"/>
        <v>0.45575221238938052</v>
      </c>
      <c r="BF164" s="509">
        <f t="shared" si="201"/>
        <v>0.46620046620046618</v>
      </c>
      <c r="BG164" s="510">
        <f t="shared" si="201"/>
        <v>0.38769804287045667</v>
      </c>
      <c r="BH164" s="509">
        <f t="shared" si="201"/>
        <v>0.34703947368421051</v>
      </c>
      <c r="BI164" s="509">
        <f t="shared" si="201"/>
        <v>0.34162520729684909</v>
      </c>
      <c r="BJ164" s="509">
        <f t="shared" si="201"/>
        <v>0.42668863261943984</v>
      </c>
      <c r="BK164" s="509">
        <f t="shared" si="201"/>
        <v>0.42758620689655175</v>
      </c>
      <c r="BL164" s="510">
        <f t="shared" si="201"/>
        <v>0.38532110091743121</v>
      </c>
      <c r="BM164" s="509">
        <f t="shared" si="201"/>
        <v>0.27453271028037385</v>
      </c>
      <c r="BN164" s="509">
        <f t="shared" si="201"/>
        <v>0.26619552414605419</v>
      </c>
      <c r="BO164" s="509">
        <f>BO135/(BO$52+BO$135)</f>
        <v>0.30637254901960786</v>
      </c>
      <c r="BP164" s="509">
        <f t="shared" si="201"/>
        <v>0.42584434654919234</v>
      </c>
      <c r="BQ164" s="510">
        <f t="shared" si="201"/>
        <v>0.31261711430356026</v>
      </c>
      <c r="BR164" s="509">
        <f t="shared" si="201"/>
        <v>0.27176220806794055</v>
      </c>
      <c r="BS164" s="509">
        <f t="shared" si="201"/>
        <v>0.30996714129244252</v>
      </c>
      <c r="BT164" s="509">
        <f t="shared" si="201"/>
        <v>0.29815183168655085</v>
      </c>
      <c r="BU164" s="509">
        <f t="shared" si="201"/>
        <v>0.41190382896804217</v>
      </c>
      <c r="BV164" s="510">
        <f t="shared" si="201"/>
        <v>0.32014675291960204</v>
      </c>
      <c r="BW164" s="509">
        <f t="shared" si="201"/>
        <v>0.28106786201557915</v>
      </c>
      <c r="BX164" s="509">
        <f t="shared" si="201"/>
        <v>0.31429348163168991</v>
      </c>
      <c r="BY164" s="509">
        <f t="shared" si="201"/>
        <v>0.31502641802855802</v>
      </c>
      <c r="BZ164" s="509">
        <f t="shared" si="201"/>
        <v>0.43170705770043877</v>
      </c>
      <c r="CA164" s="510">
        <f t="shared" si="201"/>
        <v>0.33213313247471071</v>
      </c>
      <c r="CB164" s="509">
        <f>CB135/(CB$52+CB$135)</f>
        <v>0.28820722657079412</v>
      </c>
      <c r="CC164" s="509">
        <f>CC135/(CC$52+CC$135)</f>
        <v>0.32134507039917981</v>
      </c>
      <c r="CD164" s="509">
        <f>CD135/(CD$52+CD$135)</f>
        <v>0.32254396984645445</v>
      </c>
      <c r="CE164" s="509">
        <f>CE135/(CE$52+CE$135)</f>
        <v>0.43915633017946121</v>
      </c>
      <c r="CF164" s="510">
        <f>CF135/(CF$52+CF$135)</f>
        <v>0.33945776596240529</v>
      </c>
      <c r="CI164"/>
      <c r="CJ164"/>
      <c r="CK164"/>
      <c r="CL164"/>
      <c r="CM164"/>
      <c r="CN164"/>
      <c r="CO164"/>
      <c r="CP164"/>
      <c r="CQ164"/>
      <c r="CR164"/>
      <c r="CS164"/>
    </row>
    <row r="165" spans="2:97" ht="12.75" customHeight="1" x14ac:dyDescent="0.35">
      <c r="B165" s="42"/>
      <c r="C165" s="41"/>
      <c r="D165" s="41"/>
      <c r="E165" s="41"/>
      <c r="F165" s="41"/>
      <c r="G165" s="41"/>
      <c r="H165" s="41"/>
      <c r="I165" s="265"/>
      <c r="J165" s="37"/>
      <c r="K165" s="37"/>
      <c r="L165" s="37"/>
      <c r="M165" s="37"/>
      <c r="N165" s="265"/>
      <c r="O165" s="262"/>
      <c r="P165" s="262"/>
      <c r="Q165" s="262"/>
      <c r="R165" s="262"/>
      <c r="S165" s="266"/>
      <c r="T165" s="262"/>
      <c r="U165" s="262"/>
      <c r="V165" s="262"/>
      <c r="W165" s="262"/>
      <c r="X165" s="267"/>
      <c r="Y165" s="262"/>
      <c r="Z165" s="260"/>
      <c r="AA165" s="262"/>
      <c r="AB165" s="262"/>
      <c r="AC165" s="267"/>
      <c r="AD165" s="260"/>
      <c r="AE165" s="260"/>
      <c r="AF165" s="262"/>
      <c r="AG165" s="262"/>
      <c r="AH165" s="267"/>
      <c r="AI165" s="262"/>
      <c r="AJ165" s="262"/>
      <c r="AK165" s="260"/>
      <c r="AL165" s="262"/>
      <c r="AM165" s="267"/>
      <c r="AN165" s="262"/>
      <c r="AO165" s="37"/>
      <c r="AP165" s="37"/>
      <c r="AQ165" s="37"/>
      <c r="AR165" s="268"/>
      <c r="AS165" s="37"/>
      <c r="AT165" s="37"/>
      <c r="AU165" s="37"/>
      <c r="AV165" s="37"/>
      <c r="AW165" s="268"/>
      <c r="AX165" s="37"/>
      <c r="AY165" s="37"/>
      <c r="AZ165" s="37"/>
      <c r="BA165" s="37"/>
      <c r="BB165" s="268"/>
      <c r="BC165" s="37"/>
      <c r="BD165" s="37"/>
      <c r="BE165" s="37"/>
      <c r="BF165" s="37"/>
      <c r="BG165" s="268"/>
      <c r="BH165" s="37"/>
      <c r="BI165" s="37"/>
      <c r="BJ165" s="37"/>
      <c r="BK165" s="37"/>
      <c r="BL165" s="268"/>
      <c r="BM165" s="37"/>
      <c r="BN165" s="37"/>
      <c r="BO165" s="37"/>
      <c r="BP165" s="37"/>
      <c r="BQ165" s="268"/>
      <c r="BR165" s="37"/>
      <c r="BS165" s="37"/>
      <c r="BT165" s="37"/>
      <c r="BU165" s="37"/>
      <c r="BV165" s="268"/>
      <c r="BW165" s="37"/>
      <c r="BX165" s="37"/>
      <c r="BY165" s="37"/>
      <c r="BZ165" s="37"/>
      <c r="CA165" s="268"/>
      <c r="CB165" s="37"/>
      <c r="CC165" s="37"/>
      <c r="CD165" s="37"/>
      <c r="CE165" s="37"/>
      <c r="CF165" s="268"/>
      <c r="CI165"/>
      <c r="CJ165"/>
      <c r="CK165"/>
      <c r="CL165"/>
      <c r="CM165"/>
      <c r="CN165"/>
      <c r="CO165"/>
      <c r="CP165"/>
      <c r="CQ165"/>
      <c r="CR165"/>
      <c r="CS165"/>
    </row>
    <row r="166" spans="2:97" ht="12.75" customHeight="1" x14ac:dyDescent="0.35">
      <c r="B166" s="218" t="s">
        <v>140</v>
      </c>
      <c r="C166" s="58"/>
      <c r="D166" s="58"/>
      <c r="E166" s="58"/>
      <c r="F166" s="58"/>
      <c r="G166" s="58"/>
      <c r="H166" s="58"/>
      <c r="I166" s="66"/>
      <c r="J166" s="56"/>
      <c r="K166" s="56"/>
      <c r="L166" s="56"/>
      <c r="M166" s="56"/>
      <c r="N166" s="66"/>
      <c r="O166" s="56"/>
      <c r="P166" s="56"/>
      <c r="Q166" s="56"/>
      <c r="R166" s="56"/>
      <c r="S166" s="67"/>
      <c r="T166" s="56"/>
      <c r="U166" s="56"/>
      <c r="V166" s="56"/>
      <c r="W166" s="56"/>
      <c r="X166" s="67"/>
      <c r="Y166" s="56"/>
      <c r="Z166" s="56"/>
      <c r="AA166" s="56"/>
      <c r="AB166" s="56"/>
      <c r="AC166" s="67"/>
      <c r="AD166" s="56"/>
      <c r="AE166" s="56"/>
      <c r="AF166" s="56"/>
      <c r="AG166" s="56"/>
      <c r="AH166" s="67"/>
      <c r="AI166" s="56"/>
      <c r="AJ166" s="56"/>
      <c r="AK166" s="56"/>
      <c r="AL166" s="56"/>
      <c r="AM166" s="67"/>
      <c r="AN166" s="56"/>
      <c r="AO166" s="56"/>
      <c r="AP166" s="56"/>
      <c r="AQ166" s="56"/>
      <c r="AR166" s="67"/>
      <c r="AS166" s="56"/>
      <c r="AT166" s="56"/>
      <c r="AU166" s="466"/>
      <c r="AV166" s="56"/>
      <c r="AW166" s="67"/>
      <c r="AX166" s="56"/>
      <c r="AY166" s="56"/>
      <c r="AZ166" s="56"/>
      <c r="BA166" s="56"/>
      <c r="BB166" s="67"/>
      <c r="BC166" s="56"/>
      <c r="BD166" s="56"/>
      <c r="BE166" s="56"/>
      <c r="BF166" s="56"/>
      <c r="BG166" s="67"/>
      <c r="BH166" s="56"/>
      <c r="BI166" s="56"/>
      <c r="BJ166" s="56"/>
      <c r="BK166" s="56"/>
      <c r="BL166" s="67"/>
      <c r="BM166" s="56"/>
      <c r="BN166" s="56"/>
      <c r="BO166" s="56"/>
      <c r="BP166" s="56"/>
      <c r="BQ166" s="67"/>
      <c r="BR166" s="56"/>
      <c r="BS166" s="56"/>
      <c r="BT166" s="56"/>
      <c r="BU166" s="56"/>
      <c r="BV166" s="67"/>
      <c r="BW166" s="56"/>
      <c r="BX166" s="56"/>
      <c r="BY166" s="56"/>
      <c r="BZ166" s="56"/>
      <c r="CA166" s="67"/>
      <c r="CB166" s="56"/>
      <c r="CC166" s="56"/>
      <c r="CD166" s="56"/>
      <c r="CE166" s="56"/>
      <c r="CF166" s="67"/>
      <c r="CI166"/>
      <c r="CJ166"/>
      <c r="CK166"/>
      <c r="CL166"/>
      <c r="CM166"/>
      <c r="CN166"/>
      <c r="CO166"/>
      <c r="CP166"/>
      <c r="CQ166"/>
      <c r="CR166"/>
      <c r="CS166"/>
    </row>
    <row r="167" spans="2:97" ht="12.75" customHeight="1" x14ac:dyDescent="0.35">
      <c r="B167" s="24" t="s">
        <v>144</v>
      </c>
      <c r="C167" s="58"/>
      <c r="D167" s="58"/>
      <c r="E167" s="58"/>
      <c r="F167" s="58"/>
      <c r="G167" s="58"/>
      <c r="H167" s="58"/>
      <c r="I167" s="66"/>
      <c r="J167" s="56"/>
      <c r="K167" s="56"/>
      <c r="L167" s="56"/>
      <c r="M167" s="56"/>
      <c r="N167" s="66"/>
      <c r="O167" s="56"/>
      <c r="P167" s="56"/>
      <c r="Q167" s="56"/>
      <c r="R167" s="56"/>
      <c r="S167" s="67"/>
      <c r="T167" s="56"/>
      <c r="U167" s="56"/>
      <c r="V167" s="56"/>
      <c r="W167" s="56"/>
      <c r="X167" s="67"/>
      <c r="Y167" s="56"/>
      <c r="Z167" s="56"/>
      <c r="AA167" s="56"/>
      <c r="AB167" s="56"/>
      <c r="AC167" s="67"/>
      <c r="AD167" s="56"/>
      <c r="AE167" s="56"/>
      <c r="AF167" s="56"/>
      <c r="AG167" s="56"/>
      <c r="AH167" s="67"/>
      <c r="AI167" s="56"/>
      <c r="AJ167" s="56"/>
      <c r="AK167" s="56"/>
      <c r="AL167" s="56"/>
      <c r="AM167" s="67"/>
      <c r="AN167" s="56"/>
      <c r="AO167" s="56"/>
      <c r="AP167" s="56"/>
      <c r="AQ167" s="56"/>
      <c r="AR167" s="67"/>
      <c r="AS167" s="56"/>
      <c r="AT167" s="56"/>
      <c r="AU167" s="56"/>
      <c r="AV167" s="56"/>
      <c r="AW167" s="67"/>
      <c r="AX167" s="56"/>
      <c r="AY167" s="56"/>
      <c r="AZ167" s="56"/>
      <c r="BA167" s="56"/>
      <c r="BB167" s="67"/>
      <c r="BC167" s="56"/>
      <c r="BD167" s="56"/>
      <c r="BE167" s="56"/>
      <c r="BF167" s="56"/>
      <c r="BG167" s="67"/>
      <c r="BH167" s="56"/>
      <c r="BI167" s="56"/>
      <c r="BJ167" s="56"/>
      <c r="BK167" s="56"/>
      <c r="BL167" s="67"/>
      <c r="BM167" s="56"/>
      <c r="BN167" s="56"/>
      <c r="BO167" s="56"/>
      <c r="BP167" s="56"/>
      <c r="BQ167" s="67"/>
      <c r="BR167" s="56"/>
      <c r="BS167" s="56"/>
      <c r="BT167" s="56"/>
      <c r="BU167" s="56"/>
      <c r="BV167" s="67"/>
      <c r="BW167" s="56"/>
      <c r="BX167" s="56"/>
      <c r="BY167" s="56"/>
      <c r="BZ167" s="56"/>
      <c r="CA167" s="67"/>
      <c r="CB167" s="56"/>
      <c r="CC167" s="56"/>
      <c r="CD167" s="56"/>
      <c r="CE167" s="56"/>
      <c r="CF167" s="67"/>
      <c r="CI167"/>
      <c r="CJ167"/>
      <c r="CK167"/>
      <c r="CL167"/>
      <c r="CM167"/>
      <c r="CN167"/>
      <c r="CO167"/>
      <c r="CP167"/>
      <c r="CQ167"/>
      <c r="CR167"/>
      <c r="CS167"/>
    </row>
    <row r="168" spans="2:97" ht="12.75" customHeight="1" x14ac:dyDescent="0.35">
      <c r="B168" s="2" t="s">
        <v>145</v>
      </c>
      <c r="C168" s="58"/>
      <c r="D168" s="58"/>
      <c r="E168" s="58"/>
      <c r="F168" s="58"/>
      <c r="G168" s="58"/>
      <c r="H168" s="58"/>
      <c r="I168" s="66"/>
      <c r="J168" s="56"/>
      <c r="K168" s="56"/>
      <c r="L168" s="56"/>
      <c r="M168" s="56"/>
      <c r="N168" s="66"/>
      <c r="O168" s="56"/>
      <c r="P168" s="56"/>
      <c r="Q168" s="56"/>
      <c r="R168" s="56"/>
      <c r="S168" s="67"/>
      <c r="T168" s="56"/>
      <c r="U168" s="56"/>
      <c r="V168" s="56"/>
      <c r="W168" s="56"/>
      <c r="X168" s="67"/>
      <c r="Y168" s="56"/>
      <c r="Z168" s="56"/>
      <c r="AA168" s="56"/>
      <c r="AB168" s="56"/>
      <c r="AC168" s="67"/>
      <c r="AD168" s="173">
        <v>495.6</v>
      </c>
      <c r="AE168" s="173">
        <v>511.9</v>
      </c>
      <c r="AF168" s="173">
        <v>528.1</v>
      </c>
      <c r="AG168" s="173">
        <v>584.9</v>
      </c>
      <c r="AH168" s="220">
        <v>2120.5</v>
      </c>
      <c r="AI168" s="173">
        <v>523.79999999999995</v>
      </c>
      <c r="AJ168" s="173">
        <v>562.4</v>
      </c>
      <c r="AK168" s="173">
        <v>461.1</v>
      </c>
      <c r="AL168" s="173">
        <v>413.6</v>
      </c>
      <c r="AM168" s="220">
        <v>1961.3</v>
      </c>
      <c r="AN168" s="173">
        <v>481.4</v>
      </c>
      <c r="AO168" s="173">
        <v>546.79999999999995</v>
      </c>
      <c r="AP168" s="173">
        <v>557.1</v>
      </c>
      <c r="AQ168" s="173">
        <v>517</v>
      </c>
      <c r="AR168" s="369">
        <f>SUM(AN168:AQ168)</f>
        <v>2102.2999999999997</v>
      </c>
      <c r="AS168" s="173">
        <v>569</v>
      </c>
      <c r="AT168" s="173">
        <v>706</v>
      </c>
      <c r="AU168" s="173">
        <v>599</v>
      </c>
      <c r="AV168" s="173">
        <v>500</v>
      </c>
      <c r="AW168" s="369">
        <f>SUM(AS168:AV168)</f>
        <v>2374</v>
      </c>
      <c r="AX168" s="173">
        <v>788</v>
      </c>
      <c r="AY168" s="173">
        <v>724</v>
      </c>
      <c r="AZ168" s="173">
        <v>667</v>
      </c>
      <c r="BA168" s="173">
        <v>628</v>
      </c>
      <c r="BB168" s="369">
        <f>SUM(AX168:BA168)</f>
        <v>2807</v>
      </c>
      <c r="BC168" s="173">
        <v>573</v>
      </c>
      <c r="BD168" s="173">
        <f>BD150-BD171</f>
        <v>451</v>
      </c>
      <c r="BE168" s="173">
        <v>334</v>
      </c>
      <c r="BF168" s="173">
        <v>323</v>
      </c>
      <c r="BG168" s="369">
        <f>SUM(BC168:BF168)</f>
        <v>1681</v>
      </c>
      <c r="BH168" s="173">
        <v>476</v>
      </c>
      <c r="BI168" s="173">
        <v>490</v>
      </c>
      <c r="BJ168" s="173">
        <v>436</v>
      </c>
      <c r="BK168" s="173">
        <f>1826-BJ168-BI168-BH168</f>
        <v>424</v>
      </c>
      <c r="BL168" s="369">
        <f>SUM(BH168:BK168)</f>
        <v>1826</v>
      </c>
      <c r="BM168" s="173">
        <v>719</v>
      </c>
      <c r="BN168" s="173">
        <v>731</v>
      </c>
      <c r="BO168" s="173">
        <v>701</v>
      </c>
      <c r="BP168" s="173">
        <v>527</v>
      </c>
      <c r="BQ168" s="369">
        <f>SUM(BM168:BP168)</f>
        <v>2678</v>
      </c>
      <c r="BR168" s="173">
        <v>769</v>
      </c>
      <c r="BS168" s="173">
        <v>699</v>
      </c>
      <c r="BT168" s="56"/>
      <c r="BU168" s="56"/>
      <c r="BV168" s="67"/>
      <c r="BW168" s="56"/>
      <c r="BX168" s="56"/>
      <c r="BY168" s="56"/>
      <c r="BZ168" s="56"/>
      <c r="CA168" s="67"/>
      <c r="CB168" s="56"/>
      <c r="CC168" s="56"/>
      <c r="CD168" s="56"/>
      <c r="CE168" s="56"/>
      <c r="CF168" s="67"/>
      <c r="CI168"/>
      <c r="CJ168"/>
      <c r="CK168"/>
      <c r="CL168"/>
      <c r="CM168"/>
      <c r="CN168"/>
      <c r="CO168"/>
      <c r="CP168"/>
      <c r="CQ168"/>
      <c r="CR168"/>
      <c r="CS168"/>
    </row>
    <row r="169" spans="2:97" ht="12.75" customHeight="1" x14ac:dyDescent="0.35">
      <c r="B169" s="42" t="s">
        <v>126</v>
      </c>
      <c r="C169" s="58"/>
      <c r="D169" s="58"/>
      <c r="E169" s="58"/>
      <c r="F169" s="58"/>
      <c r="G169" s="58"/>
      <c r="H169" s="58"/>
      <c r="I169" s="66"/>
      <c r="J169" s="56"/>
      <c r="K169" s="56"/>
      <c r="L169" s="56"/>
      <c r="M169" s="56"/>
      <c r="N169" s="66"/>
      <c r="O169" s="56"/>
      <c r="P169" s="56"/>
      <c r="Q169" s="56"/>
      <c r="R169" s="56"/>
      <c r="S169" s="67"/>
      <c r="T169" s="56"/>
      <c r="U169" s="56"/>
      <c r="V169" s="56"/>
      <c r="W169" s="56"/>
      <c r="X169" s="67"/>
      <c r="Y169" s="56"/>
      <c r="Z169" s="56"/>
      <c r="AA169" s="56"/>
      <c r="AB169" s="56"/>
      <c r="AC169" s="67"/>
      <c r="AD169" s="153" t="str">
        <f>IFERROR(AD168/Y168-1,"NA")</f>
        <v>NA</v>
      </c>
      <c r="AE169" s="153" t="str">
        <f>IFERROR(AE168/Z168-1,"NA")</f>
        <v>NA</v>
      </c>
      <c r="AF169" s="153" t="str">
        <f>IFERROR(AF168/AA168-1,"NA")</f>
        <v>NA</v>
      </c>
      <c r="AG169" s="153" t="str">
        <f>IFERROR(AG168/AB168-1,"NA")</f>
        <v>NA</v>
      </c>
      <c r="AH169" s="184" t="str">
        <f>IFERROR(AH168/AC168-1,"NA")</f>
        <v>NA</v>
      </c>
      <c r="AI169" s="69">
        <f>AI168/AD168-1</f>
        <v>5.6900726392251633E-2</v>
      </c>
      <c r="AJ169" s="153">
        <f>IFERROR(AJ168/AE168-1,"NA")</f>
        <v>9.8652080484469717E-2</v>
      </c>
      <c r="AK169" s="153">
        <f>IFERROR(AK168/AF168-1,"NA")</f>
        <v>-0.12686991100170419</v>
      </c>
      <c r="AL169" s="69">
        <f>AL168/AG168-1</f>
        <v>-0.29287057616686607</v>
      </c>
      <c r="AM169" s="184">
        <f>IFERROR(AM168/AH168-1,"NA")</f>
        <v>-7.5076632869606197E-2</v>
      </c>
      <c r="AN169" s="69">
        <f t="shared" ref="AN169:BD169" si="202">AN168/AI168-1</f>
        <v>-8.0946926307751021E-2</v>
      </c>
      <c r="AO169" s="69">
        <f t="shared" si="202"/>
        <v>-2.7738264580369876E-2</v>
      </c>
      <c r="AP169" s="69">
        <f t="shared" si="202"/>
        <v>0.20819778789850352</v>
      </c>
      <c r="AQ169" s="69">
        <f t="shared" si="202"/>
        <v>0.25</v>
      </c>
      <c r="AR169" s="455">
        <f t="shared" si="202"/>
        <v>7.1891092642634824E-2</v>
      </c>
      <c r="AS169" s="69">
        <f t="shared" si="202"/>
        <v>0.18196925633568761</v>
      </c>
      <c r="AT169" s="69">
        <f t="shared" si="202"/>
        <v>0.29114850036576456</v>
      </c>
      <c r="AU169" s="69">
        <f t="shared" si="202"/>
        <v>7.5210913660025192E-2</v>
      </c>
      <c r="AV169" s="69">
        <f t="shared" si="202"/>
        <v>-3.2882011605415817E-2</v>
      </c>
      <c r="AW169" s="455">
        <f t="shared" si="202"/>
        <v>0.12923940446178017</v>
      </c>
      <c r="AX169" s="69">
        <f t="shared" si="202"/>
        <v>0.38488576449912126</v>
      </c>
      <c r="AY169" s="69">
        <f t="shared" si="202"/>
        <v>2.5495750708215192E-2</v>
      </c>
      <c r="AZ169" s="69">
        <f t="shared" si="202"/>
        <v>0.11352253756260433</v>
      </c>
      <c r="BA169" s="69">
        <f t="shared" si="202"/>
        <v>0.25600000000000001</v>
      </c>
      <c r="BB169" s="455">
        <f t="shared" si="202"/>
        <v>0.18239258635214828</v>
      </c>
      <c r="BC169" s="69">
        <f t="shared" si="202"/>
        <v>-0.27284263959390864</v>
      </c>
      <c r="BD169" s="69">
        <f t="shared" si="202"/>
        <v>-0.3770718232044199</v>
      </c>
      <c r="BE169" s="69">
        <f t="shared" ref="BE169:BQ169" si="203">BE168/AZ168-1</f>
        <v>-0.49925037481259371</v>
      </c>
      <c r="BF169" s="69">
        <f t="shared" si="203"/>
        <v>-0.48566878980891715</v>
      </c>
      <c r="BG169" s="455">
        <f t="shared" si="203"/>
        <v>-0.4011400071250445</v>
      </c>
      <c r="BH169" s="69">
        <f t="shared" si="203"/>
        <v>-0.16928446771378713</v>
      </c>
      <c r="BI169" s="69">
        <f t="shared" si="203"/>
        <v>8.6474501108647406E-2</v>
      </c>
      <c r="BJ169" s="69">
        <f t="shared" si="203"/>
        <v>0.3053892215568863</v>
      </c>
      <c r="BK169" s="69">
        <f t="shared" si="203"/>
        <v>0.31269349845201244</v>
      </c>
      <c r="BL169" s="455">
        <f t="shared" si="203"/>
        <v>8.6258179654967293E-2</v>
      </c>
      <c r="BM169" s="69">
        <f>BM168/BH168-1</f>
        <v>0.51050420168067223</v>
      </c>
      <c r="BN169" s="69">
        <f t="shared" si="203"/>
        <v>0.49183673469387745</v>
      </c>
      <c r="BO169" s="69">
        <f t="shared" si="203"/>
        <v>0.60779816513761475</v>
      </c>
      <c r="BP169" s="69">
        <f t="shared" si="203"/>
        <v>0.24292452830188682</v>
      </c>
      <c r="BQ169" s="455">
        <f t="shared" si="203"/>
        <v>0.46659364731653885</v>
      </c>
      <c r="BR169" s="69">
        <f>BR168/BM168-1</f>
        <v>6.9541029207232263E-2</v>
      </c>
      <c r="BS169" s="69">
        <f>BS168/BN168-1</f>
        <v>-4.3775649794801641E-2</v>
      </c>
      <c r="BT169" s="56"/>
      <c r="BU169" s="56"/>
      <c r="BV169" s="67"/>
      <c r="BW169" s="56"/>
      <c r="BX169" s="56"/>
      <c r="BY169" s="56"/>
      <c r="BZ169" s="56"/>
      <c r="CA169" s="67"/>
      <c r="CB169" s="56"/>
      <c r="CC169" s="56"/>
      <c r="CD169" s="56"/>
      <c r="CE169" s="56"/>
      <c r="CF169" s="67"/>
      <c r="CI169"/>
      <c r="CJ169"/>
      <c r="CK169"/>
      <c r="CL169"/>
      <c r="CM169"/>
      <c r="CN169"/>
      <c r="CO169"/>
      <c r="CP169"/>
      <c r="CQ169"/>
      <c r="CR169"/>
      <c r="CS169"/>
    </row>
    <row r="170" spans="2:97" ht="12.75" customHeight="1" x14ac:dyDescent="0.35">
      <c r="B170" s="42" t="s">
        <v>26</v>
      </c>
      <c r="C170" s="58"/>
      <c r="D170" s="58"/>
      <c r="E170" s="58"/>
      <c r="F170" s="58"/>
      <c r="G170" s="58"/>
      <c r="H170" s="58"/>
      <c r="I170" s="66"/>
      <c r="J170" s="56"/>
      <c r="K170" s="56"/>
      <c r="L170" s="56"/>
      <c r="M170" s="56"/>
      <c r="N170" s="66"/>
      <c r="O170" s="56"/>
      <c r="P170" s="56"/>
      <c r="Q170" s="56"/>
      <c r="R170" s="56"/>
      <c r="S170" s="67"/>
      <c r="T170" s="56"/>
      <c r="U170" s="56"/>
      <c r="V170" s="56"/>
      <c r="W170" s="56"/>
      <c r="X170" s="67"/>
      <c r="Y170" s="56"/>
      <c r="Z170" s="56"/>
      <c r="AA170" s="56"/>
      <c r="AB170" s="56"/>
      <c r="AC170" s="67"/>
      <c r="AD170" s="69">
        <f t="shared" ref="AD170:AM170" si="204">AD168/AD$150</f>
        <v>0.50820344544708773</v>
      </c>
      <c r="AE170" s="69">
        <f t="shared" si="204"/>
        <v>0.51164417791104444</v>
      </c>
      <c r="AF170" s="69">
        <f t="shared" si="204"/>
        <v>0.49684824536645028</v>
      </c>
      <c r="AG170" s="69">
        <f t="shared" si="204"/>
        <v>0.50184470184470187</v>
      </c>
      <c r="AH170" s="40">
        <f t="shared" si="204"/>
        <v>0.50438857305963225</v>
      </c>
      <c r="AI170" s="69">
        <f t="shared" si="204"/>
        <v>0.46489748823999283</v>
      </c>
      <c r="AJ170" s="69">
        <f t="shared" si="204"/>
        <v>0.47859756616458177</v>
      </c>
      <c r="AK170" s="69">
        <f t="shared" si="204"/>
        <v>0.42662842339008145</v>
      </c>
      <c r="AL170" s="69">
        <f t="shared" si="204"/>
        <v>0.39015187246486188</v>
      </c>
      <c r="AM170" s="40">
        <f t="shared" si="204"/>
        <v>0.44146577531681186</v>
      </c>
      <c r="AN170" s="69">
        <f t="shared" ref="AN170:AX170" si="205">AN168/AN$150</f>
        <v>0.42150424656334823</v>
      </c>
      <c r="AO170" s="69">
        <f t="shared" si="205"/>
        <v>0.45056031641397487</v>
      </c>
      <c r="AP170" s="69">
        <f t="shared" si="205"/>
        <v>0.449093107617896</v>
      </c>
      <c r="AQ170" s="69">
        <f t="shared" si="205"/>
        <v>0.41930251419302517</v>
      </c>
      <c r="AR170" s="455">
        <f t="shared" si="205"/>
        <v>0.43533090366934479</v>
      </c>
      <c r="AS170" s="69">
        <f t="shared" si="205"/>
        <v>0.44108527131782943</v>
      </c>
      <c r="AT170" s="69">
        <f t="shared" si="205"/>
        <v>0.49198606271777001</v>
      </c>
      <c r="AU170" s="69">
        <f t="shared" si="205"/>
        <v>0.44174041297935102</v>
      </c>
      <c r="AV170" s="69">
        <f t="shared" si="205"/>
        <v>0.38759689922480622</v>
      </c>
      <c r="AW170" s="455">
        <f t="shared" si="205"/>
        <v>0.44200335133122326</v>
      </c>
      <c r="AX170" s="69">
        <f t="shared" si="205"/>
        <v>0.49249999999999999</v>
      </c>
      <c r="AY170" s="69">
        <f t="shared" ref="AY170:BF170" si="206">AY168/AY$150</f>
        <v>0.46619446233097234</v>
      </c>
      <c r="AZ170" s="69">
        <f t="shared" si="206"/>
        <v>0.43709043250327656</v>
      </c>
      <c r="BA170" s="69">
        <f t="shared" si="206"/>
        <v>0.40805717998700453</v>
      </c>
      <c r="BB170" s="455">
        <f t="shared" si="206"/>
        <v>0.45143132840141525</v>
      </c>
      <c r="BC170" s="69">
        <f t="shared" si="206"/>
        <v>0.3764783180026281</v>
      </c>
      <c r="BD170" s="69">
        <f t="shared" si="206"/>
        <v>0.3265749456915279</v>
      </c>
      <c r="BE170" s="69">
        <f t="shared" si="206"/>
        <v>0.26196078431372549</v>
      </c>
      <c r="BF170" s="69">
        <f t="shared" si="206"/>
        <v>0.2503875968992248</v>
      </c>
      <c r="BG170" s="455">
        <f t="shared" ref="BG170:BL170" si="207">BG168/BG$150</f>
        <v>0.30742501828822238</v>
      </c>
      <c r="BH170" s="69">
        <f t="shared" si="207"/>
        <v>0.32380952380952382</v>
      </c>
      <c r="BI170" s="69">
        <f t="shared" si="207"/>
        <v>0.32797858099062921</v>
      </c>
      <c r="BJ170" s="69">
        <f t="shared" si="207"/>
        <v>0.29619565217391303</v>
      </c>
      <c r="BK170" s="69">
        <f t="shared" si="207"/>
        <v>0.2864864864864865</v>
      </c>
      <c r="BL170" s="455">
        <f t="shared" si="207"/>
        <v>0.30865449628127112</v>
      </c>
      <c r="BM170" s="69">
        <f t="shared" ref="BM170:BT170" si="208">BM168/BM$150</f>
        <v>0.40257558790593506</v>
      </c>
      <c r="BN170" s="69">
        <f t="shared" si="208"/>
        <v>0.40231150247660979</v>
      </c>
      <c r="BO170" s="69">
        <f t="shared" si="208"/>
        <v>0.38665195808052949</v>
      </c>
      <c r="BP170" s="69">
        <f t="shared" si="208"/>
        <v>0.31519138755980863</v>
      </c>
      <c r="BQ170" s="455">
        <f t="shared" si="208"/>
        <v>0.37782167042889392</v>
      </c>
      <c r="BR170" s="69">
        <f t="shared" si="208"/>
        <v>0.3996881496881497</v>
      </c>
      <c r="BS170" s="69">
        <f t="shared" si="208"/>
        <v>0.36828240252897787</v>
      </c>
      <c r="BT170" s="56"/>
      <c r="BU170" s="56"/>
      <c r="BV170" s="67"/>
      <c r="BW170" s="56"/>
      <c r="BX170" s="56"/>
      <c r="BY170" s="56"/>
      <c r="BZ170" s="56"/>
      <c r="CA170" s="67"/>
      <c r="CB170" s="56"/>
      <c r="CC170" s="56"/>
      <c r="CD170" s="56"/>
      <c r="CE170" s="56"/>
      <c r="CF170" s="67"/>
      <c r="CI170"/>
      <c r="CJ170"/>
      <c r="CK170"/>
      <c r="CL170"/>
      <c r="CM170"/>
      <c r="CN170"/>
      <c r="CO170"/>
      <c r="CP170"/>
      <c r="CQ170"/>
      <c r="CR170"/>
      <c r="CS170"/>
    </row>
    <row r="171" spans="2:97" ht="12.75" customHeight="1" x14ac:dyDescent="0.35">
      <c r="B171" s="2" t="s">
        <v>492</v>
      </c>
      <c r="C171" s="58"/>
      <c r="D171" s="58"/>
      <c r="E171" s="58"/>
      <c r="F171" s="58"/>
      <c r="G171" s="58"/>
      <c r="H171" s="58"/>
      <c r="I171" s="66"/>
      <c r="J171" s="56"/>
      <c r="K171" s="56"/>
      <c r="L171" s="56"/>
      <c r="M171" s="56"/>
      <c r="N171" s="66"/>
      <c r="O171" s="56"/>
      <c r="P171" s="56"/>
      <c r="Q171" s="56"/>
      <c r="R171" s="56"/>
      <c r="S171" s="67"/>
      <c r="T171" s="56"/>
      <c r="U171" s="56"/>
      <c r="V171" s="56"/>
      <c r="W171" s="56"/>
      <c r="X171" s="67"/>
      <c r="Y171" s="56"/>
      <c r="Z171" s="56"/>
      <c r="AA171" s="56"/>
      <c r="AB171" s="56"/>
      <c r="AC171" s="67"/>
      <c r="AD171" s="173">
        <v>479.6</v>
      </c>
      <c r="AE171" s="173">
        <v>488.6</v>
      </c>
      <c r="AF171" s="173">
        <v>534.79999999999995</v>
      </c>
      <c r="AG171" s="173">
        <v>580.6</v>
      </c>
      <c r="AH171" s="220">
        <v>2083.6</v>
      </c>
      <c r="AI171" s="173">
        <v>602.9</v>
      </c>
      <c r="AJ171" s="173">
        <v>612.70000000000005</v>
      </c>
      <c r="AK171" s="173">
        <v>619.70000000000005</v>
      </c>
      <c r="AL171" s="173">
        <v>646.5</v>
      </c>
      <c r="AM171" s="220">
        <v>2481.4</v>
      </c>
      <c r="AN171" s="173">
        <v>660.7</v>
      </c>
      <c r="AO171" s="173">
        <v>666.8</v>
      </c>
      <c r="AP171" s="173">
        <v>683.4</v>
      </c>
      <c r="AQ171" s="173">
        <v>716</v>
      </c>
      <c r="AR171" s="369">
        <f>SUM(AN171:AQ171)</f>
        <v>2726.9</v>
      </c>
      <c r="AS171" s="173">
        <v>721</v>
      </c>
      <c r="AT171" s="173">
        <v>729</v>
      </c>
      <c r="AU171" s="173">
        <v>757</v>
      </c>
      <c r="AV171" s="173">
        <v>790</v>
      </c>
      <c r="AW171" s="369">
        <f>SUM(AS171:AV171)</f>
        <v>2997</v>
      </c>
      <c r="AX171" s="173">
        <v>812</v>
      </c>
      <c r="AY171" s="173">
        <v>829</v>
      </c>
      <c r="AZ171" s="173">
        <v>859</v>
      </c>
      <c r="BA171" s="173">
        <v>859</v>
      </c>
      <c r="BB171" s="369">
        <f>SUM(AX171:BA171)</f>
        <v>3359</v>
      </c>
      <c r="BC171" s="173">
        <v>949</v>
      </c>
      <c r="BD171" s="173">
        <f>BD29+633</f>
        <v>930</v>
      </c>
      <c r="BE171" s="173">
        <f>BE29+647</f>
        <v>941</v>
      </c>
      <c r="BF171" s="173">
        <v>967</v>
      </c>
      <c r="BG171" s="369">
        <f>SUM(BC171:BF171)</f>
        <v>3787</v>
      </c>
      <c r="BH171" s="173">
        <v>994</v>
      </c>
      <c r="BI171" s="173">
        <v>1004</v>
      </c>
      <c r="BJ171" s="173">
        <v>1036</v>
      </c>
      <c r="BK171" s="173">
        <f>4090-BJ171-BI171-BH171</f>
        <v>1056</v>
      </c>
      <c r="BL171" s="369">
        <f>SUM(BH171:BK171)</f>
        <v>4090</v>
      </c>
      <c r="BM171" s="173">
        <v>1067</v>
      </c>
      <c r="BN171" s="173">
        <v>1086</v>
      </c>
      <c r="BO171" s="173">
        <v>1112</v>
      </c>
      <c r="BP171" s="173">
        <v>1145</v>
      </c>
      <c r="BQ171" s="369">
        <f>SUM(BM171:BP171)</f>
        <v>4410</v>
      </c>
      <c r="BR171" s="173">
        <v>1155</v>
      </c>
      <c r="BS171" s="173">
        <v>1199</v>
      </c>
      <c r="BT171" s="56"/>
      <c r="BU171" s="56"/>
      <c r="BV171" s="67"/>
      <c r="BW171" s="56"/>
      <c r="BX171" s="56"/>
      <c r="BY171" s="56"/>
      <c r="BZ171" s="56"/>
      <c r="CA171" s="67"/>
      <c r="CB171" s="56"/>
      <c r="CC171" s="56"/>
      <c r="CD171" s="56"/>
      <c r="CE171" s="56"/>
      <c r="CF171" s="67"/>
      <c r="CI171"/>
      <c r="CJ171"/>
      <c r="CK171"/>
      <c r="CL171"/>
      <c r="CM171"/>
      <c r="CN171"/>
      <c r="CO171"/>
      <c r="CP171"/>
      <c r="CQ171"/>
      <c r="CR171"/>
      <c r="CS171"/>
    </row>
    <row r="172" spans="2:97" ht="12.75" customHeight="1" x14ac:dyDescent="0.35">
      <c r="B172" s="42" t="s">
        <v>126</v>
      </c>
      <c r="C172" s="58"/>
      <c r="D172" s="58"/>
      <c r="E172" s="58"/>
      <c r="F172" s="58"/>
      <c r="G172" s="58"/>
      <c r="H172" s="58"/>
      <c r="I172" s="66"/>
      <c r="J172" s="56"/>
      <c r="K172" s="56"/>
      <c r="L172" s="56"/>
      <c r="M172" s="56"/>
      <c r="N172" s="66"/>
      <c r="O172" s="56"/>
      <c r="P172" s="56"/>
      <c r="Q172" s="56"/>
      <c r="R172" s="56"/>
      <c r="S172" s="67"/>
      <c r="T172" s="56"/>
      <c r="U172" s="56"/>
      <c r="V172" s="56"/>
      <c r="W172" s="56"/>
      <c r="X172" s="67"/>
      <c r="Y172" s="56"/>
      <c r="Z172" s="56"/>
      <c r="AA172" s="56"/>
      <c r="AB172" s="56"/>
      <c r="AC172" s="67"/>
      <c r="AD172" s="153" t="str">
        <f>IFERROR(AD171/Y171-1,"NA")</f>
        <v>NA</v>
      </c>
      <c r="AE172" s="153" t="str">
        <f>IFERROR(AE171/Z171-1,"NA")</f>
        <v>NA</v>
      </c>
      <c r="AF172" s="153" t="str">
        <f>IFERROR(AF171/AA171-1,"NA")</f>
        <v>NA</v>
      </c>
      <c r="AG172" s="153" t="str">
        <f>IFERROR(AG171/AB171-1,"NA")</f>
        <v>NA</v>
      </c>
      <c r="AH172" s="184" t="str">
        <f>IFERROR(AH171/AC171-1,"NA")</f>
        <v>NA</v>
      </c>
      <c r="AI172" s="69">
        <f>AI171/AD171-1</f>
        <v>0.25708924103419495</v>
      </c>
      <c r="AJ172" s="153">
        <f>IFERROR(AJ171/AE171-1,"NA")</f>
        <v>0.25399099467867381</v>
      </c>
      <c r="AK172" s="153">
        <f>IFERROR(AK171/AF171-1,"NA")</f>
        <v>0.15875093492894554</v>
      </c>
      <c r="AL172" s="69">
        <f>AL171/AG171-1</f>
        <v>0.11350327247674818</v>
      </c>
      <c r="AM172" s="184">
        <f>IFERROR(AM171/AH171-1,"NA")</f>
        <v>0.19091956229602625</v>
      </c>
      <c r="AN172" s="69">
        <f t="shared" ref="AN172:BD172" si="209">AN171/AI171-1</f>
        <v>9.5869961851053453E-2</v>
      </c>
      <c r="AO172" s="69">
        <f t="shared" si="209"/>
        <v>8.8297698710624983E-2</v>
      </c>
      <c r="AP172" s="69">
        <f t="shared" si="209"/>
        <v>0.10279167339035</v>
      </c>
      <c r="AQ172" s="69">
        <f t="shared" si="209"/>
        <v>0.10750193348801229</v>
      </c>
      <c r="AR172" s="455">
        <f t="shared" si="209"/>
        <v>9.8936084468445262E-2</v>
      </c>
      <c r="AS172" s="69">
        <f t="shared" si="209"/>
        <v>9.1266838201907063E-2</v>
      </c>
      <c r="AT172" s="69">
        <f t="shared" si="209"/>
        <v>9.3281343731253852E-2</v>
      </c>
      <c r="AU172" s="69">
        <f t="shared" si="209"/>
        <v>0.10769681006731058</v>
      </c>
      <c r="AV172" s="69">
        <f t="shared" si="209"/>
        <v>0.1033519553072626</v>
      </c>
      <c r="AW172" s="455">
        <f t="shared" si="209"/>
        <v>9.905020352781535E-2</v>
      </c>
      <c r="AX172" s="69">
        <f t="shared" si="209"/>
        <v>0.12621359223300965</v>
      </c>
      <c r="AY172" s="69">
        <f t="shared" si="209"/>
        <v>0.13717421124828522</v>
      </c>
      <c r="AZ172" s="69">
        <f t="shared" si="209"/>
        <v>0.13474240422721273</v>
      </c>
      <c r="BA172" s="69">
        <f t="shared" si="209"/>
        <v>8.7341772151898756E-2</v>
      </c>
      <c r="BB172" s="455">
        <f t="shared" si="209"/>
        <v>0.1207874541207874</v>
      </c>
      <c r="BC172" s="69">
        <f t="shared" si="209"/>
        <v>0.16871921182266014</v>
      </c>
      <c r="BD172" s="69">
        <f t="shared" si="209"/>
        <v>0.12183353437876954</v>
      </c>
      <c r="BE172" s="69">
        <f t="shared" ref="BE172:BQ172" si="210">BE171/AZ171-1</f>
        <v>9.545983701979055E-2</v>
      </c>
      <c r="BF172" s="69">
        <f t="shared" si="210"/>
        <v>0.1257275902211874</v>
      </c>
      <c r="BG172" s="455">
        <f t="shared" si="210"/>
        <v>0.12741887466507884</v>
      </c>
      <c r="BH172" s="69">
        <f t="shared" si="210"/>
        <v>4.7418335089568053E-2</v>
      </c>
      <c r="BI172" s="69">
        <f t="shared" si="210"/>
        <v>7.9569892473118298E-2</v>
      </c>
      <c r="BJ172" s="69">
        <f t="shared" si="210"/>
        <v>0.10095642933049942</v>
      </c>
      <c r="BK172" s="69">
        <f t="shared" si="210"/>
        <v>9.203722854188201E-2</v>
      </c>
      <c r="BL172" s="455">
        <f t="shared" si="210"/>
        <v>8.0010562450488543E-2</v>
      </c>
      <c r="BM172" s="69">
        <f>BM171/BH171-1</f>
        <v>7.3440643863179167E-2</v>
      </c>
      <c r="BN172" s="69">
        <f t="shared" si="210"/>
        <v>8.1673306772908294E-2</v>
      </c>
      <c r="BO172" s="69">
        <f t="shared" si="210"/>
        <v>7.3359073359073435E-2</v>
      </c>
      <c r="BP172" s="69">
        <f t="shared" si="210"/>
        <v>8.4280303030302983E-2</v>
      </c>
      <c r="BQ172" s="455">
        <f t="shared" si="210"/>
        <v>7.8239608801955907E-2</v>
      </c>
      <c r="BR172" s="69">
        <f>BR171/BM171-1</f>
        <v>8.247422680412364E-2</v>
      </c>
      <c r="BS172" s="69">
        <f>BS171/BN171-1</f>
        <v>0.10405156537753224</v>
      </c>
      <c r="BT172" s="56"/>
      <c r="BU172" s="56"/>
      <c r="BV172" s="67"/>
      <c r="BW172" s="56"/>
      <c r="BX172" s="56"/>
      <c r="BY172" s="56"/>
      <c r="BZ172" s="56"/>
      <c r="CA172" s="67"/>
      <c r="CB172" s="56"/>
      <c r="CC172" s="56"/>
      <c r="CD172" s="56"/>
      <c r="CE172" s="56"/>
      <c r="CF172" s="67"/>
      <c r="CI172"/>
      <c r="CJ172"/>
      <c r="CK172"/>
      <c r="CL172"/>
      <c r="CM172"/>
      <c r="CN172"/>
      <c r="CO172"/>
      <c r="CP172"/>
      <c r="CQ172"/>
      <c r="CR172"/>
      <c r="CS172"/>
    </row>
    <row r="173" spans="2:97" ht="12.75" customHeight="1" x14ac:dyDescent="0.35">
      <c r="B173" s="42" t="s">
        <v>26</v>
      </c>
      <c r="C173" s="58"/>
      <c r="D173" s="58"/>
      <c r="E173" s="58"/>
      <c r="F173" s="58"/>
      <c r="G173" s="58"/>
      <c r="H173" s="58"/>
      <c r="I173" s="66"/>
      <c r="J173" s="56"/>
      <c r="K173" s="56"/>
      <c r="L173" s="56"/>
      <c r="M173" s="56"/>
      <c r="N173" s="66"/>
      <c r="O173" s="56"/>
      <c r="P173" s="56"/>
      <c r="Q173" s="56"/>
      <c r="R173" s="56"/>
      <c r="S173" s="67"/>
      <c r="T173" s="56"/>
      <c r="U173" s="56"/>
      <c r="V173" s="56"/>
      <c r="W173" s="56"/>
      <c r="X173" s="67"/>
      <c r="Y173" s="56"/>
      <c r="Z173" s="56"/>
      <c r="AA173" s="56"/>
      <c r="AB173" s="56"/>
      <c r="AC173" s="67"/>
      <c r="AD173" s="69">
        <f t="shared" ref="AD173:AM173" si="211">AD171/AD$150</f>
        <v>0.49179655455291221</v>
      </c>
      <c r="AE173" s="69">
        <f t="shared" si="211"/>
        <v>0.48835582208895556</v>
      </c>
      <c r="AF173" s="69">
        <f t="shared" si="211"/>
        <v>0.50315175463354966</v>
      </c>
      <c r="AG173" s="69">
        <f t="shared" si="211"/>
        <v>0.49815529815529819</v>
      </c>
      <c r="AH173" s="40">
        <f t="shared" si="211"/>
        <v>0.49561142694036769</v>
      </c>
      <c r="AI173" s="69">
        <f t="shared" si="211"/>
        <v>0.535102511760007</v>
      </c>
      <c r="AJ173" s="69">
        <f t="shared" si="211"/>
        <v>0.52140243383541829</v>
      </c>
      <c r="AK173" s="69">
        <f t="shared" si="211"/>
        <v>0.57337157660991867</v>
      </c>
      <c r="AL173" s="69">
        <f t="shared" si="211"/>
        <v>0.60984812753513828</v>
      </c>
      <c r="AM173" s="40">
        <f t="shared" si="211"/>
        <v>0.55853422468318814</v>
      </c>
      <c r="AN173" s="69">
        <f t="shared" ref="AN173:AX173" si="212">AN171/AN$150</f>
        <v>0.57849575343665183</v>
      </c>
      <c r="AO173" s="69">
        <f t="shared" si="212"/>
        <v>0.54943968358602491</v>
      </c>
      <c r="AP173" s="69">
        <f t="shared" si="212"/>
        <v>0.550906892382104</v>
      </c>
      <c r="AQ173" s="69">
        <f t="shared" si="212"/>
        <v>0.58069748580697489</v>
      </c>
      <c r="AR173" s="455">
        <f t="shared" si="212"/>
        <v>0.56466909633065521</v>
      </c>
      <c r="AS173" s="69">
        <f t="shared" si="212"/>
        <v>0.55891472868217051</v>
      </c>
      <c r="AT173" s="69">
        <f t="shared" si="212"/>
        <v>0.50801393728222999</v>
      </c>
      <c r="AU173" s="69">
        <f t="shared" si="212"/>
        <v>0.55825958702064893</v>
      </c>
      <c r="AV173" s="69">
        <f t="shared" si="212"/>
        <v>0.61240310077519378</v>
      </c>
      <c r="AW173" s="455">
        <f t="shared" si="212"/>
        <v>0.55799664866877674</v>
      </c>
      <c r="AX173" s="69">
        <f t="shared" si="212"/>
        <v>0.50749999999999995</v>
      </c>
      <c r="AY173" s="69">
        <f t="shared" ref="AY173:BD173" si="213">AY171/AY$150</f>
        <v>0.53380553766902772</v>
      </c>
      <c r="AZ173" s="69">
        <f t="shared" si="213"/>
        <v>0.5629095674967235</v>
      </c>
      <c r="BA173" s="69">
        <f t="shared" si="213"/>
        <v>0.55815464587394414</v>
      </c>
      <c r="BB173" s="455">
        <f>BB171/BB$150</f>
        <v>0.54020585397233833</v>
      </c>
      <c r="BC173" s="69">
        <f t="shared" si="213"/>
        <v>0.6235216819973719</v>
      </c>
      <c r="BD173" s="69">
        <f t="shared" si="213"/>
        <v>0.6734250543084721</v>
      </c>
      <c r="BE173" s="69">
        <f t="shared" ref="BE173:BK173" si="214">BE171/BE$150</f>
        <v>0.73803921568627451</v>
      </c>
      <c r="BF173" s="69">
        <f t="shared" si="214"/>
        <v>0.74961240310077515</v>
      </c>
      <c r="BG173" s="455">
        <f t="shared" si="214"/>
        <v>0.69257498171177756</v>
      </c>
      <c r="BH173" s="69">
        <f t="shared" si="214"/>
        <v>0.67619047619047623</v>
      </c>
      <c r="BI173" s="69">
        <f t="shared" si="214"/>
        <v>0.67202141900937085</v>
      </c>
      <c r="BJ173" s="69">
        <f t="shared" si="214"/>
        <v>0.70380434782608692</v>
      </c>
      <c r="BK173" s="69">
        <f t="shared" si="214"/>
        <v>0.71351351351351355</v>
      </c>
      <c r="BL173" s="455">
        <f t="shared" ref="BL173:BQ173" si="215">BL171/BL$150</f>
        <v>0.69134550371872883</v>
      </c>
      <c r="BM173" s="69">
        <f>BM171/BM$150</f>
        <v>0.59742441209406494</v>
      </c>
      <c r="BN173" s="69">
        <f t="shared" si="215"/>
        <v>0.59768849752339015</v>
      </c>
      <c r="BO173" s="69">
        <f t="shared" si="215"/>
        <v>0.61334804191947045</v>
      </c>
      <c r="BP173" s="69">
        <f t="shared" si="215"/>
        <v>0.68480861244019142</v>
      </c>
      <c r="BQ173" s="455">
        <f t="shared" si="215"/>
        <v>0.62217832957110608</v>
      </c>
      <c r="BR173" s="69">
        <f>BR171/BR$150</f>
        <v>0.6003118503118503</v>
      </c>
      <c r="BS173" s="69">
        <f>BS171/BS$150</f>
        <v>0.63171759747102207</v>
      </c>
      <c r="BT173" s="56"/>
      <c r="BU173" s="56"/>
      <c r="BV173" s="67"/>
      <c r="BW173" s="56"/>
      <c r="BX173" s="56"/>
      <c r="BY173" s="56"/>
      <c r="BZ173" s="56"/>
      <c r="CA173" s="67"/>
      <c r="CB173" s="56"/>
      <c r="CC173" s="56"/>
      <c r="CD173" s="56"/>
      <c r="CE173" s="56"/>
      <c r="CF173" s="67"/>
      <c r="CI173"/>
      <c r="CJ173"/>
      <c r="CK173"/>
      <c r="CL173"/>
      <c r="CM173"/>
      <c r="CN173"/>
      <c r="CO173"/>
      <c r="CP173"/>
      <c r="CQ173"/>
      <c r="CR173"/>
      <c r="CS173"/>
    </row>
    <row r="174" spans="2:97" ht="12.75" customHeight="1" x14ac:dyDescent="0.35">
      <c r="B174" s="42"/>
      <c r="C174" s="58"/>
      <c r="D174" s="58"/>
      <c r="E174" s="58"/>
      <c r="F174" s="58"/>
      <c r="G174" s="58"/>
      <c r="H174" s="58"/>
      <c r="I174" s="66"/>
      <c r="J174" s="56"/>
      <c r="K174" s="56"/>
      <c r="L174" s="56"/>
      <c r="M174" s="56"/>
      <c r="N174" s="66"/>
      <c r="O174" s="56"/>
      <c r="P174" s="56"/>
      <c r="Q174" s="56"/>
      <c r="R174" s="56"/>
      <c r="S174" s="67"/>
      <c r="T174" s="56"/>
      <c r="U174" s="56"/>
      <c r="V174" s="56"/>
      <c r="W174" s="56"/>
      <c r="X174" s="67"/>
      <c r="Y174" s="56"/>
      <c r="Z174" s="56"/>
      <c r="AA174" s="56"/>
      <c r="AB174" s="56"/>
      <c r="AC174" s="67"/>
      <c r="AD174" s="56"/>
      <c r="AE174" s="56"/>
      <c r="AF174" s="56"/>
      <c r="AG174" s="56"/>
      <c r="AH174" s="67"/>
      <c r="AI174" s="56"/>
      <c r="AJ174" s="56"/>
      <c r="AK174" s="56"/>
      <c r="AL174" s="56"/>
      <c r="AM174" s="67"/>
      <c r="AN174" s="56"/>
      <c r="AO174" s="56"/>
      <c r="AP174" s="56"/>
      <c r="AQ174" s="56"/>
      <c r="AR174" s="268"/>
      <c r="AS174" s="56"/>
      <c r="AT174" s="56"/>
      <c r="AU174" s="56"/>
      <c r="AV174" s="56"/>
      <c r="AW174" s="268"/>
      <c r="AX174" s="56"/>
      <c r="AY174" s="56"/>
      <c r="AZ174" s="56"/>
      <c r="BA174" s="56"/>
      <c r="BB174" s="67"/>
      <c r="BC174" s="56"/>
      <c r="BD174" s="56"/>
      <c r="BE174" s="56"/>
      <c r="BF174" s="56"/>
      <c r="BG174" s="67"/>
      <c r="BH174" s="56"/>
      <c r="BI174" s="56"/>
      <c r="BJ174" s="56"/>
      <c r="BK174" s="56"/>
      <c r="BL174" s="67"/>
      <c r="BM174" s="56"/>
      <c r="BN174" s="56"/>
      <c r="BO174" s="56"/>
      <c r="BP174" s="56"/>
      <c r="BQ174" s="67"/>
      <c r="BR174" s="56"/>
      <c r="BS174" s="56"/>
      <c r="BT174" s="56"/>
      <c r="BU174" s="56"/>
      <c r="BV174" s="67"/>
      <c r="BW174" s="56"/>
      <c r="BX174" s="56"/>
      <c r="BY174" s="56"/>
      <c r="BZ174" s="56"/>
      <c r="CA174" s="67"/>
      <c r="CB174" s="56"/>
      <c r="CC174" s="56"/>
      <c r="CD174" s="56"/>
      <c r="CE174" s="56"/>
      <c r="CF174" s="67"/>
      <c r="CI174"/>
      <c r="CJ174"/>
      <c r="CK174"/>
      <c r="CL174"/>
      <c r="CM174"/>
      <c r="CN174"/>
      <c r="CO174"/>
      <c r="CP174"/>
      <c r="CQ174"/>
      <c r="CR174"/>
      <c r="CS174"/>
    </row>
    <row r="175" spans="2:97" ht="12.75" customHeight="1" x14ac:dyDescent="0.35">
      <c r="B175" s="24" t="s">
        <v>125</v>
      </c>
      <c r="C175" s="58"/>
      <c r="D175" s="58"/>
      <c r="E175" s="58"/>
      <c r="F175" s="58"/>
      <c r="G175" s="58"/>
      <c r="H175" s="58"/>
      <c r="I175" s="66"/>
      <c r="J175" s="56"/>
      <c r="K175" s="56"/>
      <c r="L175" s="56"/>
      <c r="M175" s="56"/>
      <c r="N175" s="66"/>
      <c r="O175" s="56"/>
      <c r="P175" s="56"/>
      <c r="Q175" s="56"/>
      <c r="R175" s="56"/>
      <c r="S175" s="67"/>
      <c r="T175" s="56"/>
      <c r="U175" s="56"/>
      <c r="V175" s="56"/>
      <c r="W175" s="56"/>
      <c r="X175" s="67"/>
      <c r="Y175" s="56"/>
      <c r="Z175" s="56"/>
      <c r="AA175" s="56"/>
      <c r="AB175" s="56"/>
      <c r="AC175" s="67"/>
      <c r="AD175" s="56"/>
      <c r="AE175" s="56"/>
      <c r="AF175" s="56"/>
      <c r="AG175" s="56"/>
      <c r="AH175" s="67"/>
      <c r="AI175" s="56"/>
      <c r="AJ175" s="56"/>
      <c r="AK175" s="56"/>
      <c r="AL175" s="56"/>
      <c r="AM175" s="67"/>
      <c r="AN175" s="56"/>
      <c r="AO175" s="56"/>
      <c r="AP175" s="56"/>
      <c r="AQ175" s="56"/>
      <c r="AR175" s="67"/>
      <c r="AS175" s="56"/>
      <c r="AT175" s="56"/>
      <c r="AU175" s="56"/>
      <c r="AV175" s="56"/>
      <c r="AW175" s="268"/>
      <c r="AX175" s="56"/>
      <c r="AY175" s="56"/>
      <c r="AZ175" s="56"/>
      <c r="BA175" s="56"/>
      <c r="BB175" s="67"/>
      <c r="BC175" s="56"/>
      <c r="BD175" s="56"/>
      <c r="BE175" s="56"/>
      <c r="BF175" s="56"/>
      <c r="BG175" s="67"/>
      <c r="BH175" s="56"/>
      <c r="BI175" s="56"/>
      <c r="BJ175" s="56"/>
      <c r="BK175" s="56"/>
      <c r="BL175" s="67"/>
      <c r="BM175" s="56"/>
      <c r="BN175" s="56"/>
      <c r="BO175" s="56"/>
      <c r="BP175" s="56"/>
      <c r="BQ175" s="67"/>
      <c r="BR175" s="56"/>
      <c r="BS175" s="56"/>
      <c r="BT175" s="56"/>
      <c r="BU175" s="56"/>
      <c r="BV175" s="67"/>
      <c r="BW175" s="56"/>
      <c r="BX175" s="56"/>
      <c r="BY175" s="56"/>
      <c r="BZ175" s="56"/>
      <c r="CA175" s="67"/>
      <c r="CB175" s="56"/>
      <c r="CC175" s="56"/>
      <c r="CD175" s="56"/>
      <c r="CE175" s="56"/>
      <c r="CF175" s="67"/>
      <c r="CI175"/>
      <c r="CJ175"/>
      <c r="CK175"/>
      <c r="CL175"/>
      <c r="CM175"/>
      <c r="CN175"/>
      <c r="CO175"/>
      <c r="CP175"/>
      <c r="CQ175"/>
      <c r="CR175"/>
      <c r="CS175"/>
    </row>
    <row r="176" spans="2:97" ht="12.75" customHeight="1" x14ac:dyDescent="0.35">
      <c r="B176" s="2" t="s">
        <v>427</v>
      </c>
      <c r="C176" s="58"/>
      <c r="D176" s="58"/>
      <c r="E176" s="58"/>
      <c r="F176" s="58"/>
      <c r="G176" s="58"/>
      <c r="H176" s="58"/>
      <c r="I176" s="66"/>
      <c r="J176" s="56"/>
      <c r="K176" s="56"/>
      <c r="L176" s="56"/>
      <c r="M176" s="56"/>
      <c r="N176" s="66"/>
      <c r="O176" s="56"/>
      <c r="P176" s="56"/>
      <c r="Q176" s="56"/>
      <c r="R176" s="56"/>
      <c r="S176" s="67"/>
      <c r="T176" s="56"/>
      <c r="U176" s="56"/>
      <c r="V176" s="56"/>
      <c r="W176" s="56"/>
      <c r="X176" s="67"/>
      <c r="Y176" s="56"/>
      <c r="Z176" s="56"/>
      <c r="AA176" s="56"/>
      <c r="AB176" s="56"/>
      <c r="AC176" s="67"/>
      <c r="AD176" s="173">
        <v>577.79999999999995</v>
      </c>
      <c r="AE176" s="173">
        <v>567.79999999999995</v>
      </c>
      <c r="AF176" s="173">
        <v>588.4</v>
      </c>
      <c r="AG176" s="173">
        <v>614.4</v>
      </c>
      <c r="AH176" s="220">
        <v>2348.4</v>
      </c>
      <c r="AI176" s="173">
        <v>597.70000000000005</v>
      </c>
      <c r="AJ176" s="173">
        <v>625.4</v>
      </c>
      <c r="AK176" s="173">
        <v>559.6</v>
      </c>
      <c r="AL176" s="173">
        <v>546.9</v>
      </c>
      <c r="AM176" s="220">
        <v>2329.6</v>
      </c>
      <c r="AN176" s="173">
        <v>612.1</v>
      </c>
      <c r="AO176" s="173">
        <v>637.9</v>
      </c>
      <c r="AP176" s="173">
        <v>659.6</v>
      </c>
      <c r="AQ176" s="173">
        <v>634</v>
      </c>
      <c r="AR176" s="369">
        <f>SUM(AN176:AQ176)</f>
        <v>2543.6</v>
      </c>
      <c r="AS176" s="173">
        <v>714</v>
      </c>
      <c r="AT176" s="173">
        <v>837</v>
      </c>
      <c r="AU176" s="173">
        <v>729</v>
      </c>
      <c r="AV176" s="173">
        <v>675</v>
      </c>
      <c r="AW176" s="369">
        <f>SUM(AS176:AV176)</f>
        <v>2955</v>
      </c>
      <c r="AX176" s="173">
        <v>885</v>
      </c>
      <c r="AY176" s="173">
        <v>831</v>
      </c>
      <c r="AZ176" s="173">
        <v>844</v>
      </c>
      <c r="BA176" s="173">
        <v>859</v>
      </c>
      <c r="BB176" s="369">
        <f>SUM(AX176:BA176)</f>
        <v>3419</v>
      </c>
      <c r="BC176" s="173">
        <v>862</v>
      </c>
      <c r="BD176" s="173">
        <v>723</v>
      </c>
      <c r="BE176" s="173">
        <v>668</v>
      </c>
      <c r="BF176" s="449">
        <f>BG176-BE176-BD176-BC176</f>
        <v>620</v>
      </c>
      <c r="BG176" s="610">
        <f>2873</f>
        <v>2873</v>
      </c>
      <c r="BH176" s="173">
        <v>770</v>
      </c>
      <c r="BI176" s="173">
        <v>782</v>
      </c>
      <c r="BJ176" s="173">
        <v>768</v>
      </c>
      <c r="BK176" s="449">
        <f>BL176-BJ176-BI176-BH176</f>
        <v>751</v>
      </c>
      <c r="BL176" s="610">
        <v>3071</v>
      </c>
      <c r="BM176" s="173">
        <v>969</v>
      </c>
      <c r="BN176" s="173">
        <v>974</v>
      </c>
      <c r="BO176" s="173">
        <v>999</v>
      </c>
      <c r="BP176" s="449">
        <f>BQ176-BO176-BN176-BM176</f>
        <v>894</v>
      </c>
      <c r="BQ176" s="610">
        <v>3836</v>
      </c>
      <c r="BR176" s="173">
        <v>1065</v>
      </c>
      <c r="BS176" s="173">
        <v>992</v>
      </c>
      <c r="BT176" s="56"/>
      <c r="BU176" s="56"/>
      <c r="BV176" s="67"/>
      <c r="BW176" s="56"/>
      <c r="BX176" s="56"/>
      <c r="BY176" s="56"/>
      <c r="BZ176" s="56"/>
      <c r="CA176" s="67"/>
      <c r="CB176" s="56"/>
      <c r="CC176" s="56"/>
      <c r="CD176" s="56"/>
      <c r="CE176" s="56"/>
      <c r="CF176" s="67"/>
      <c r="CI176"/>
      <c r="CJ176"/>
      <c r="CK176"/>
      <c r="CL176"/>
      <c r="CM176"/>
      <c r="CN176"/>
      <c r="CO176"/>
      <c r="CP176"/>
      <c r="CQ176"/>
      <c r="CR176"/>
      <c r="CS176"/>
    </row>
    <row r="177" spans="1:97" s="128" customFormat="1" ht="12.75" customHeight="1" x14ac:dyDescent="0.35">
      <c r="A177" s="41"/>
      <c r="B177" s="42" t="s">
        <v>126</v>
      </c>
      <c r="C177" s="58"/>
      <c r="D177" s="58"/>
      <c r="E177" s="58"/>
      <c r="F177" s="58"/>
      <c r="G177" s="58"/>
      <c r="H177" s="58"/>
      <c r="I177" s="66"/>
      <c r="J177" s="56"/>
      <c r="K177" s="56"/>
      <c r="L177" s="56"/>
      <c r="M177" s="56"/>
      <c r="N177" s="66"/>
      <c r="O177" s="56"/>
      <c r="P177" s="56"/>
      <c r="Q177" s="56"/>
      <c r="R177" s="56"/>
      <c r="S177" s="67"/>
      <c r="T177" s="56"/>
      <c r="U177" s="56"/>
      <c r="V177" s="56"/>
      <c r="W177" s="56"/>
      <c r="X177" s="67"/>
      <c r="Y177" s="56"/>
      <c r="Z177" s="56"/>
      <c r="AA177" s="56"/>
      <c r="AB177" s="56"/>
      <c r="AC177" s="67"/>
      <c r="AD177" s="153" t="str">
        <f>IFERROR(AD176/Y176-1,"NA")</f>
        <v>NA</v>
      </c>
      <c r="AE177" s="153" t="str">
        <f>IFERROR(AE176/Z176-1,"NA")</f>
        <v>NA</v>
      </c>
      <c r="AF177" s="153" t="str">
        <f>IFERROR(AF176/AA176-1,"NA")</f>
        <v>NA</v>
      </c>
      <c r="AG177" s="153" t="str">
        <f>IFERROR(AG176/AB176-1,"NA")</f>
        <v>NA</v>
      </c>
      <c r="AH177" s="184" t="str">
        <f>IFERROR(AH176/AC176-1,"NA")</f>
        <v>NA</v>
      </c>
      <c r="AI177" s="69">
        <f>AI176/AD176-1</f>
        <v>3.4440983039114137E-2</v>
      </c>
      <c r="AJ177" s="69">
        <f>AJ176/AE176-1</f>
        <v>0.10144417048256438</v>
      </c>
      <c r="AK177" s="153">
        <f>IFERROR(AK176/AF176-1,"NA")</f>
        <v>-4.8946295037389453E-2</v>
      </c>
      <c r="AL177" s="69">
        <f>AL176/AG176-1</f>
        <v>-0.10986328125</v>
      </c>
      <c r="AM177" s="40">
        <f>AM176/AH176-1</f>
        <v>-8.0054505195027437E-3</v>
      </c>
      <c r="AN177" s="69">
        <f t="shared" ref="AN177:BC177" si="216">AN176/AI176-1</f>
        <v>2.4092354023757645E-2</v>
      </c>
      <c r="AO177" s="69">
        <f t="shared" si="216"/>
        <v>1.9987208186760475E-2</v>
      </c>
      <c r="AP177" s="69">
        <f t="shared" si="216"/>
        <v>0.17869907076483194</v>
      </c>
      <c r="AQ177" s="69">
        <f t="shared" si="216"/>
        <v>0.15926129091241559</v>
      </c>
      <c r="AR177" s="455">
        <f t="shared" si="216"/>
        <v>9.1861263736263687E-2</v>
      </c>
      <c r="AS177" s="69">
        <f t="shared" si="216"/>
        <v>0.16647606600228726</v>
      </c>
      <c r="AT177" s="69">
        <f t="shared" si="216"/>
        <v>0.31211788681611541</v>
      </c>
      <c r="AU177" s="69">
        <f t="shared" si="216"/>
        <v>0.10521528198908436</v>
      </c>
      <c r="AV177" s="69">
        <f t="shared" si="216"/>
        <v>6.466876971608837E-2</v>
      </c>
      <c r="AW177" s="455">
        <f t="shared" si="216"/>
        <v>0.16173926718037435</v>
      </c>
      <c r="AX177" s="69">
        <f t="shared" si="216"/>
        <v>0.23949579831932777</v>
      </c>
      <c r="AY177" s="69">
        <f t="shared" si="216"/>
        <v>-7.1684587813619638E-3</v>
      </c>
      <c r="AZ177" s="69">
        <f t="shared" si="216"/>
        <v>0.15775034293552803</v>
      </c>
      <c r="BA177" s="69">
        <f t="shared" si="216"/>
        <v>0.2725925925925925</v>
      </c>
      <c r="BB177" s="455">
        <f t="shared" si="216"/>
        <v>0.15702199661590521</v>
      </c>
      <c r="BC177" s="69">
        <f t="shared" si="216"/>
        <v>-2.5988700564971712E-2</v>
      </c>
      <c r="BD177" s="69">
        <f t="shared" ref="BD177:BO177" si="217">BD176/AY176-1</f>
        <v>-0.12996389891696747</v>
      </c>
      <c r="BE177" s="69">
        <f t="shared" si="217"/>
        <v>-0.20853080568720384</v>
      </c>
      <c r="BF177" s="69">
        <f t="shared" si="217"/>
        <v>-0.27823050058207222</v>
      </c>
      <c r="BG177" s="455">
        <f t="shared" si="217"/>
        <v>-0.15969581749049433</v>
      </c>
      <c r="BH177" s="69">
        <f t="shared" si="217"/>
        <v>-0.10672853828306261</v>
      </c>
      <c r="BI177" s="69">
        <f t="shared" si="217"/>
        <v>8.1604426002766184E-2</v>
      </c>
      <c r="BJ177" s="69">
        <f t="shared" si="217"/>
        <v>0.14970059880239517</v>
      </c>
      <c r="BK177" s="69">
        <f t="shared" si="217"/>
        <v>0.21129032258064506</v>
      </c>
      <c r="BL177" s="455">
        <f t="shared" si="217"/>
        <v>6.8917507831534941E-2</v>
      </c>
      <c r="BM177" s="69">
        <f>BM176/BH176-1</f>
        <v>0.25844155844155847</v>
      </c>
      <c r="BN177" s="69">
        <f t="shared" si="217"/>
        <v>0.24552429667519182</v>
      </c>
      <c r="BO177" s="69">
        <f t="shared" si="217"/>
        <v>0.30078125</v>
      </c>
      <c r="BP177" s="69">
        <f>BP176/BK176-1</f>
        <v>0.19041278295605868</v>
      </c>
      <c r="BQ177" s="455">
        <f>BQ176/BL176-1</f>
        <v>0.24910452621295986</v>
      </c>
      <c r="BR177" s="69">
        <f>BR176/BM176-1</f>
        <v>9.9071207430340591E-2</v>
      </c>
      <c r="BS177" s="69">
        <f>BS176/BN176-1</f>
        <v>1.848049281314168E-2</v>
      </c>
      <c r="BT177" s="56"/>
      <c r="BU177" s="56"/>
      <c r="BV177" s="67"/>
      <c r="BW177" s="56"/>
      <c r="BX177" s="56"/>
      <c r="BY177" s="56"/>
      <c r="BZ177" s="56"/>
      <c r="CA177" s="67"/>
      <c r="CB177" s="56"/>
      <c r="CC177" s="56"/>
      <c r="CD177" s="56"/>
      <c r="CE177" s="56"/>
      <c r="CF177" s="67"/>
    </row>
    <row r="178" spans="1:97" s="128" customFormat="1" ht="12.75" customHeight="1" x14ac:dyDescent="0.35">
      <c r="A178" s="41"/>
      <c r="B178" s="42" t="s">
        <v>26</v>
      </c>
      <c r="C178" s="58"/>
      <c r="D178" s="58"/>
      <c r="E178" s="58"/>
      <c r="F178" s="58"/>
      <c r="G178" s="58"/>
      <c r="H178" s="58"/>
      <c r="I178" s="66"/>
      <c r="J178" s="56"/>
      <c r="K178" s="56"/>
      <c r="L178" s="56"/>
      <c r="M178" s="56"/>
      <c r="N178" s="66"/>
      <c r="O178" s="56"/>
      <c r="P178" s="56"/>
      <c r="Q178" s="56"/>
      <c r="R178" s="56"/>
      <c r="S178" s="67"/>
      <c r="T178" s="56"/>
      <c r="U178" s="56"/>
      <c r="V178" s="56"/>
      <c r="W178" s="56"/>
      <c r="X178" s="67"/>
      <c r="Y178" s="56"/>
      <c r="Z178" s="56"/>
      <c r="AA178" s="56"/>
      <c r="AB178" s="56"/>
      <c r="AC178" s="67"/>
      <c r="AD178" s="69">
        <f t="shared" ref="AD178:BC178" si="218">AD176/AD150</f>
        <v>0.5924938474159146</v>
      </c>
      <c r="AE178" s="69">
        <f t="shared" si="218"/>
        <v>0.56751624187906047</v>
      </c>
      <c r="AF178" s="69">
        <f t="shared" si="218"/>
        <v>0.55357982877034517</v>
      </c>
      <c r="AG178" s="69">
        <f t="shared" si="218"/>
        <v>0.52715572715572712</v>
      </c>
      <c r="AH178" s="40">
        <f t="shared" si="218"/>
        <v>0.55859755952522538</v>
      </c>
      <c r="AI178" s="69">
        <f t="shared" si="218"/>
        <v>0.53048726369042343</v>
      </c>
      <c r="AJ178" s="69">
        <f t="shared" si="218"/>
        <v>0.53221002467875078</v>
      </c>
      <c r="AK178" s="69">
        <f t="shared" si="218"/>
        <v>0.51776461880088831</v>
      </c>
      <c r="AL178" s="69">
        <f t="shared" si="218"/>
        <v>0.51589472691255545</v>
      </c>
      <c r="AM178" s="40">
        <f t="shared" si="218"/>
        <v>0.52436581358183088</v>
      </c>
      <c r="AN178" s="69">
        <f t="shared" si="218"/>
        <v>0.53594256194729017</v>
      </c>
      <c r="AO178" s="69">
        <f t="shared" si="218"/>
        <v>0.52562623599208957</v>
      </c>
      <c r="AP178" s="69">
        <f t="shared" si="218"/>
        <v>0.53172108020959297</v>
      </c>
      <c r="AQ178" s="69">
        <f t="shared" si="218"/>
        <v>0.51419302514193022</v>
      </c>
      <c r="AR178" s="455">
        <f t="shared" si="218"/>
        <v>0.52671249896463179</v>
      </c>
      <c r="AS178" s="69">
        <f t="shared" si="218"/>
        <v>0.55348837209302326</v>
      </c>
      <c r="AT178" s="69">
        <f t="shared" si="218"/>
        <v>0.58327526132404184</v>
      </c>
      <c r="AU178" s="69">
        <f t="shared" si="218"/>
        <v>0.53761061946902655</v>
      </c>
      <c r="AV178" s="69">
        <f t="shared" si="218"/>
        <v>0.52325581395348841</v>
      </c>
      <c r="AW178" s="455">
        <f t="shared" si="218"/>
        <v>0.55017687581455965</v>
      </c>
      <c r="AX178" s="69">
        <f t="shared" si="218"/>
        <v>0.55312499999999998</v>
      </c>
      <c r="AY178" s="69">
        <f t="shared" si="218"/>
        <v>0.53509336767546689</v>
      </c>
      <c r="AZ178" s="69">
        <f t="shared" si="218"/>
        <v>0.55307994757536039</v>
      </c>
      <c r="BA178" s="69">
        <f t="shared" si="218"/>
        <v>0.55815464587394414</v>
      </c>
      <c r="BB178" s="455">
        <f t="shared" si="218"/>
        <v>0.54985525892569953</v>
      </c>
      <c r="BC178" s="69">
        <f t="shared" si="218"/>
        <v>0.56636005256241784</v>
      </c>
      <c r="BD178" s="69">
        <f t="shared" ref="BD178:BJ178" si="219">BD176/BD150</f>
        <v>0.52353367125271544</v>
      </c>
      <c r="BE178" s="69">
        <f t="shared" si="219"/>
        <v>0.52392156862745098</v>
      </c>
      <c r="BF178" s="69">
        <f t="shared" si="219"/>
        <v>0.48062015503875971</v>
      </c>
      <c r="BG178" s="455">
        <f t="shared" si="219"/>
        <v>0.52542062911484999</v>
      </c>
      <c r="BH178" s="69">
        <f t="shared" si="219"/>
        <v>0.52380952380952384</v>
      </c>
      <c r="BI178" s="69">
        <f t="shared" si="219"/>
        <v>0.52342704149933061</v>
      </c>
      <c r="BJ178" s="69">
        <f t="shared" si="219"/>
        <v>0.52173913043478259</v>
      </c>
      <c r="BK178" s="69">
        <f t="shared" ref="BK178:BS178" si="220">BK176/BK150</f>
        <v>0.50743243243243241</v>
      </c>
      <c r="BL178" s="455">
        <f t="shared" si="220"/>
        <v>0.5191007437457742</v>
      </c>
      <c r="BM178" s="69">
        <f>BM176/BM150</f>
        <v>0.54255319148936165</v>
      </c>
      <c r="BN178" s="69">
        <f t="shared" si="220"/>
        <v>0.53604843148046233</v>
      </c>
      <c r="BO178" s="69">
        <f t="shared" si="220"/>
        <v>0.55102040816326525</v>
      </c>
      <c r="BP178" s="69">
        <f t="shared" si="220"/>
        <v>0.53468899521531099</v>
      </c>
      <c r="BQ178" s="455">
        <f t="shared" si="220"/>
        <v>0.54119638826185101</v>
      </c>
      <c r="BR178" s="69">
        <f t="shared" si="220"/>
        <v>0.55353430353430355</v>
      </c>
      <c r="BS178" s="69">
        <f t="shared" si="220"/>
        <v>0.52265542676501575</v>
      </c>
      <c r="BT178" s="56"/>
      <c r="BU178" s="56"/>
      <c r="BV178" s="67"/>
      <c r="BW178" s="56"/>
      <c r="BX178" s="56"/>
      <c r="BY178" s="56"/>
      <c r="BZ178" s="56"/>
      <c r="CA178" s="67"/>
      <c r="CB178" s="56"/>
      <c r="CC178" s="56"/>
      <c r="CD178" s="56"/>
      <c r="CE178" s="56"/>
      <c r="CF178" s="67"/>
    </row>
    <row r="179" spans="1:97" ht="12.75" customHeight="1" x14ac:dyDescent="0.35">
      <c r="B179" s="2" t="s">
        <v>428</v>
      </c>
      <c r="C179" s="58"/>
      <c r="D179" s="58"/>
      <c r="E179" s="58"/>
      <c r="F179" s="58"/>
      <c r="G179" s="58"/>
      <c r="H179" s="58"/>
      <c r="I179" s="66"/>
      <c r="J179" s="56"/>
      <c r="K179" s="56"/>
      <c r="L179" s="56"/>
      <c r="M179" s="56"/>
      <c r="N179" s="66"/>
      <c r="O179" s="56"/>
      <c r="P179" s="56"/>
      <c r="Q179" s="56"/>
      <c r="R179" s="56"/>
      <c r="S179" s="67"/>
      <c r="T179" s="56"/>
      <c r="U179" s="56"/>
      <c r="V179" s="56"/>
      <c r="W179" s="56"/>
      <c r="X179" s="67"/>
      <c r="Y179" s="56"/>
      <c r="Z179" s="56"/>
      <c r="AA179" s="56"/>
      <c r="AB179" s="56"/>
      <c r="AC179" s="67"/>
      <c r="AD179" s="173">
        <v>397.4</v>
      </c>
      <c r="AE179" s="173">
        <v>432.7</v>
      </c>
      <c r="AF179" s="173">
        <v>474.5</v>
      </c>
      <c r="AG179" s="173">
        <v>551.1</v>
      </c>
      <c r="AH179" s="220">
        <v>1855.7</v>
      </c>
      <c r="AI179" s="173">
        <v>529</v>
      </c>
      <c r="AJ179" s="173">
        <v>549.70000000000005</v>
      </c>
      <c r="AK179" s="173">
        <v>521.20000000000005</v>
      </c>
      <c r="AL179" s="173">
        <v>513.20000000000005</v>
      </c>
      <c r="AM179" s="220">
        <v>2113.3000000000002</v>
      </c>
      <c r="AN179" s="173">
        <v>530</v>
      </c>
      <c r="AO179" s="173">
        <v>575.70000000000005</v>
      </c>
      <c r="AP179" s="173">
        <v>580.9</v>
      </c>
      <c r="AQ179" s="173">
        <v>599</v>
      </c>
      <c r="AR179" s="369">
        <f>SUM(AN179:AQ179)</f>
        <v>2285.6</v>
      </c>
      <c r="AS179" s="173">
        <v>576</v>
      </c>
      <c r="AT179" s="173">
        <v>598</v>
      </c>
      <c r="AU179" s="173">
        <v>627</v>
      </c>
      <c r="AV179" s="173">
        <v>615</v>
      </c>
      <c r="AW179" s="369">
        <f>SUM(AS179:AV179)</f>
        <v>2416</v>
      </c>
      <c r="AX179" s="173">
        <v>715</v>
      </c>
      <c r="AY179" s="173">
        <v>722</v>
      </c>
      <c r="AZ179" s="173">
        <v>682</v>
      </c>
      <c r="BA179" s="173">
        <v>680</v>
      </c>
      <c r="BB179" s="369">
        <f>SUM(AX179:BA179)</f>
        <v>2799</v>
      </c>
      <c r="BC179" s="173">
        <v>660</v>
      </c>
      <c r="BD179" s="173">
        <v>660</v>
      </c>
      <c r="BE179" s="173">
        <v>607</v>
      </c>
      <c r="BF179" s="449">
        <f>BG179-BE179-BD179-BC179</f>
        <v>668</v>
      </c>
      <c r="BG179" s="610">
        <v>2595</v>
      </c>
      <c r="BH179" s="173">
        <v>700</v>
      </c>
      <c r="BI179" s="173">
        <v>712</v>
      </c>
      <c r="BJ179" s="173">
        <v>704</v>
      </c>
      <c r="BK179" s="449">
        <f>BL179-BJ179-BI179-BH179</f>
        <v>729</v>
      </c>
      <c r="BL179" s="610">
        <v>2845</v>
      </c>
      <c r="BM179" s="173">
        <v>817</v>
      </c>
      <c r="BN179" s="173">
        <v>843</v>
      </c>
      <c r="BO179" s="173">
        <v>814</v>
      </c>
      <c r="BP179" s="449">
        <f>BQ179-BO179-BN179-BM179</f>
        <v>778</v>
      </c>
      <c r="BQ179" s="610">
        <v>3252</v>
      </c>
      <c r="BR179" s="173">
        <v>859</v>
      </c>
      <c r="BS179" s="173">
        <v>906</v>
      </c>
      <c r="BT179" s="56"/>
      <c r="BU179" s="56"/>
      <c r="BV179" s="67"/>
      <c r="BW179" s="56"/>
      <c r="BX179" s="56"/>
      <c r="BY179" s="56"/>
      <c r="BZ179" s="56"/>
      <c r="CA179" s="67"/>
      <c r="CB179" s="56"/>
      <c r="CC179" s="56"/>
      <c r="CD179" s="56"/>
      <c r="CE179" s="56"/>
      <c r="CF179" s="67"/>
      <c r="CI179"/>
      <c r="CJ179"/>
      <c r="CK179"/>
      <c r="CL179"/>
      <c r="CM179"/>
      <c r="CN179"/>
      <c r="CO179"/>
      <c r="CP179"/>
      <c r="CQ179"/>
      <c r="CR179"/>
      <c r="CS179"/>
    </row>
    <row r="180" spans="1:97" s="128" customFormat="1" ht="12.75" customHeight="1" x14ac:dyDescent="0.35">
      <c r="A180" s="41"/>
      <c r="B180" s="42" t="s">
        <v>126</v>
      </c>
      <c r="C180" s="58"/>
      <c r="D180" s="58"/>
      <c r="E180" s="58"/>
      <c r="F180" s="58"/>
      <c r="G180" s="58"/>
      <c r="H180" s="58"/>
      <c r="I180" s="66"/>
      <c r="J180" s="56"/>
      <c r="K180" s="56"/>
      <c r="L180" s="56"/>
      <c r="M180" s="56"/>
      <c r="N180" s="66"/>
      <c r="O180" s="56"/>
      <c r="P180" s="56"/>
      <c r="Q180" s="56"/>
      <c r="R180" s="56"/>
      <c r="S180" s="67"/>
      <c r="T180" s="56"/>
      <c r="U180" s="56"/>
      <c r="V180" s="56"/>
      <c r="W180" s="56"/>
      <c r="X180" s="67"/>
      <c r="Y180" s="56"/>
      <c r="Z180" s="56"/>
      <c r="AA180" s="56"/>
      <c r="AB180" s="56"/>
      <c r="AC180" s="67"/>
      <c r="AD180" s="153" t="str">
        <f>IFERROR(AD179/Y179-1,"NA")</f>
        <v>NA</v>
      </c>
      <c r="AE180" s="153" t="str">
        <f>IFERROR(AE179/Z179-1,"NA")</f>
        <v>NA</v>
      </c>
      <c r="AF180" s="153" t="str">
        <f>IFERROR(AF179/AA179-1,"NA")</f>
        <v>NA</v>
      </c>
      <c r="AG180" s="153" t="str">
        <f>IFERROR(AG179/AB179-1,"NA")</f>
        <v>NA</v>
      </c>
      <c r="AH180" s="184" t="str">
        <f>IFERROR(AH179/AC179-1,"NA")</f>
        <v>NA</v>
      </c>
      <c r="AI180" s="69">
        <f>AI179/AD179-1</f>
        <v>0.33115249119275303</v>
      </c>
      <c r="AJ180" s="69">
        <f>AJ179/AE179-1</f>
        <v>0.27039519297434733</v>
      </c>
      <c r="AK180" s="153">
        <f>IFERROR(AK179/AF179-1,"NA")</f>
        <v>9.8419388830347732E-2</v>
      </c>
      <c r="AL180" s="69">
        <f>AL179/AG179-1</f>
        <v>-6.8771547813463951E-2</v>
      </c>
      <c r="AM180" s="40">
        <f>AM179/AH179-1</f>
        <v>0.13881554130516793</v>
      </c>
      <c r="AN180" s="69">
        <f t="shared" ref="AN180:BE180" si="221">AN179/AI179-1</f>
        <v>1.890359168241984E-3</v>
      </c>
      <c r="AO180" s="69">
        <f t="shared" si="221"/>
        <v>4.7298526468983138E-2</v>
      </c>
      <c r="AP180" s="69">
        <f t="shared" si="221"/>
        <v>0.11454336147352251</v>
      </c>
      <c r="AQ180" s="69">
        <f t="shared" si="221"/>
        <v>0.16718628215120801</v>
      </c>
      <c r="AR180" s="455">
        <f t="shared" si="221"/>
        <v>8.1531254436189693E-2</v>
      </c>
      <c r="AS180" s="69">
        <f t="shared" si="221"/>
        <v>8.679245283018866E-2</v>
      </c>
      <c r="AT180" s="69">
        <f t="shared" si="221"/>
        <v>3.8735452492617561E-2</v>
      </c>
      <c r="AU180" s="69">
        <f t="shared" si="221"/>
        <v>7.9359614391461664E-2</v>
      </c>
      <c r="AV180" s="69">
        <f t="shared" si="221"/>
        <v>2.6711185308847973E-2</v>
      </c>
      <c r="AW180" s="455">
        <f t="shared" si="221"/>
        <v>5.7052852642632157E-2</v>
      </c>
      <c r="AX180" s="69">
        <f t="shared" si="221"/>
        <v>0.24131944444444442</v>
      </c>
      <c r="AY180" s="69">
        <f t="shared" si="221"/>
        <v>0.20735785953177266</v>
      </c>
      <c r="AZ180" s="69">
        <f t="shared" si="221"/>
        <v>8.7719298245614086E-2</v>
      </c>
      <c r="BA180" s="69">
        <f t="shared" si="221"/>
        <v>0.10569105691056913</v>
      </c>
      <c r="BB180" s="455">
        <f t="shared" si="221"/>
        <v>0.1585264900662251</v>
      </c>
      <c r="BC180" s="69">
        <f t="shared" si="221"/>
        <v>-7.6923076923076872E-2</v>
      </c>
      <c r="BD180" s="69">
        <f t="shared" si="221"/>
        <v>-8.5872576177285276E-2</v>
      </c>
      <c r="BE180" s="69">
        <f t="shared" si="221"/>
        <v>-0.10997067448680353</v>
      </c>
      <c r="BF180" s="69">
        <f t="shared" ref="BF180:BO180" si="222">BF179/BA179-1</f>
        <v>-1.764705882352946E-2</v>
      </c>
      <c r="BG180" s="455">
        <f t="shared" si="222"/>
        <v>-7.2883172561629128E-2</v>
      </c>
      <c r="BH180" s="69">
        <f t="shared" si="222"/>
        <v>6.0606060606060552E-2</v>
      </c>
      <c r="BI180" s="69">
        <f t="shared" si="222"/>
        <v>7.8787878787878851E-2</v>
      </c>
      <c r="BJ180" s="69">
        <f t="shared" si="222"/>
        <v>0.15980230642504112</v>
      </c>
      <c r="BK180" s="69">
        <f t="shared" si="222"/>
        <v>9.1317365269460993E-2</v>
      </c>
      <c r="BL180" s="455">
        <f t="shared" si="222"/>
        <v>9.6339113680154131E-2</v>
      </c>
      <c r="BM180" s="69">
        <f>BM179/BH179-1</f>
        <v>0.16714285714285704</v>
      </c>
      <c r="BN180" s="69">
        <f t="shared" si="222"/>
        <v>0.1839887640449438</v>
      </c>
      <c r="BO180" s="69">
        <f t="shared" si="222"/>
        <v>0.15625</v>
      </c>
      <c r="BP180" s="69">
        <f>BP179/BK179-1</f>
        <v>6.7215363511659909E-2</v>
      </c>
      <c r="BQ180" s="455">
        <f>BQ179/BL179-1</f>
        <v>0.14305799648506157</v>
      </c>
      <c r="BR180" s="69">
        <f>BR179/BM179-1</f>
        <v>5.1407588739290189E-2</v>
      </c>
      <c r="BS180" s="69">
        <f>BS179/BN179-1</f>
        <v>7.4733096085409345E-2</v>
      </c>
      <c r="BT180" s="56"/>
      <c r="BU180" s="56"/>
      <c r="BV180" s="67"/>
      <c r="BW180" s="56"/>
      <c r="BX180" s="56"/>
      <c r="BY180" s="56"/>
      <c r="BZ180" s="56"/>
      <c r="CA180" s="67"/>
      <c r="CB180" s="56"/>
      <c r="CC180" s="56"/>
      <c r="CD180" s="56"/>
      <c r="CE180" s="56"/>
      <c r="CF180" s="67"/>
    </row>
    <row r="181" spans="1:97" s="128" customFormat="1" ht="12.75" customHeight="1" x14ac:dyDescent="0.35">
      <c r="A181" s="41"/>
      <c r="B181" s="42" t="s">
        <v>26</v>
      </c>
      <c r="C181" s="58"/>
      <c r="D181" s="58"/>
      <c r="E181" s="58"/>
      <c r="F181" s="58"/>
      <c r="G181" s="58"/>
      <c r="H181" s="58"/>
      <c r="I181" s="66"/>
      <c r="J181" s="56"/>
      <c r="K181" s="56"/>
      <c r="L181" s="56"/>
      <c r="M181" s="56"/>
      <c r="N181" s="66"/>
      <c r="O181" s="56"/>
      <c r="P181" s="56"/>
      <c r="Q181" s="56"/>
      <c r="R181" s="56"/>
      <c r="S181" s="67"/>
      <c r="T181" s="56"/>
      <c r="U181" s="56"/>
      <c r="V181" s="56"/>
      <c r="W181" s="56"/>
      <c r="X181" s="67"/>
      <c r="Y181" s="56"/>
      <c r="Z181" s="56"/>
      <c r="AA181" s="56"/>
      <c r="AB181" s="56"/>
      <c r="AC181" s="67"/>
      <c r="AD181" s="69">
        <f t="shared" ref="AD181:BC181" si="223">AD179/AD150</f>
        <v>0.40750615258408529</v>
      </c>
      <c r="AE181" s="69">
        <f t="shared" si="223"/>
        <v>0.43248375812093953</v>
      </c>
      <c r="AF181" s="69">
        <f t="shared" si="223"/>
        <v>0.44642017122965466</v>
      </c>
      <c r="AG181" s="69">
        <f t="shared" si="223"/>
        <v>0.47284427284427288</v>
      </c>
      <c r="AH181" s="40">
        <f t="shared" si="223"/>
        <v>0.44140244047477462</v>
      </c>
      <c r="AI181" s="69">
        <f t="shared" si="223"/>
        <v>0.46951273630957663</v>
      </c>
      <c r="AJ181" s="69">
        <f t="shared" si="223"/>
        <v>0.46778997532124933</v>
      </c>
      <c r="AK181" s="69">
        <f t="shared" si="223"/>
        <v>0.48223538119911186</v>
      </c>
      <c r="AL181" s="69">
        <f t="shared" si="223"/>
        <v>0.48410527308744467</v>
      </c>
      <c r="AM181" s="40">
        <f t="shared" si="223"/>
        <v>0.47567920408760445</v>
      </c>
      <c r="AN181" s="69">
        <f t="shared" si="223"/>
        <v>0.46405743805270994</v>
      </c>
      <c r="AO181" s="69">
        <f t="shared" si="223"/>
        <v>0.47437376400791031</v>
      </c>
      <c r="AP181" s="69">
        <f t="shared" si="223"/>
        <v>0.46827891979040709</v>
      </c>
      <c r="AQ181" s="69">
        <f t="shared" si="223"/>
        <v>0.48580697485806973</v>
      </c>
      <c r="AR181" s="455">
        <f t="shared" si="223"/>
        <v>0.47328750103536815</v>
      </c>
      <c r="AS181" s="69">
        <f t="shared" si="223"/>
        <v>0.44651162790697674</v>
      </c>
      <c r="AT181" s="69">
        <f t="shared" si="223"/>
        <v>0.41672473867595816</v>
      </c>
      <c r="AU181" s="69">
        <f t="shared" si="223"/>
        <v>0.46238938053097345</v>
      </c>
      <c r="AV181" s="69">
        <f t="shared" si="223"/>
        <v>0.47674418604651164</v>
      </c>
      <c r="AW181" s="455">
        <f t="shared" si="223"/>
        <v>0.44982312418544035</v>
      </c>
      <c r="AX181" s="69">
        <f t="shared" si="223"/>
        <v>0.44687500000000002</v>
      </c>
      <c r="AY181" s="69">
        <f t="shared" si="223"/>
        <v>0.46490663232453316</v>
      </c>
      <c r="AZ181" s="69">
        <f t="shared" si="223"/>
        <v>0.44692005242463956</v>
      </c>
      <c r="BA181" s="69">
        <f t="shared" si="223"/>
        <v>0.44184535412605586</v>
      </c>
      <c r="BB181" s="455">
        <f t="shared" si="223"/>
        <v>0.45014474107430041</v>
      </c>
      <c r="BC181" s="69">
        <f t="shared" si="223"/>
        <v>0.43363994743758211</v>
      </c>
      <c r="BD181" s="69">
        <f t="shared" ref="BD181:BJ181" si="224">BD179/BD150</f>
        <v>0.47791455467052862</v>
      </c>
      <c r="BE181" s="69">
        <f t="shared" si="224"/>
        <v>0.47607843137254902</v>
      </c>
      <c r="BF181" s="69">
        <f t="shared" si="224"/>
        <v>0.51782945736434105</v>
      </c>
      <c r="BG181" s="455">
        <f t="shared" si="224"/>
        <v>0.47457937088514995</v>
      </c>
      <c r="BH181" s="69">
        <f t="shared" si="224"/>
        <v>0.47619047619047616</v>
      </c>
      <c r="BI181" s="69">
        <f t="shared" si="224"/>
        <v>0.47657295850066933</v>
      </c>
      <c r="BJ181" s="69">
        <f t="shared" si="224"/>
        <v>0.47826086956521741</v>
      </c>
      <c r="BK181" s="69">
        <f t="shared" ref="BK181:BS181" si="225">BK179/BK150</f>
        <v>0.49256756756756759</v>
      </c>
      <c r="BL181" s="455">
        <f t="shared" si="225"/>
        <v>0.4808992562542258</v>
      </c>
      <c r="BM181" s="69">
        <f>BM179/BM150</f>
        <v>0.45744680851063829</v>
      </c>
      <c r="BN181" s="69">
        <f t="shared" si="225"/>
        <v>0.46395156851953773</v>
      </c>
      <c r="BO181" s="69">
        <f t="shared" si="225"/>
        <v>0.44897959183673469</v>
      </c>
      <c r="BP181" s="69">
        <f t="shared" si="225"/>
        <v>0.46531100478468901</v>
      </c>
      <c r="BQ181" s="455">
        <f t="shared" si="225"/>
        <v>0.45880361173814899</v>
      </c>
      <c r="BR181" s="69">
        <f t="shared" si="225"/>
        <v>0.44646569646569645</v>
      </c>
      <c r="BS181" s="69">
        <f t="shared" si="225"/>
        <v>0.47734457323498419</v>
      </c>
      <c r="BT181" s="56"/>
      <c r="BU181" s="56"/>
      <c r="BV181" s="67"/>
      <c r="BW181" s="56"/>
      <c r="BX181" s="56"/>
      <c r="BY181" s="56"/>
      <c r="BZ181" s="56"/>
      <c r="CA181" s="67"/>
      <c r="CB181" s="56"/>
      <c r="CC181" s="56"/>
      <c r="CD181" s="56"/>
      <c r="CE181" s="56"/>
      <c r="CF181" s="67"/>
    </row>
    <row r="182" spans="1:97" ht="12.75" customHeight="1" x14ac:dyDescent="0.35">
      <c r="C182" s="58"/>
      <c r="D182" s="58"/>
      <c r="E182" s="58"/>
      <c r="F182" s="58"/>
      <c r="G182" s="58"/>
      <c r="H182" s="58"/>
      <c r="I182" s="66"/>
      <c r="J182" s="56"/>
      <c r="K182" s="56"/>
      <c r="L182" s="56"/>
      <c r="M182" s="56"/>
      <c r="N182" s="66"/>
      <c r="O182" s="56"/>
      <c r="P182" s="56"/>
      <c r="Q182" s="56"/>
      <c r="R182" s="56"/>
      <c r="S182" s="67"/>
      <c r="T182" s="56"/>
      <c r="U182" s="56"/>
      <c r="V182" s="56"/>
      <c r="W182" s="56"/>
      <c r="X182" s="67"/>
      <c r="Y182" s="56"/>
      <c r="Z182" s="56"/>
      <c r="AA182" s="56"/>
      <c r="AB182" s="56"/>
      <c r="AC182" s="67"/>
      <c r="AD182" s="56"/>
      <c r="AE182" s="56"/>
      <c r="AF182" s="56"/>
      <c r="AG182" s="56"/>
      <c r="AH182" s="67"/>
      <c r="AI182" s="56"/>
      <c r="AJ182" s="56"/>
      <c r="AK182" s="56"/>
      <c r="AL182" s="56"/>
      <c r="AM182" s="67"/>
      <c r="AN182" s="56"/>
      <c r="AO182" s="56"/>
      <c r="AP182" s="56"/>
      <c r="AQ182" s="56"/>
      <c r="AR182" s="67"/>
      <c r="AS182" s="56"/>
      <c r="AT182" s="56"/>
      <c r="AU182" s="56"/>
      <c r="AV182" s="56"/>
      <c r="AW182" s="67"/>
      <c r="AX182" s="56"/>
      <c r="AY182" s="56"/>
      <c r="AZ182" s="56"/>
      <c r="BA182" s="56"/>
      <c r="BB182" s="67"/>
      <c r="BC182" s="56"/>
      <c r="BD182" s="56"/>
      <c r="BE182" s="56"/>
      <c r="BF182" s="56"/>
      <c r="BG182" s="67"/>
      <c r="BH182" s="56"/>
      <c r="BI182" s="56"/>
      <c r="BJ182" s="56"/>
      <c r="BK182" s="56"/>
      <c r="BL182" s="67"/>
      <c r="BM182" s="56"/>
      <c r="BN182" s="56"/>
      <c r="BO182" s="56"/>
      <c r="BP182" s="56"/>
      <c r="BQ182" s="67"/>
      <c r="BR182" s="56"/>
      <c r="BS182" s="56"/>
      <c r="BT182" s="56"/>
      <c r="BU182" s="56"/>
      <c r="BV182" s="67"/>
      <c r="BW182" s="56"/>
      <c r="BX182" s="56"/>
      <c r="BY182" s="56"/>
      <c r="BZ182" s="56"/>
      <c r="CA182" s="67"/>
      <c r="CB182" s="56"/>
      <c r="CC182" s="56"/>
      <c r="CD182" s="56"/>
      <c r="CE182" s="56"/>
      <c r="CF182" s="67"/>
      <c r="CI182"/>
      <c r="CJ182"/>
      <c r="CK182"/>
      <c r="CL182"/>
      <c r="CM182"/>
      <c r="CN182"/>
      <c r="CO182"/>
      <c r="CP182"/>
      <c r="CQ182"/>
      <c r="CR182"/>
      <c r="CS182"/>
    </row>
    <row r="183" spans="1:97" ht="12.75" customHeight="1" x14ac:dyDescent="0.35">
      <c r="B183" s="218" t="s">
        <v>49</v>
      </c>
      <c r="C183" s="58"/>
      <c r="D183" s="58"/>
      <c r="E183" s="58"/>
      <c r="F183" s="58"/>
      <c r="G183" s="58"/>
      <c r="H183" s="58"/>
      <c r="I183" s="66"/>
      <c r="J183" s="56"/>
      <c r="K183" s="56"/>
      <c r="L183" s="56"/>
      <c r="M183" s="56"/>
      <c r="N183" s="66"/>
      <c r="O183" s="56"/>
      <c r="P183" s="56"/>
      <c r="Q183" s="56"/>
      <c r="R183" s="56"/>
      <c r="S183" s="67"/>
      <c r="T183" s="56"/>
      <c r="U183" s="56"/>
      <c r="V183" s="56"/>
      <c r="W183" s="56"/>
      <c r="X183" s="67"/>
      <c r="Y183" s="56"/>
      <c r="Z183" s="56"/>
      <c r="AA183" s="56"/>
      <c r="AB183" s="56"/>
      <c r="AC183" s="67"/>
      <c r="AD183" s="56"/>
      <c r="AE183" s="56"/>
      <c r="AF183" s="56"/>
      <c r="AG183" s="56"/>
      <c r="AH183" s="67"/>
      <c r="AI183" s="56"/>
      <c r="AJ183" s="56"/>
      <c r="AK183" s="56"/>
      <c r="AL183" s="56"/>
      <c r="AM183" s="67"/>
      <c r="AN183" s="56"/>
      <c r="AO183" s="56"/>
      <c r="AP183" s="56"/>
      <c r="AQ183" s="56"/>
      <c r="AR183" s="67"/>
      <c r="AS183" s="56"/>
      <c r="AT183" s="56"/>
      <c r="AU183" s="56"/>
      <c r="AV183" s="56"/>
      <c r="AW183" s="67"/>
      <c r="AX183" s="56"/>
      <c r="AY183" s="56"/>
      <c r="AZ183" s="56"/>
      <c r="BA183" s="56"/>
      <c r="BB183" s="67"/>
      <c r="BC183" s="56"/>
      <c r="BD183" s="56"/>
      <c r="BE183" s="56"/>
      <c r="BF183" s="56"/>
      <c r="BG183" s="67"/>
      <c r="BH183" s="56"/>
      <c r="BI183" s="56"/>
      <c r="BJ183" s="56"/>
      <c r="BK183" s="56"/>
      <c r="BL183" s="67"/>
      <c r="BM183" s="56"/>
      <c r="BN183" s="56"/>
      <c r="BO183" s="56"/>
      <c r="BP183" s="56"/>
      <c r="BQ183" s="67"/>
      <c r="BR183" s="56"/>
      <c r="BS183" s="56"/>
      <c r="BT183" s="56"/>
      <c r="BU183" s="56"/>
      <c r="BV183" s="67"/>
      <c r="BW183" s="56"/>
      <c r="BX183" s="56"/>
      <c r="BY183" s="56"/>
      <c r="BZ183" s="56"/>
      <c r="CA183" s="67"/>
      <c r="CB183" s="56"/>
      <c r="CC183" s="56"/>
      <c r="CD183" s="56"/>
      <c r="CE183" s="56"/>
      <c r="CF183" s="67"/>
      <c r="CI183"/>
      <c r="CJ183"/>
      <c r="CK183"/>
      <c r="CL183"/>
      <c r="CM183"/>
      <c r="CN183"/>
      <c r="CO183"/>
      <c r="CP183"/>
      <c r="CQ183"/>
      <c r="CR183"/>
      <c r="CS183"/>
    </row>
    <row r="184" spans="1:97" ht="12.75" customHeight="1" x14ac:dyDescent="0.35">
      <c r="B184" s="2" t="s">
        <v>121</v>
      </c>
      <c r="C184" s="58"/>
      <c r="D184" s="58"/>
      <c r="E184" s="58"/>
      <c r="F184" s="58"/>
      <c r="G184" s="58"/>
      <c r="H184" s="58"/>
      <c r="I184" s="66"/>
      <c r="J184" s="56"/>
      <c r="K184" s="56"/>
      <c r="L184" s="56"/>
      <c r="M184" s="56"/>
      <c r="N184" s="66"/>
      <c r="O184" s="56"/>
      <c r="P184" s="56"/>
      <c r="Q184" s="56"/>
      <c r="R184" s="56"/>
      <c r="S184" s="67"/>
      <c r="T184" s="56"/>
      <c r="U184" s="56"/>
      <c r="V184" s="56"/>
      <c r="W184" s="56"/>
      <c r="X184" s="67"/>
      <c r="Y184" s="56"/>
      <c r="Z184" s="56"/>
      <c r="AA184" s="56"/>
      <c r="AB184" s="56"/>
      <c r="AC184" s="67"/>
      <c r="AD184" s="56"/>
      <c r="AE184" s="56"/>
      <c r="AF184" s="56"/>
      <c r="AG184" s="56"/>
      <c r="AH184" s="67"/>
      <c r="AI184" s="56"/>
      <c r="AJ184" s="56"/>
      <c r="AK184" s="56"/>
      <c r="AL184" s="56"/>
      <c r="AM184" s="67"/>
      <c r="AN184" s="56"/>
      <c r="AO184" s="56"/>
      <c r="AP184" s="56"/>
      <c r="AQ184" s="56"/>
      <c r="AR184" s="67"/>
      <c r="AS184" s="56"/>
      <c r="AT184" s="56"/>
      <c r="AU184" s="56"/>
      <c r="AV184" s="56"/>
      <c r="AW184" s="67"/>
      <c r="AX184" s="56"/>
      <c r="AY184" s="56"/>
      <c r="AZ184" s="56"/>
      <c r="BA184" s="56"/>
      <c r="BB184" s="67"/>
      <c r="BC184" s="56"/>
      <c r="BD184" s="56"/>
      <c r="BE184" s="56"/>
      <c r="BF184" s="56"/>
      <c r="BG184" s="67"/>
      <c r="BH184" s="56"/>
      <c r="BI184" s="56"/>
      <c r="BJ184" s="56"/>
      <c r="BK184" s="56"/>
      <c r="BL184" s="67"/>
      <c r="BM184" s="56"/>
      <c r="BN184" s="56"/>
      <c r="BO184" s="56"/>
      <c r="BP184" s="56"/>
      <c r="BQ184" s="67"/>
      <c r="BR184" s="56"/>
      <c r="BS184" s="56"/>
      <c r="BT184" s="56"/>
      <c r="BU184" s="56"/>
      <c r="BV184" s="67"/>
      <c r="BW184" s="56"/>
      <c r="BX184" s="56"/>
      <c r="BY184" s="56"/>
      <c r="BZ184" s="56"/>
      <c r="CA184" s="67"/>
      <c r="CB184" s="56"/>
      <c r="CC184" s="56"/>
      <c r="CD184" s="56"/>
      <c r="CE184" s="56"/>
      <c r="CF184" s="67"/>
      <c r="CI184"/>
      <c r="CJ184"/>
      <c r="CK184"/>
      <c r="CL184"/>
      <c r="CM184"/>
      <c r="CN184"/>
      <c r="CO184"/>
      <c r="CP184"/>
      <c r="CQ184"/>
      <c r="CR184"/>
      <c r="CS184"/>
    </row>
    <row r="185" spans="1:97" ht="12.75" customHeight="1" x14ac:dyDescent="0.35">
      <c r="B185" s="2" t="s">
        <v>122</v>
      </c>
      <c r="C185" s="58"/>
      <c r="D185" s="58"/>
      <c r="E185" s="58"/>
      <c r="F185" s="58"/>
      <c r="G185" s="58"/>
      <c r="H185" s="58"/>
      <c r="I185" s="66"/>
      <c r="J185" s="56"/>
      <c r="K185" s="56"/>
      <c r="L185" s="56"/>
      <c r="M185" s="56"/>
      <c r="N185" s="66"/>
      <c r="O185" s="56"/>
      <c r="P185" s="56"/>
      <c r="Q185" s="56"/>
      <c r="R185" s="56"/>
      <c r="S185" s="67"/>
      <c r="T185" s="56"/>
      <c r="U185" s="56"/>
      <c r="V185" s="56"/>
      <c r="W185" s="56"/>
      <c r="X185" s="67"/>
      <c r="Y185" s="56"/>
      <c r="Z185" s="56"/>
      <c r="AA185" s="56"/>
      <c r="AB185" s="56"/>
      <c r="AC185" s="67"/>
      <c r="AD185" s="56"/>
      <c r="AE185" s="56"/>
      <c r="AF185" s="56"/>
      <c r="AG185" s="56"/>
      <c r="AH185" s="67"/>
      <c r="AI185" s="56"/>
      <c r="AJ185" s="56"/>
      <c r="AK185" s="56"/>
      <c r="AL185" s="56"/>
      <c r="AM185" s="67"/>
      <c r="AN185" s="56"/>
      <c r="AO185" s="56"/>
      <c r="AP185" s="56"/>
      <c r="AQ185" s="56"/>
      <c r="AR185" s="67"/>
      <c r="AS185" s="56"/>
      <c r="AT185" s="56"/>
      <c r="AU185" s="56"/>
      <c r="AV185" s="56"/>
      <c r="AW185" s="67"/>
      <c r="AX185" s="56"/>
      <c r="AY185" s="56"/>
      <c r="AZ185" s="56"/>
      <c r="BA185" s="56"/>
      <c r="BB185" s="67"/>
      <c r="BC185" s="56"/>
      <c r="BD185" s="56"/>
      <c r="BE185" s="56"/>
      <c r="BF185" s="56"/>
      <c r="BG185" s="67"/>
      <c r="BH185" s="56"/>
      <c r="BI185" s="56"/>
      <c r="BJ185" s="56"/>
      <c r="BK185" s="56"/>
      <c r="BL185" s="67"/>
      <c r="BM185" s="56"/>
      <c r="BN185" s="56"/>
      <c r="BO185" s="56"/>
      <c r="BP185" s="56"/>
      <c r="BQ185" s="67"/>
      <c r="BR185" s="56"/>
      <c r="BS185" s="56"/>
      <c r="BT185" s="56"/>
      <c r="BU185" s="56"/>
      <c r="BV185" s="67"/>
      <c r="BW185" s="56"/>
      <c r="BX185" s="56"/>
      <c r="BY185" s="56"/>
      <c r="BZ185" s="56"/>
      <c r="CA185" s="67"/>
      <c r="CB185" s="56"/>
      <c r="CC185" s="56"/>
      <c r="CD185" s="56"/>
      <c r="CE185" s="56"/>
      <c r="CF185" s="67"/>
      <c r="CI185"/>
      <c r="CJ185"/>
      <c r="CK185"/>
      <c r="CL185"/>
      <c r="CM185"/>
      <c r="CN185"/>
      <c r="CO185"/>
      <c r="CP185"/>
      <c r="CQ185"/>
      <c r="CR185"/>
      <c r="CS185"/>
    </row>
    <row r="186" spans="1:97" ht="12.75" customHeight="1" x14ac:dyDescent="0.35">
      <c r="B186" s="2" t="s">
        <v>123</v>
      </c>
      <c r="C186" s="58"/>
      <c r="D186" s="58"/>
      <c r="E186" s="58"/>
      <c r="F186" s="58"/>
      <c r="G186" s="58"/>
      <c r="H186" s="58"/>
      <c r="I186" s="66"/>
      <c r="J186" s="56"/>
      <c r="K186" s="56"/>
      <c r="L186" s="56"/>
      <c r="M186" s="56"/>
      <c r="N186" s="66"/>
      <c r="O186" s="56"/>
      <c r="P186" s="56"/>
      <c r="Q186" s="56"/>
      <c r="R186" s="56"/>
      <c r="S186" s="67"/>
      <c r="T186" s="56"/>
      <c r="U186" s="56"/>
      <c r="V186" s="56"/>
      <c r="W186" s="56"/>
      <c r="X186" s="67"/>
      <c r="Y186" s="56"/>
      <c r="Z186" s="56"/>
      <c r="AA186" s="56"/>
      <c r="AB186" s="56"/>
      <c r="AC186" s="67"/>
      <c r="AD186" s="56"/>
      <c r="AE186" s="56"/>
      <c r="AF186" s="56"/>
      <c r="AG186" s="56"/>
      <c r="AH186" s="67"/>
      <c r="AI186" s="56"/>
      <c r="AJ186" s="56"/>
      <c r="AK186" s="56"/>
      <c r="AL186" s="56"/>
      <c r="AM186" s="67"/>
      <c r="AN186" s="56"/>
      <c r="AO186" s="56"/>
      <c r="AP186" s="56"/>
      <c r="AQ186" s="56"/>
      <c r="AR186" s="67"/>
      <c r="AS186" s="56"/>
      <c r="AT186" s="56"/>
      <c r="AU186" s="56"/>
      <c r="AV186" s="56"/>
      <c r="AW186" s="67"/>
      <c r="AX186" s="56"/>
      <c r="AY186" s="56"/>
      <c r="AZ186" s="56"/>
      <c r="BA186" s="56"/>
      <c r="BB186" s="67"/>
      <c r="BC186" s="56"/>
      <c r="BD186" s="56"/>
      <c r="BE186" s="56"/>
      <c r="BF186" s="56"/>
      <c r="BG186" s="67"/>
      <c r="BH186" s="56"/>
      <c r="BI186" s="56"/>
      <c r="BJ186" s="56"/>
      <c r="BK186" s="56"/>
      <c r="BL186" s="67"/>
      <c r="BM186" s="56"/>
      <c r="BN186" s="56"/>
      <c r="BO186" s="56"/>
      <c r="BP186" s="56"/>
      <c r="BQ186" s="67"/>
      <c r="BR186" s="56"/>
      <c r="BS186" s="56"/>
      <c r="BT186" s="56"/>
      <c r="BU186" s="56"/>
      <c r="BV186" s="67"/>
      <c r="BW186" s="56"/>
      <c r="BX186" s="56"/>
      <c r="BY186" s="56"/>
      <c r="BZ186" s="56"/>
      <c r="CA186" s="67"/>
      <c r="CB186" s="56"/>
      <c r="CC186" s="56"/>
      <c r="CD186" s="56"/>
      <c r="CE186" s="56"/>
      <c r="CF186" s="67"/>
      <c r="CI186"/>
      <c r="CJ186"/>
      <c r="CK186"/>
      <c r="CL186"/>
      <c r="CM186"/>
      <c r="CN186"/>
      <c r="CO186"/>
      <c r="CP186"/>
      <c r="CQ186"/>
      <c r="CR186"/>
      <c r="CS186"/>
    </row>
    <row r="187" spans="1:97" ht="12.75" customHeight="1" x14ac:dyDescent="0.35">
      <c r="B187" s="2" t="s">
        <v>124</v>
      </c>
      <c r="C187" s="58"/>
      <c r="D187" s="58"/>
      <c r="E187" s="58"/>
      <c r="F187" s="58"/>
      <c r="G187" s="58"/>
      <c r="H187" s="58"/>
      <c r="I187" s="66"/>
      <c r="J187" s="56"/>
      <c r="K187" s="56"/>
      <c r="L187" s="56"/>
      <c r="M187" s="56"/>
      <c r="N187" s="66"/>
      <c r="O187" s="56"/>
      <c r="P187" s="56"/>
      <c r="Q187" s="56"/>
      <c r="R187" s="56"/>
      <c r="S187" s="67"/>
      <c r="T187" s="56"/>
      <c r="U187" s="56"/>
      <c r="V187" s="56"/>
      <c r="W187" s="56"/>
      <c r="X187" s="67"/>
      <c r="Y187" s="56"/>
      <c r="Z187" s="56"/>
      <c r="AA187" s="56"/>
      <c r="AB187" s="56"/>
      <c r="AC187" s="67"/>
      <c r="AD187" s="56"/>
      <c r="AE187" s="56"/>
      <c r="AF187" s="56"/>
      <c r="AG187" s="56"/>
      <c r="AH187" s="67"/>
      <c r="AI187" s="56"/>
      <c r="AJ187" s="56"/>
      <c r="AK187" s="56"/>
      <c r="AL187" s="56"/>
      <c r="AM187" s="67"/>
      <c r="AN187" s="56"/>
      <c r="AO187" s="56"/>
      <c r="AP187" s="56"/>
      <c r="AQ187" s="56"/>
      <c r="AR187" s="67"/>
      <c r="AS187" s="56"/>
      <c r="AT187" s="56"/>
      <c r="AU187" s="56"/>
      <c r="AV187" s="56"/>
      <c r="AW187" s="67"/>
      <c r="AX187" s="56"/>
      <c r="AY187" s="56"/>
      <c r="AZ187" s="56"/>
      <c r="BA187" s="56"/>
      <c r="BB187" s="67"/>
      <c r="BC187" s="56"/>
      <c r="BD187" s="56"/>
      <c r="BE187" s="56"/>
      <c r="BF187" s="56"/>
      <c r="BG187" s="67"/>
      <c r="BH187" s="56"/>
      <c r="BI187" s="56"/>
      <c r="BJ187" s="56"/>
      <c r="BK187" s="56"/>
      <c r="BL187" s="67"/>
      <c r="BM187" s="56"/>
      <c r="BN187" s="56"/>
      <c r="BO187" s="56"/>
      <c r="BP187" s="56"/>
      <c r="BQ187" s="67"/>
      <c r="BR187" s="56"/>
      <c r="BS187" s="56"/>
      <c r="BT187" s="56"/>
      <c r="BU187" s="56"/>
      <c r="BV187" s="67"/>
      <c r="BW187" s="56"/>
      <c r="BX187" s="56"/>
      <c r="BY187" s="56"/>
      <c r="BZ187" s="56"/>
      <c r="CA187" s="67"/>
      <c r="CB187" s="56"/>
      <c r="CC187" s="56"/>
      <c r="CD187" s="56"/>
      <c r="CE187" s="56"/>
      <c r="CF187" s="67"/>
      <c r="CI187"/>
      <c r="CJ187"/>
      <c r="CK187"/>
      <c r="CL187"/>
      <c r="CM187"/>
      <c r="CN187"/>
      <c r="CO187"/>
      <c r="CP187"/>
      <c r="CQ187"/>
      <c r="CR187"/>
      <c r="CS187"/>
    </row>
    <row r="188" spans="1:97" ht="12.75" customHeight="1" x14ac:dyDescent="0.35">
      <c r="B188" s="2" t="s">
        <v>435</v>
      </c>
      <c r="C188" s="58"/>
      <c r="D188" s="58"/>
      <c r="E188" s="58"/>
      <c r="F188" s="58"/>
      <c r="G188" s="58"/>
      <c r="H188" s="58"/>
      <c r="I188" s="66"/>
      <c r="J188" s="56"/>
      <c r="K188" s="56"/>
      <c r="L188" s="56"/>
      <c r="M188" s="56"/>
      <c r="N188" s="66"/>
      <c r="O188" s="56"/>
      <c r="P188" s="56"/>
      <c r="Q188" s="56"/>
      <c r="R188" s="56"/>
      <c r="S188" s="67"/>
      <c r="T188" s="56"/>
      <c r="U188" s="56"/>
      <c r="V188" s="56"/>
      <c r="W188" s="56"/>
      <c r="X188" s="67"/>
      <c r="Y188" s="56"/>
      <c r="Z188" s="56"/>
      <c r="AA188" s="56"/>
      <c r="AB188" s="56"/>
      <c r="AC188" s="67"/>
      <c r="AD188" s="56"/>
      <c r="AE188" s="56"/>
      <c r="AF188" s="56"/>
      <c r="AG188" s="56"/>
      <c r="AH188" s="67"/>
      <c r="AI188" s="56"/>
      <c r="AJ188" s="56"/>
      <c r="AK188" s="56"/>
      <c r="AL188" s="56"/>
      <c r="AM188" s="67"/>
      <c r="AN188" s="56"/>
      <c r="AO188" s="56"/>
      <c r="AP188" s="56"/>
      <c r="AQ188" s="56"/>
      <c r="AR188" s="67"/>
      <c r="AS188" s="56"/>
      <c r="AT188" s="56"/>
      <c r="AU188" s="56"/>
      <c r="AV188" s="56"/>
      <c r="AW188" s="67"/>
      <c r="AX188" s="56"/>
      <c r="AY188" s="56"/>
      <c r="AZ188" s="56"/>
      <c r="BA188" s="56"/>
      <c r="BB188" s="67"/>
      <c r="BC188" s="56"/>
      <c r="BD188" s="56"/>
      <c r="BE188" s="56"/>
      <c r="BF188" s="56"/>
      <c r="BG188" s="67"/>
      <c r="BH188" s="56"/>
      <c r="BI188" s="56"/>
      <c r="BJ188" s="56"/>
      <c r="BK188" s="56"/>
      <c r="BL188" s="67"/>
      <c r="BM188" s="56"/>
      <c r="BN188" s="56"/>
      <c r="BO188" s="56"/>
      <c r="BP188" s="56"/>
      <c r="BQ188" s="67"/>
      <c r="BR188" s="56"/>
      <c r="BS188" s="56"/>
      <c r="BT188" s="56"/>
      <c r="BU188" s="56"/>
      <c r="BV188" s="67"/>
      <c r="BW188" s="56"/>
      <c r="BX188" s="56"/>
      <c r="BY188" s="56"/>
      <c r="BZ188" s="56"/>
      <c r="CA188" s="67"/>
      <c r="CB188" s="56"/>
      <c r="CC188" s="56"/>
      <c r="CD188" s="56"/>
      <c r="CE188" s="56"/>
      <c r="CF188" s="67"/>
      <c r="CI188"/>
      <c r="CJ188"/>
      <c r="CK188"/>
      <c r="CL188"/>
      <c r="CM188"/>
      <c r="CN188"/>
      <c r="CO188"/>
      <c r="CP188"/>
      <c r="CQ188"/>
      <c r="CR188"/>
      <c r="CS188"/>
    </row>
    <row r="189" spans="1:97" ht="12.75" customHeight="1" x14ac:dyDescent="0.35">
      <c r="B189" s="76"/>
      <c r="C189" s="79"/>
      <c r="D189" s="76"/>
      <c r="E189" s="76"/>
      <c r="F189" s="76"/>
      <c r="G189" s="76"/>
      <c r="H189" s="76"/>
      <c r="I189" s="39"/>
      <c r="J189" s="16"/>
      <c r="K189" s="65"/>
      <c r="L189" s="65"/>
      <c r="M189" s="16"/>
      <c r="N189" s="39"/>
      <c r="O189" s="16"/>
      <c r="P189" s="65"/>
      <c r="Q189" s="65"/>
      <c r="R189" s="16"/>
      <c r="S189" s="39"/>
      <c r="T189" s="16"/>
      <c r="U189" s="65"/>
      <c r="V189" s="65"/>
      <c r="W189" s="16"/>
      <c r="X189" s="82"/>
      <c r="Y189" s="16"/>
      <c r="Z189" s="65"/>
      <c r="AA189" s="65"/>
      <c r="AB189" s="16"/>
      <c r="AC189" s="81"/>
      <c r="AD189" s="83"/>
      <c r="AE189" s="83"/>
      <c r="AF189" s="83"/>
      <c r="AG189" s="83"/>
      <c r="AH189" s="80"/>
      <c r="AI189" s="83"/>
      <c r="AJ189" s="83"/>
      <c r="AK189" s="83"/>
      <c r="AL189" s="83"/>
      <c r="AM189" s="80"/>
      <c r="AN189" s="83"/>
      <c r="AO189" s="83"/>
      <c r="AP189" s="83"/>
      <c r="AQ189" s="83"/>
      <c r="AR189" s="80"/>
      <c r="AS189" s="83"/>
      <c r="AT189" s="83"/>
      <c r="AU189" s="83"/>
      <c r="AV189" s="83"/>
      <c r="AW189" s="80"/>
      <c r="AX189" s="83"/>
      <c r="AY189" s="83"/>
      <c r="AZ189" s="83"/>
      <c r="BA189" s="83"/>
      <c r="BB189" s="80"/>
      <c r="BC189" s="83"/>
      <c r="BD189" s="83"/>
      <c r="BE189" s="83"/>
      <c r="BF189" s="83"/>
      <c r="BG189" s="80"/>
      <c r="BH189" s="83"/>
      <c r="BI189" s="83"/>
      <c r="BJ189" s="83"/>
      <c r="BK189" s="83"/>
      <c r="BL189" s="80"/>
      <c r="BM189" s="83"/>
      <c r="BN189" s="83"/>
      <c r="BO189" s="83"/>
      <c r="BP189" s="83"/>
      <c r="BQ189" s="80"/>
      <c r="BR189" s="83"/>
      <c r="BS189" s="83"/>
      <c r="BT189" s="83"/>
      <c r="BU189" s="83"/>
      <c r="BV189" s="80"/>
      <c r="BW189" s="83"/>
      <c r="BX189" s="83"/>
      <c r="BY189" s="83"/>
      <c r="BZ189" s="83"/>
      <c r="CA189" s="80"/>
      <c r="CB189" s="83"/>
      <c r="CC189" s="83"/>
      <c r="CD189" s="83"/>
      <c r="CE189" s="83"/>
      <c r="CF189" s="80"/>
      <c r="CI189"/>
      <c r="CJ189"/>
      <c r="CK189"/>
      <c r="CL189"/>
      <c r="CM189"/>
      <c r="CN189"/>
      <c r="CO189"/>
      <c r="CP189"/>
      <c r="CQ189"/>
      <c r="CR189"/>
      <c r="CS189"/>
    </row>
    <row r="190" spans="1:97" ht="12.75" customHeight="1" x14ac:dyDescent="0.35">
      <c r="B190" s="84"/>
      <c r="C190" s="84"/>
      <c r="D190" s="84"/>
      <c r="E190" s="84"/>
      <c r="F190" s="84"/>
      <c r="G190" s="84"/>
      <c r="H190" s="84"/>
      <c r="I190" s="85"/>
      <c r="J190" s="89"/>
      <c r="K190" s="89"/>
      <c r="L190" s="90"/>
      <c r="M190" s="90"/>
      <c r="N190" s="85"/>
      <c r="O190" s="89"/>
      <c r="P190" s="89"/>
      <c r="Q190" s="90"/>
      <c r="R190" s="90"/>
      <c r="S190" s="86"/>
      <c r="T190" s="89"/>
      <c r="U190" s="89"/>
      <c r="V190" s="90"/>
      <c r="W190" s="90"/>
      <c r="X190" s="25"/>
      <c r="Y190" s="89"/>
      <c r="Z190" s="89"/>
      <c r="AA190" s="90"/>
      <c r="AB190" s="90"/>
      <c r="AC190" s="25"/>
      <c r="AD190" s="89"/>
      <c r="AE190" s="89"/>
      <c r="AF190" s="90"/>
      <c r="AG190" s="90"/>
      <c r="AH190" s="25"/>
      <c r="AI190" s="89"/>
      <c r="AJ190" s="89"/>
      <c r="AK190" s="90"/>
      <c r="AL190" s="90"/>
      <c r="AM190" s="25"/>
      <c r="AN190" s="89"/>
      <c r="AO190" s="89"/>
      <c r="AP190" s="90"/>
      <c r="AQ190" s="90"/>
      <c r="AR190" s="25"/>
      <c r="AS190" s="89"/>
      <c r="AT190" s="89"/>
      <c r="AU190" s="90"/>
      <c r="AV190" s="90"/>
      <c r="AW190" s="25"/>
      <c r="AX190" s="89"/>
      <c r="AY190" s="89"/>
      <c r="AZ190" s="90"/>
      <c r="BA190" s="90"/>
      <c r="BB190" s="25"/>
      <c r="BC190" s="89"/>
      <c r="BD190" s="89"/>
      <c r="BE190" s="90"/>
      <c r="BF190" s="90"/>
      <c r="BG190" s="25"/>
      <c r="BH190" s="89"/>
      <c r="BI190" s="89"/>
      <c r="BJ190" s="90"/>
      <c r="BK190" s="90"/>
      <c r="BL190" s="25"/>
      <c r="BM190" s="89"/>
      <c r="BN190" s="89"/>
      <c r="BO190" s="90"/>
      <c r="BP190" s="90"/>
      <c r="BQ190" s="25"/>
      <c r="BR190" s="89"/>
      <c r="BS190" s="89"/>
      <c r="BT190" s="90"/>
      <c r="BU190" s="90"/>
      <c r="BV190" s="25"/>
      <c r="BW190" s="89"/>
      <c r="BX190" s="89"/>
      <c r="BY190" s="90"/>
      <c r="BZ190" s="90"/>
      <c r="CA190" s="25"/>
      <c r="CB190" s="89"/>
      <c r="CC190" s="89"/>
      <c r="CD190" s="90"/>
      <c r="CE190" s="90"/>
      <c r="CF190" s="25"/>
      <c r="CI190"/>
      <c r="CJ190"/>
      <c r="CK190"/>
      <c r="CL190"/>
      <c r="CM190"/>
      <c r="CN190"/>
      <c r="CO190"/>
      <c r="CP190"/>
      <c r="CQ190"/>
      <c r="CR190"/>
      <c r="CS190"/>
    </row>
    <row r="191" spans="1:97" x14ac:dyDescent="0.3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CI191"/>
      <c r="CJ191"/>
      <c r="CK191"/>
      <c r="CL191"/>
      <c r="CM191"/>
      <c r="CN191"/>
      <c r="CO191"/>
      <c r="CP191"/>
      <c r="CQ191"/>
      <c r="CR191"/>
      <c r="CS191"/>
    </row>
    <row r="192" spans="1:97" x14ac:dyDescent="0.35">
      <c r="A192"/>
      <c r="B192" s="132" t="s">
        <v>375</v>
      </c>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CI192"/>
      <c r="CJ192"/>
      <c r="CK192"/>
      <c r="CL192"/>
      <c r="CM192"/>
      <c r="CN192"/>
      <c r="CO192"/>
      <c r="CP192"/>
      <c r="CQ192"/>
      <c r="CR192"/>
      <c r="CS192"/>
    </row>
    <row r="193" spans="2:84" s="133" customFormat="1" hidden="1" outlineLevel="1" x14ac:dyDescent="0.35">
      <c r="B193" s="133" t="s">
        <v>359</v>
      </c>
      <c r="AX193" s="492">
        <v>8</v>
      </c>
      <c r="AY193" s="492"/>
      <c r="AZ193" s="492"/>
      <c r="BA193" s="492"/>
      <c r="BB193" s="133">
        <f t="shared" ref="BB193:BB202" si="226">SUM(AX193:BA193)</f>
        <v>8</v>
      </c>
      <c r="BG193" s="133">
        <f t="shared" ref="BG193:BG202" si="227">SUM(BC193:BF193)</f>
        <v>0</v>
      </c>
      <c r="BL193" s="133">
        <f t="shared" ref="BL193:BL202" si="228">SUM(BH193:BK193)</f>
        <v>0</v>
      </c>
      <c r="BQ193" s="133">
        <f t="shared" ref="BQ193:BQ202" si="229">SUM(BM193:BP193)</f>
        <v>0</v>
      </c>
      <c r="BV193" s="133">
        <f t="shared" ref="BV193:BV202" si="230">SUM(BR193:BU193)</f>
        <v>0</v>
      </c>
      <c r="CA193" s="133">
        <f t="shared" ref="CA193:CA202" si="231">SUM(BW193:BZ193)</f>
        <v>0</v>
      </c>
      <c r="CF193" s="133">
        <f t="shared" ref="CF193:CF202" si="232">SUM(CB193:CE193)</f>
        <v>0</v>
      </c>
    </row>
    <row r="194" spans="2:84" s="133" customFormat="1" hidden="1" outlineLevel="1" x14ac:dyDescent="0.35">
      <c r="B194" s="133" t="s">
        <v>360</v>
      </c>
      <c r="AX194" s="492">
        <v>7</v>
      </c>
      <c r="AY194" s="492">
        <v>5</v>
      </c>
      <c r="AZ194" s="492">
        <v>7</v>
      </c>
      <c r="BA194" s="492"/>
      <c r="BB194" s="133">
        <f t="shared" si="226"/>
        <v>19</v>
      </c>
      <c r="BG194" s="133">
        <f t="shared" si="227"/>
        <v>0</v>
      </c>
      <c r="BL194" s="133">
        <f t="shared" si="228"/>
        <v>0</v>
      </c>
      <c r="BQ194" s="133">
        <f t="shared" si="229"/>
        <v>0</v>
      </c>
      <c r="BV194" s="133">
        <f t="shared" si="230"/>
        <v>0</v>
      </c>
      <c r="CA194" s="133">
        <f t="shared" si="231"/>
        <v>0</v>
      </c>
      <c r="CF194" s="133">
        <f t="shared" si="232"/>
        <v>0</v>
      </c>
    </row>
    <row r="195" spans="2:84" s="133" customFormat="1" hidden="1" outlineLevel="1" x14ac:dyDescent="0.35">
      <c r="B195" s="133" t="s">
        <v>358</v>
      </c>
      <c r="AX195" s="492">
        <v>2</v>
      </c>
      <c r="AY195" s="492">
        <v>3</v>
      </c>
      <c r="AZ195" s="492">
        <f>AY195</f>
        <v>3</v>
      </c>
      <c r="BA195" s="492">
        <f>AZ195</f>
        <v>3</v>
      </c>
      <c r="BB195" s="133">
        <f t="shared" si="226"/>
        <v>11</v>
      </c>
      <c r="BG195" s="133">
        <f t="shared" si="227"/>
        <v>0</v>
      </c>
      <c r="BL195" s="133">
        <f t="shared" si="228"/>
        <v>0</v>
      </c>
      <c r="BQ195" s="133">
        <f t="shared" si="229"/>
        <v>0</v>
      </c>
      <c r="BV195" s="133">
        <f t="shared" si="230"/>
        <v>0</v>
      </c>
      <c r="CA195" s="133">
        <f t="shared" si="231"/>
        <v>0</v>
      </c>
      <c r="CF195" s="133">
        <f t="shared" si="232"/>
        <v>0</v>
      </c>
    </row>
    <row r="196" spans="2:84" s="133" customFormat="1" hidden="1" outlineLevel="1" x14ac:dyDescent="0.35">
      <c r="B196" s="133" t="s">
        <v>361</v>
      </c>
      <c r="AX196" s="492">
        <v>2</v>
      </c>
      <c r="AY196" s="492">
        <v>2</v>
      </c>
      <c r="AZ196" s="492">
        <v>3</v>
      </c>
      <c r="BA196" s="492">
        <f>AZ196</f>
        <v>3</v>
      </c>
      <c r="BB196" s="133">
        <f t="shared" si="226"/>
        <v>10</v>
      </c>
      <c r="BG196" s="133">
        <f t="shared" si="227"/>
        <v>0</v>
      </c>
      <c r="BL196" s="133">
        <f t="shared" si="228"/>
        <v>0</v>
      </c>
      <c r="BQ196" s="133">
        <f t="shared" si="229"/>
        <v>0</v>
      </c>
      <c r="BV196" s="133">
        <f t="shared" si="230"/>
        <v>0</v>
      </c>
      <c r="CA196" s="133">
        <f t="shared" si="231"/>
        <v>0</v>
      </c>
      <c r="CF196" s="133">
        <f t="shared" si="232"/>
        <v>0</v>
      </c>
    </row>
    <row r="197" spans="2:84" s="133" customFormat="1" hidden="1" outlineLevel="1" x14ac:dyDescent="0.35">
      <c r="B197" s="133" t="s">
        <v>362</v>
      </c>
      <c r="AX197" s="492"/>
      <c r="AY197" s="492">
        <v>3</v>
      </c>
      <c r="AZ197" s="492">
        <v>4</v>
      </c>
      <c r="BA197" s="492">
        <v>3</v>
      </c>
      <c r="BB197" s="133">
        <f t="shared" si="226"/>
        <v>10</v>
      </c>
      <c r="BC197" s="467">
        <v>0</v>
      </c>
      <c r="BD197" s="467"/>
      <c r="BE197" s="467"/>
      <c r="BF197" s="467"/>
      <c r="BG197" s="133">
        <f t="shared" si="227"/>
        <v>0</v>
      </c>
      <c r="BL197" s="133">
        <f t="shared" si="228"/>
        <v>0</v>
      </c>
      <c r="BQ197" s="133">
        <f t="shared" si="229"/>
        <v>0</v>
      </c>
      <c r="BV197" s="133">
        <f t="shared" si="230"/>
        <v>0</v>
      </c>
      <c r="CA197" s="133">
        <f t="shared" si="231"/>
        <v>0</v>
      </c>
      <c r="CF197" s="133">
        <f t="shared" si="232"/>
        <v>0</v>
      </c>
    </row>
    <row r="198" spans="2:84" s="133" customFormat="1" collapsed="1" x14ac:dyDescent="0.35">
      <c r="B198" s="133" t="s">
        <v>374</v>
      </c>
      <c r="AX198" s="492"/>
      <c r="AY198" s="492"/>
      <c r="AZ198" s="492">
        <v>0</v>
      </c>
      <c r="BA198" s="492">
        <v>0</v>
      </c>
      <c r="BB198" s="133">
        <f t="shared" si="226"/>
        <v>0</v>
      </c>
      <c r="BC198" s="467">
        <v>2</v>
      </c>
      <c r="BD198" s="467">
        <v>0</v>
      </c>
      <c r="BE198" s="467"/>
      <c r="BF198" s="467"/>
      <c r="BG198" s="133">
        <f t="shared" si="227"/>
        <v>2</v>
      </c>
      <c r="BL198" s="133">
        <f t="shared" si="228"/>
        <v>0</v>
      </c>
      <c r="BQ198" s="133">
        <f t="shared" si="229"/>
        <v>0</v>
      </c>
      <c r="BV198" s="133">
        <f t="shared" si="230"/>
        <v>0</v>
      </c>
      <c r="CA198" s="133">
        <f t="shared" si="231"/>
        <v>0</v>
      </c>
      <c r="CF198" s="133">
        <f t="shared" si="232"/>
        <v>0</v>
      </c>
    </row>
    <row r="199" spans="2:84" s="133" customFormat="1" x14ac:dyDescent="0.35">
      <c r="B199" s="133" t="s">
        <v>363</v>
      </c>
      <c r="AX199" s="492"/>
      <c r="AY199" s="492"/>
      <c r="AZ199" s="492">
        <f>14-AZ195</f>
        <v>11</v>
      </c>
      <c r="BA199" s="492">
        <v>67</v>
      </c>
      <c r="BB199" s="133">
        <f t="shared" si="226"/>
        <v>78</v>
      </c>
      <c r="BC199" s="467">
        <v>77</v>
      </c>
      <c r="BD199" s="467">
        <f>320/4</f>
        <v>80</v>
      </c>
      <c r="BE199" s="467">
        <f>70-SUM(BE200:BE202)</f>
        <v>67</v>
      </c>
      <c r="BF199" s="467"/>
      <c r="BG199" s="133">
        <f t="shared" si="227"/>
        <v>224</v>
      </c>
      <c r="BL199" s="133">
        <f t="shared" si="228"/>
        <v>0</v>
      </c>
      <c r="BQ199" s="133">
        <f t="shared" si="229"/>
        <v>0</v>
      </c>
      <c r="BV199" s="133">
        <f t="shared" si="230"/>
        <v>0</v>
      </c>
      <c r="CA199" s="133">
        <f t="shared" si="231"/>
        <v>0</v>
      </c>
      <c r="CF199" s="133">
        <f t="shared" si="232"/>
        <v>0</v>
      </c>
    </row>
    <row r="200" spans="2:84" s="133" customFormat="1" x14ac:dyDescent="0.35">
      <c r="B200" s="133" t="s">
        <v>379</v>
      </c>
      <c r="AX200" s="492"/>
      <c r="AY200" s="492"/>
      <c r="AZ200" s="492"/>
      <c r="BA200" s="492">
        <v>1</v>
      </c>
      <c r="BB200" s="133">
        <f t="shared" si="226"/>
        <v>1</v>
      </c>
      <c r="BC200" s="467">
        <v>0</v>
      </c>
      <c r="BD200" s="467">
        <v>1</v>
      </c>
      <c r="BE200" s="467">
        <v>1</v>
      </c>
      <c r="BF200" s="467">
        <v>0</v>
      </c>
      <c r="BG200" s="133">
        <f t="shared" si="227"/>
        <v>2</v>
      </c>
      <c r="BL200" s="133">
        <f t="shared" si="228"/>
        <v>0</v>
      </c>
      <c r="BQ200" s="133">
        <f t="shared" si="229"/>
        <v>0</v>
      </c>
      <c r="BV200" s="133">
        <f t="shared" si="230"/>
        <v>0</v>
      </c>
      <c r="CA200" s="133">
        <f t="shared" si="231"/>
        <v>0</v>
      </c>
      <c r="CF200" s="133">
        <f t="shared" si="232"/>
        <v>0</v>
      </c>
    </row>
    <row r="201" spans="2:84" s="133" customFormat="1" x14ac:dyDescent="0.35">
      <c r="B201" s="133" t="s">
        <v>380</v>
      </c>
      <c r="AX201" s="492"/>
      <c r="AY201" s="492"/>
      <c r="AZ201" s="492"/>
      <c r="BA201" s="492">
        <v>1</v>
      </c>
      <c r="BB201" s="133">
        <f t="shared" si="226"/>
        <v>1</v>
      </c>
      <c r="BC201" s="467">
        <v>0</v>
      </c>
      <c r="BD201" s="467">
        <v>1</v>
      </c>
      <c r="BE201" s="467">
        <v>1</v>
      </c>
      <c r="BF201" s="467">
        <v>1</v>
      </c>
      <c r="BG201" s="133">
        <f t="shared" si="227"/>
        <v>3</v>
      </c>
      <c r="BL201" s="133">
        <f t="shared" si="228"/>
        <v>0</v>
      </c>
      <c r="BQ201" s="133">
        <f t="shared" si="229"/>
        <v>0</v>
      </c>
      <c r="BV201" s="133">
        <f t="shared" si="230"/>
        <v>0</v>
      </c>
      <c r="CA201" s="133">
        <f t="shared" si="231"/>
        <v>0</v>
      </c>
      <c r="CF201" s="133">
        <f t="shared" si="232"/>
        <v>0</v>
      </c>
    </row>
    <row r="202" spans="2:84" s="133" customFormat="1" x14ac:dyDescent="0.35">
      <c r="B202" s="133" t="s">
        <v>504</v>
      </c>
      <c r="AX202" s="492"/>
      <c r="AY202" s="492"/>
      <c r="AZ202" s="492"/>
      <c r="BA202" s="492"/>
      <c r="BB202" s="133">
        <f t="shared" si="226"/>
        <v>0</v>
      </c>
      <c r="BC202" s="467">
        <v>0</v>
      </c>
      <c r="BD202" s="467">
        <v>1</v>
      </c>
      <c r="BE202" s="467">
        <v>1</v>
      </c>
      <c r="BF202" s="467">
        <v>1</v>
      </c>
      <c r="BG202" s="133">
        <f t="shared" si="227"/>
        <v>3</v>
      </c>
      <c r="BH202" s="526">
        <v>1</v>
      </c>
      <c r="BL202" s="133">
        <f t="shared" si="228"/>
        <v>1</v>
      </c>
      <c r="BM202" s="526"/>
      <c r="BQ202" s="133">
        <f t="shared" si="229"/>
        <v>0</v>
      </c>
      <c r="BR202" s="526"/>
      <c r="BV202" s="133">
        <f t="shared" si="230"/>
        <v>0</v>
      </c>
      <c r="BW202" s="526"/>
      <c r="CA202" s="133">
        <f t="shared" si="231"/>
        <v>0</v>
      </c>
      <c r="CB202" s="526"/>
      <c r="CF202" s="133">
        <f t="shared" si="232"/>
        <v>0</v>
      </c>
    </row>
    <row r="203" spans="2:84" s="133" customFormat="1" x14ac:dyDescent="0.35">
      <c r="B203" s="133" t="s">
        <v>507</v>
      </c>
      <c r="AX203" s="492"/>
      <c r="AY203" s="492"/>
      <c r="AZ203" s="492"/>
      <c r="BA203" s="492"/>
      <c r="BB203" s="133">
        <f>SUM(AX203:BA203)</f>
        <v>0</v>
      </c>
      <c r="BC203" s="467">
        <v>0</v>
      </c>
      <c r="BD203" s="467">
        <v>0</v>
      </c>
      <c r="BE203" s="467">
        <v>0</v>
      </c>
      <c r="BF203" s="467">
        <v>0</v>
      </c>
      <c r="BG203" s="133">
        <f>SUM(BC203:BF203)</f>
        <v>0</v>
      </c>
      <c r="BH203" s="467">
        <v>0</v>
      </c>
      <c r="BI203" s="467"/>
      <c r="BL203" s="133">
        <f>SUM(BH203:BK203)</f>
        <v>0</v>
      </c>
      <c r="BM203" s="467"/>
      <c r="BN203" s="467"/>
      <c r="BO203" s="467">
        <v>3</v>
      </c>
      <c r="BP203" s="467">
        <v>3</v>
      </c>
      <c r="BQ203" s="133">
        <f t="shared" ref="BQ203:BQ208" si="233">SUM(BM203:BP203)</f>
        <v>6</v>
      </c>
      <c r="BR203" s="467">
        <v>4</v>
      </c>
      <c r="BS203" s="467">
        <v>3</v>
      </c>
      <c r="BT203" s="467"/>
      <c r="BV203" s="133">
        <f t="shared" ref="BV203:BV209" si="234">SUM(BR203:BU203)</f>
        <v>7</v>
      </c>
      <c r="BW203" s="467"/>
      <c r="BX203" s="467"/>
      <c r="CA203" s="133">
        <f t="shared" ref="CA203:CA210" si="235">SUM(BW203:BZ203)</f>
        <v>0</v>
      </c>
      <c r="CB203" s="467"/>
      <c r="CC203" s="467"/>
      <c r="CF203" s="133">
        <f t="shared" ref="CF203:CF210" si="236">SUM(CB203:CE203)</f>
        <v>0</v>
      </c>
    </row>
    <row r="204" spans="2:84" s="133" customFormat="1" x14ac:dyDescent="0.35">
      <c r="B204" s="133" t="s">
        <v>470</v>
      </c>
      <c r="AX204" s="492"/>
      <c r="AY204" s="492"/>
      <c r="AZ204" s="492"/>
      <c r="BA204" s="492"/>
      <c r="BC204" s="467"/>
      <c r="BD204" s="467"/>
      <c r="BE204" s="467"/>
      <c r="BF204" s="467">
        <v>0</v>
      </c>
      <c r="BG204" s="133">
        <f>SUM(BC204:BF204)</f>
        <v>0</v>
      </c>
      <c r="BH204" s="467">
        <v>0</v>
      </c>
      <c r="BI204" s="467">
        <v>0</v>
      </c>
      <c r="BL204" s="133">
        <f>SUM(BH204:BK204)</f>
        <v>0</v>
      </c>
      <c r="BM204" s="467"/>
      <c r="BN204" s="467"/>
      <c r="BQ204" s="133">
        <f t="shared" si="233"/>
        <v>0</v>
      </c>
      <c r="BV204" s="133">
        <f t="shared" si="234"/>
        <v>0</v>
      </c>
      <c r="BW204" s="467"/>
      <c r="BX204" s="467"/>
      <c r="CA204" s="133">
        <f t="shared" si="235"/>
        <v>0</v>
      </c>
      <c r="CB204" s="467"/>
      <c r="CC204" s="467"/>
      <c r="CF204" s="133">
        <f t="shared" si="236"/>
        <v>0</v>
      </c>
    </row>
    <row r="205" spans="2:84" s="133" customFormat="1" x14ac:dyDescent="0.35">
      <c r="B205" s="133" t="s">
        <v>471</v>
      </c>
      <c r="AX205" s="492"/>
      <c r="AY205" s="492"/>
      <c r="AZ205" s="492"/>
      <c r="BA205" s="492"/>
      <c r="BC205" s="467"/>
      <c r="BD205" s="467"/>
      <c r="BE205" s="467"/>
      <c r="BF205" s="467">
        <v>0</v>
      </c>
      <c r="BG205" s="133">
        <f>SUM(BC205:BF205)</f>
        <v>0</v>
      </c>
      <c r="BH205" s="467">
        <v>0</v>
      </c>
      <c r="BI205" s="467">
        <v>0</v>
      </c>
      <c r="BJ205" s="467">
        <v>0</v>
      </c>
      <c r="BK205" s="467">
        <v>0</v>
      </c>
      <c r="BL205" s="133">
        <f>SUM(BH205:BK205)</f>
        <v>0</v>
      </c>
      <c r="BM205" s="467"/>
      <c r="BN205" s="467"/>
      <c r="BQ205" s="133">
        <f t="shared" si="233"/>
        <v>0</v>
      </c>
      <c r="BV205" s="133">
        <f t="shared" si="234"/>
        <v>0</v>
      </c>
      <c r="BW205" s="467"/>
      <c r="BX205" s="467"/>
      <c r="CA205" s="133">
        <f t="shared" si="235"/>
        <v>0</v>
      </c>
      <c r="CB205" s="467"/>
      <c r="CC205" s="467"/>
      <c r="CF205" s="133">
        <f t="shared" si="236"/>
        <v>0</v>
      </c>
    </row>
    <row r="206" spans="2:84" s="133" customFormat="1" x14ac:dyDescent="0.35">
      <c r="B206" s="133" t="s">
        <v>506</v>
      </c>
      <c r="AX206" s="492"/>
      <c r="AY206" s="492"/>
      <c r="AZ206" s="492"/>
      <c r="BA206" s="492"/>
      <c r="BC206" s="467"/>
      <c r="BD206" s="467"/>
      <c r="BE206" s="467"/>
      <c r="BF206" s="467"/>
      <c r="BH206" s="467"/>
      <c r="BI206" s="467"/>
      <c r="BJ206" s="467"/>
      <c r="BK206" s="467"/>
      <c r="BM206" s="467"/>
      <c r="BN206" s="467"/>
      <c r="BP206" s="467">
        <v>1</v>
      </c>
      <c r="BQ206" s="133">
        <f t="shared" si="233"/>
        <v>1</v>
      </c>
      <c r="BR206" s="467">
        <v>2</v>
      </c>
      <c r="BS206" s="467">
        <v>2</v>
      </c>
      <c r="BT206" s="467">
        <v>2</v>
      </c>
      <c r="BV206" s="133">
        <f t="shared" si="234"/>
        <v>6</v>
      </c>
      <c r="BW206" s="467"/>
      <c r="BX206" s="467"/>
      <c r="CA206" s="133">
        <f t="shared" si="235"/>
        <v>0</v>
      </c>
      <c r="CB206" s="467"/>
      <c r="CC206" s="467"/>
      <c r="CF206" s="133">
        <f t="shared" si="236"/>
        <v>0</v>
      </c>
    </row>
    <row r="207" spans="2:84" s="133" customFormat="1" x14ac:dyDescent="0.35">
      <c r="B207" s="133" t="s">
        <v>510</v>
      </c>
      <c r="AX207" s="492"/>
      <c r="AY207" s="492"/>
      <c r="AZ207" s="492"/>
      <c r="BA207" s="492"/>
      <c r="BC207" s="467"/>
      <c r="BD207" s="467"/>
      <c r="BE207" s="467"/>
      <c r="BF207" s="467"/>
      <c r="BH207" s="467"/>
      <c r="BI207" s="467"/>
      <c r="BJ207" s="467"/>
      <c r="BK207" s="467"/>
      <c r="BM207" s="467"/>
      <c r="BN207" s="467"/>
      <c r="BP207" s="467">
        <v>1</v>
      </c>
      <c r="BQ207" s="133">
        <f t="shared" si="233"/>
        <v>1</v>
      </c>
      <c r="BR207" s="467">
        <v>4</v>
      </c>
      <c r="BS207" s="467">
        <v>5</v>
      </c>
      <c r="BT207" s="467">
        <v>5</v>
      </c>
      <c r="BU207" s="467">
        <v>3</v>
      </c>
      <c r="BV207" s="133">
        <f t="shared" si="234"/>
        <v>17</v>
      </c>
      <c r="BW207" s="467"/>
      <c r="BX207" s="467"/>
      <c r="CA207" s="133">
        <f t="shared" si="235"/>
        <v>0</v>
      </c>
      <c r="CB207" s="467"/>
      <c r="CC207" s="467"/>
      <c r="CF207" s="133">
        <f t="shared" si="236"/>
        <v>0</v>
      </c>
    </row>
    <row r="208" spans="2:84" s="133" customFormat="1" x14ac:dyDescent="0.35">
      <c r="B208" s="133" t="s">
        <v>520</v>
      </c>
      <c r="AX208" s="492"/>
      <c r="AY208" s="492"/>
      <c r="AZ208" s="492"/>
      <c r="BA208" s="492"/>
      <c r="BC208" s="467"/>
      <c r="BD208" s="467"/>
      <c r="BE208" s="467"/>
      <c r="BF208" s="467"/>
      <c r="BH208" s="467"/>
      <c r="BI208" s="467"/>
      <c r="BJ208" s="467"/>
      <c r="BK208" s="467"/>
      <c r="BM208" s="467"/>
      <c r="BN208" s="467"/>
      <c r="BP208" s="467"/>
      <c r="BQ208" s="133">
        <f t="shared" si="233"/>
        <v>0</v>
      </c>
      <c r="BR208" s="467">
        <v>5</v>
      </c>
      <c r="BS208" s="467">
        <v>7</v>
      </c>
      <c r="BT208" s="467">
        <v>6</v>
      </c>
      <c r="BU208" s="467">
        <v>7</v>
      </c>
      <c r="BV208" s="133">
        <f t="shared" si="234"/>
        <v>25</v>
      </c>
      <c r="BW208" s="467"/>
      <c r="BX208" s="467"/>
      <c r="CA208" s="133">
        <f t="shared" si="235"/>
        <v>0</v>
      </c>
      <c r="CB208" s="467"/>
      <c r="CC208" s="467"/>
      <c r="CF208" s="133">
        <f t="shared" si="236"/>
        <v>0</v>
      </c>
    </row>
    <row r="209" spans="2:84" s="133" customFormat="1" x14ac:dyDescent="0.35">
      <c r="B209" s="133" t="s">
        <v>519</v>
      </c>
      <c r="AX209" s="492"/>
      <c r="AY209" s="492"/>
      <c r="AZ209" s="492"/>
      <c r="BA209" s="492"/>
      <c r="BC209" s="467"/>
      <c r="BD209" s="467"/>
      <c r="BE209" s="467"/>
      <c r="BF209" s="467"/>
      <c r="BH209" s="467"/>
      <c r="BI209" s="467"/>
      <c r="BJ209" s="467"/>
      <c r="BK209" s="467"/>
      <c r="BM209" s="467"/>
      <c r="BN209" s="467"/>
      <c r="BP209" s="467"/>
      <c r="BR209" s="467"/>
      <c r="BS209" s="467"/>
      <c r="BT209" s="467">
        <v>0</v>
      </c>
      <c r="BU209" s="467">
        <v>1</v>
      </c>
      <c r="BV209" s="133">
        <f t="shared" si="234"/>
        <v>1</v>
      </c>
      <c r="BW209" s="467">
        <v>1</v>
      </c>
      <c r="BX209" s="467">
        <v>1</v>
      </c>
      <c r="CA209" s="133">
        <f t="shared" si="235"/>
        <v>2</v>
      </c>
      <c r="CB209" s="467"/>
      <c r="CC209" s="467"/>
      <c r="CF209" s="133">
        <f t="shared" si="236"/>
        <v>0</v>
      </c>
    </row>
    <row r="210" spans="2:84" s="133" customFormat="1" x14ac:dyDescent="0.35">
      <c r="B210" s="133" t="s">
        <v>521</v>
      </c>
      <c r="AX210" s="492"/>
      <c r="AY210" s="492"/>
      <c r="AZ210" s="492"/>
      <c r="BA210" s="492"/>
      <c r="BC210" s="467"/>
      <c r="BD210" s="467"/>
      <c r="BE210" s="467"/>
      <c r="BF210" s="467"/>
      <c r="BH210" s="467"/>
      <c r="BI210" s="467"/>
      <c r="BJ210" s="467"/>
      <c r="BK210" s="467"/>
      <c r="BM210" s="467"/>
      <c r="BN210" s="467"/>
      <c r="BP210" s="467"/>
      <c r="BR210" s="467"/>
      <c r="BS210" s="467"/>
      <c r="BT210" s="467"/>
      <c r="BU210" s="467">
        <v>1</v>
      </c>
      <c r="BV210" s="133">
        <f>SUM(BR210:BU210)</f>
        <v>1</v>
      </c>
      <c r="BW210" s="467">
        <v>1</v>
      </c>
      <c r="BX210" s="467">
        <v>1</v>
      </c>
      <c r="BY210" s="467">
        <v>1</v>
      </c>
      <c r="CA210" s="133">
        <f t="shared" si="235"/>
        <v>3</v>
      </c>
      <c r="CB210" s="467"/>
      <c r="CC210" s="467"/>
      <c r="CF210" s="133">
        <f t="shared" si="236"/>
        <v>0</v>
      </c>
    </row>
    <row r="211" spans="2:84" s="133" customFormat="1" x14ac:dyDescent="0.35">
      <c r="B211" s="133" t="s">
        <v>526</v>
      </c>
      <c r="AX211" s="492"/>
      <c r="AY211" s="492"/>
      <c r="AZ211" s="492"/>
      <c r="BA211" s="492"/>
      <c r="BC211" s="467"/>
      <c r="BD211" s="467"/>
      <c r="BE211" s="467"/>
      <c r="BF211" s="467"/>
      <c r="BH211" s="467"/>
      <c r="BI211" s="467"/>
      <c r="BJ211" s="467"/>
      <c r="BK211" s="467"/>
      <c r="BM211" s="467"/>
      <c r="BN211" s="467"/>
      <c r="BP211" s="467"/>
      <c r="BR211" s="467"/>
      <c r="BS211" s="467"/>
      <c r="BT211" s="467"/>
      <c r="BU211" s="467">
        <v>-4</v>
      </c>
      <c r="BV211" s="133">
        <f>SUM(BR211:BU211)</f>
        <v>-4</v>
      </c>
      <c r="BW211" s="467">
        <v>-4</v>
      </c>
      <c r="BX211" s="467">
        <v>-4</v>
      </c>
      <c r="BY211" s="467">
        <v>-4</v>
      </c>
      <c r="BZ211" s="467"/>
      <c r="CB211" s="467"/>
      <c r="CC211" s="467"/>
    </row>
    <row r="212" spans="2:84" s="243" customFormat="1" x14ac:dyDescent="0.35">
      <c r="B212" s="494" t="s">
        <v>372</v>
      </c>
      <c r="C212" s="494"/>
      <c r="D212" s="494"/>
      <c r="E212" s="494"/>
      <c r="F212" s="494"/>
      <c r="G212" s="494"/>
      <c r="H212" s="494"/>
      <c r="I212" s="494"/>
      <c r="J212" s="494"/>
      <c r="K212" s="494"/>
      <c r="L212" s="494"/>
      <c r="M212" s="494"/>
      <c r="N212" s="494"/>
      <c r="O212" s="494"/>
      <c r="P212" s="494"/>
      <c r="Q212" s="494"/>
      <c r="R212" s="494"/>
      <c r="S212" s="494"/>
      <c r="T212" s="494"/>
      <c r="U212" s="494"/>
      <c r="V212" s="494"/>
      <c r="W212" s="494"/>
      <c r="X212" s="494"/>
      <c r="Y212" s="494"/>
      <c r="Z212" s="494"/>
      <c r="AA212" s="494"/>
      <c r="AB212" s="494"/>
      <c r="AC212" s="494"/>
      <c r="AD212" s="494"/>
      <c r="AE212" s="494"/>
      <c r="AF212" s="494"/>
      <c r="AG212" s="494"/>
      <c r="AH212" s="494"/>
      <c r="AI212" s="494"/>
      <c r="AJ212" s="494"/>
      <c r="AK212" s="494"/>
      <c r="AL212" s="494"/>
      <c r="AM212" s="494"/>
      <c r="AN212" s="494"/>
      <c r="AO212" s="494"/>
      <c r="AP212" s="494"/>
      <c r="AQ212" s="494"/>
      <c r="AR212" s="494"/>
      <c r="AS212" s="494"/>
      <c r="AT212" s="494"/>
      <c r="AU212" s="494"/>
      <c r="AV212" s="494"/>
      <c r="AW212" s="494"/>
      <c r="AX212" s="494">
        <f t="shared" ref="AX212:BG212" si="237">SUM(AX193:AX203)</f>
        <v>19</v>
      </c>
      <c r="AY212" s="494">
        <f t="shared" si="237"/>
        <v>13</v>
      </c>
      <c r="AZ212" s="494">
        <f t="shared" si="237"/>
        <v>28</v>
      </c>
      <c r="BA212" s="494">
        <f t="shared" si="237"/>
        <v>78</v>
      </c>
      <c r="BB212" s="494">
        <f t="shared" si="237"/>
        <v>138</v>
      </c>
      <c r="BC212" s="494">
        <f t="shared" si="237"/>
        <v>79</v>
      </c>
      <c r="BD212" s="494">
        <f t="shared" si="237"/>
        <v>83</v>
      </c>
      <c r="BE212" s="494">
        <f t="shared" si="237"/>
        <v>70</v>
      </c>
      <c r="BF212" s="494">
        <f t="shared" si="237"/>
        <v>2</v>
      </c>
      <c r="BG212" s="494">
        <f t="shared" si="237"/>
        <v>234</v>
      </c>
      <c r="BH212" s="527">
        <f>SUM(BH193:BH208)</f>
        <v>1</v>
      </c>
      <c r="BI212" s="527">
        <f t="shared" ref="BI212:BQ212" si="238">SUM(BI193:BI208)</f>
        <v>0</v>
      </c>
      <c r="BJ212" s="527">
        <f t="shared" si="238"/>
        <v>0</v>
      </c>
      <c r="BK212" s="527">
        <f t="shared" si="238"/>
        <v>0</v>
      </c>
      <c r="BL212" s="527">
        <f t="shared" si="238"/>
        <v>1</v>
      </c>
      <c r="BM212" s="527">
        <f t="shared" si="238"/>
        <v>0</v>
      </c>
      <c r="BN212" s="527">
        <f t="shared" si="238"/>
        <v>0</v>
      </c>
      <c r="BO212" s="527">
        <f t="shared" si="238"/>
        <v>3</v>
      </c>
      <c r="BP212" s="527">
        <f t="shared" si="238"/>
        <v>5</v>
      </c>
      <c r="BQ212" s="527">
        <f t="shared" si="238"/>
        <v>8</v>
      </c>
      <c r="BR212" s="527">
        <f>SUM(BR193:BR209)</f>
        <v>15</v>
      </c>
      <c r="BS212" s="527">
        <f>SUM(BS193:BS209)</f>
        <v>17</v>
      </c>
      <c r="BT212" s="527">
        <f>SUM(BT193:BT210)</f>
        <v>13</v>
      </c>
      <c r="BU212" s="527">
        <f>SUM(BU193:BU211)</f>
        <v>8</v>
      </c>
      <c r="BV212" s="527">
        <f>SUM(BV193:BV211)</f>
        <v>53</v>
      </c>
      <c r="BW212" s="527">
        <f t="shared" ref="BW212:CF212" si="239">SUM(BW193:BW210)</f>
        <v>2</v>
      </c>
      <c r="BX212" s="527">
        <f t="shared" si="239"/>
        <v>2</v>
      </c>
      <c r="BY212" s="527">
        <f t="shared" si="239"/>
        <v>1</v>
      </c>
      <c r="BZ212" s="527">
        <f t="shared" si="239"/>
        <v>0</v>
      </c>
      <c r="CA212" s="527">
        <f t="shared" si="239"/>
        <v>5</v>
      </c>
      <c r="CB212" s="527">
        <f t="shared" si="239"/>
        <v>0</v>
      </c>
      <c r="CC212" s="527">
        <f t="shared" si="239"/>
        <v>0</v>
      </c>
      <c r="CD212" s="527">
        <f t="shared" si="239"/>
        <v>0</v>
      </c>
      <c r="CE212" s="527">
        <f t="shared" si="239"/>
        <v>0</v>
      </c>
      <c r="CF212" s="527">
        <f t="shared" si="239"/>
        <v>0</v>
      </c>
    </row>
    <row r="213" spans="2:84" s="243" customFormat="1" x14ac:dyDescent="0.35">
      <c r="B213" s="243" t="s">
        <v>373</v>
      </c>
      <c r="AX213" s="495">
        <f t="shared" ref="AX213:CA213" si="240">AX212/AS150</f>
        <v>1.4728682170542635E-2</v>
      </c>
      <c r="AY213" s="495">
        <f t="shared" si="240"/>
        <v>9.0592334494773528E-3</v>
      </c>
      <c r="AZ213" s="495">
        <f t="shared" si="240"/>
        <v>2.0648967551622419E-2</v>
      </c>
      <c r="BA213" s="495">
        <f t="shared" si="240"/>
        <v>6.0465116279069767E-2</v>
      </c>
      <c r="BB213" s="495">
        <f t="shared" si="240"/>
        <v>2.5693539378141873E-2</v>
      </c>
      <c r="BC213" s="495">
        <f t="shared" si="240"/>
        <v>4.9375000000000002E-2</v>
      </c>
      <c r="BD213" s="495">
        <f t="shared" si="240"/>
        <v>5.3444945267224729E-2</v>
      </c>
      <c r="BE213" s="495">
        <f t="shared" si="240"/>
        <v>4.5871559633027525E-2</v>
      </c>
      <c r="BF213" s="495">
        <f t="shared" si="240"/>
        <v>1.2995451591942819E-3</v>
      </c>
      <c r="BG213" s="495">
        <f t="shared" si="240"/>
        <v>3.7632679318108715E-2</v>
      </c>
      <c r="BH213" s="495">
        <f t="shared" si="240"/>
        <v>6.5703022339027597E-4</v>
      </c>
      <c r="BI213" s="495">
        <f t="shared" si="240"/>
        <v>0</v>
      </c>
      <c r="BJ213" s="495">
        <f t="shared" si="240"/>
        <v>0</v>
      </c>
      <c r="BK213" s="495">
        <f t="shared" si="240"/>
        <v>0</v>
      </c>
      <c r="BL213" s="495">
        <f t="shared" si="240"/>
        <v>1.82882223847842E-4</v>
      </c>
      <c r="BM213" s="495">
        <f t="shared" si="240"/>
        <v>0</v>
      </c>
      <c r="BN213" s="495">
        <f t="shared" si="240"/>
        <v>0</v>
      </c>
      <c r="BO213" s="495">
        <f t="shared" si="240"/>
        <v>2.0380434782608695E-3</v>
      </c>
      <c r="BP213" s="495">
        <f t="shared" si="240"/>
        <v>3.3783783783783786E-3</v>
      </c>
      <c r="BQ213" s="663">
        <f t="shared" si="240"/>
        <v>1.3522650439486139E-3</v>
      </c>
      <c r="BR213" s="495">
        <f t="shared" si="240"/>
        <v>8.3986562150055993E-3</v>
      </c>
      <c r="BS213" s="495">
        <f t="shared" si="240"/>
        <v>9.3560814529444133E-3</v>
      </c>
      <c r="BT213" s="495">
        <f t="shared" si="240"/>
        <v>7.1704357418643132E-3</v>
      </c>
      <c r="BU213" s="495">
        <f t="shared" si="240"/>
        <v>4.7846889952153108E-3</v>
      </c>
      <c r="BV213" s="495">
        <f t="shared" si="240"/>
        <v>7.4774266365688485E-3</v>
      </c>
      <c r="BW213" s="495">
        <f t="shared" si="240"/>
        <v>1.0395010395010396E-3</v>
      </c>
      <c r="BX213" s="495">
        <f t="shared" si="240"/>
        <v>1.053740779768177E-3</v>
      </c>
      <c r="BY213" s="495">
        <f t="shared" si="240"/>
        <v>4.9889494769086475E-4</v>
      </c>
      <c r="BZ213" s="495">
        <f t="shared" si="240"/>
        <v>0</v>
      </c>
      <c r="CA213" s="495">
        <f t="shared" si="240"/>
        <v>6.5149397407593401E-4</v>
      </c>
      <c r="CB213" s="495">
        <f>CB212/BW150</f>
        <v>0</v>
      </c>
      <c r="CC213" s="495">
        <f>CC212/BX150</f>
        <v>0</v>
      </c>
      <c r="CD213" s="495">
        <f>CD212/BY150</f>
        <v>0</v>
      </c>
      <c r="CE213" s="495">
        <f>CE212/BZ150</f>
        <v>0</v>
      </c>
      <c r="CF213" s="495">
        <f>CF212/CA150</f>
        <v>0</v>
      </c>
    </row>
    <row r="214" spans="2:84" s="133" customFormat="1" x14ac:dyDescent="0.35"/>
    <row r="215" spans="2:84" s="133" customFormat="1" x14ac:dyDescent="0.35">
      <c r="B215" s="132" t="s">
        <v>376</v>
      </c>
    </row>
    <row r="216" spans="2:84" s="133" customFormat="1" x14ac:dyDescent="0.35">
      <c r="B216" s="133" t="s">
        <v>160</v>
      </c>
      <c r="AX216" s="467">
        <v>0</v>
      </c>
      <c r="AY216" s="467">
        <v>0</v>
      </c>
      <c r="AZ216" s="467">
        <v>0</v>
      </c>
      <c r="BA216" s="467">
        <v>0</v>
      </c>
      <c r="BB216" s="133">
        <f>SUM(AX216:BA216)</f>
        <v>0</v>
      </c>
      <c r="BC216" s="133">
        <f>BC203</f>
        <v>0</v>
      </c>
      <c r="BD216" s="133">
        <f>BD203</f>
        <v>0</v>
      </c>
      <c r="BE216" s="133">
        <f>BE203</f>
        <v>0</v>
      </c>
      <c r="BF216" s="133">
        <f>BF203</f>
        <v>0</v>
      </c>
      <c r="BG216" s="133">
        <f t="shared" ref="BG216:BG221" si="241">SUM(BC216:BF216)</f>
        <v>0</v>
      </c>
      <c r="BH216" s="133">
        <f>BH203</f>
        <v>0</v>
      </c>
      <c r="BI216" s="133">
        <f>BI203</f>
        <v>0</v>
      </c>
      <c r="BJ216" s="133">
        <f>BJ203</f>
        <v>0</v>
      </c>
      <c r="BK216" s="133">
        <f>BK203</f>
        <v>0</v>
      </c>
      <c r="BL216" s="133">
        <f t="shared" ref="BL216:BL221" si="242">SUM(BH216:BK216)</f>
        <v>0</v>
      </c>
      <c r="BM216" s="133">
        <f>BM203</f>
        <v>0</v>
      </c>
      <c r="BN216" s="133">
        <f>BN203</f>
        <v>0</v>
      </c>
      <c r="BO216" s="133">
        <f>BO203</f>
        <v>3</v>
      </c>
      <c r="BP216" s="133">
        <f>BP203</f>
        <v>3</v>
      </c>
      <c r="BQ216" s="133">
        <f t="shared" ref="BQ216:BQ221" si="243">SUM(BM216:BP216)</f>
        <v>6</v>
      </c>
      <c r="BR216" s="133">
        <f>BR203</f>
        <v>4</v>
      </c>
      <c r="BS216" s="133">
        <f>BS203</f>
        <v>3</v>
      </c>
      <c r="BT216" s="133">
        <f>BT203+BT209+BT210</f>
        <v>0</v>
      </c>
      <c r="BU216" s="133">
        <f>BU203+BU209+BU210</f>
        <v>2</v>
      </c>
      <c r="BV216" s="478">
        <f t="shared" ref="BV216:BV221" si="244">SUM(BR216:BU216)</f>
        <v>9</v>
      </c>
      <c r="BW216" s="133">
        <f>BW203+BW209+BW210</f>
        <v>2</v>
      </c>
      <c r="BX216" s="133">
        <f>BX203+BX209+BX210</f>
        <v>2</v>
      </c>
      <c r="BY216" s="133">
        <f>BY203+BY209+BY210</f>
        <v>1</v>
      </c>
      <c r="BZ216" s="133">
        <f>BZ203+BZ209+BZ210</f>
        <v>0</v>
      </c>
      <c r="CA216" s="133">
        <f t="shared" ref="CA216:CA221" si="245">SUM(BW216:BZ216)</f>
        <v>5</v>
      </c>
      <c r="CF216" s="133">
        <f t="shared" ref="CF216:CF221" si="246">SUM(CB216:CE216)</f>
        <v>0</v>
      </c>
    </row>
    <row r="217" spans="2:84" s="133" customFormat="1" hidden="1" outlineLevel="1" x14ac:dyDescent="0.35">
      <c r="B217" s="477" t="s">
        <v>377</v>
      </c>
      <c r="AX217" s="133">
        <f>AX193+AX194+AX196+AX197+AX198</f>
        <v>17</v>
      </c>
      <c r="AY217" s="133">
        <f>AY193+AY194+AY196+AY197+AY198</f>
        <v>10</v>
      </c>
      <c r="AZ217" s="133">
        <f>AZ193+AZ194+AZ196+AZ197+AZ198</f>
        <v>14</v>
      </c>
      <c r="BA217" s="133">
        <f>BA193+BA194+BA196+BA197+BA198+BA200+BA201</f>
        <v>8</v>
      </c>
      <c r="BB217" s="133">
        <f>SUM(AX217:BA217)</f>
        <v>49</v>
      </c>
      <c r="BC217" s="133">
        <f>BC197+BC198+BC200+BC201+BC202</f>
        <v>2</v>
      </c>
      <c r="BD217" s="133">
        <f>BD197+BD198+BD200+BD201+BD202</f>
        <v>3</v>
      </c>
      <c r="BE217" s="133">
        <f>BE197+BE198+BE200+BE201+BE202</f>
        <v>3</v>
      </c>
      <c r="BF217" s="133">
        <f>BF197+BF198+BF200+BF201+BF202</f>
        <v>2</v>
      </c>
      <c r="BG217" s="133">
        <f t="shared" si="241"/>
        <v>10</v>
      </c>
      <c r="BL217" s="133">
        <f t="shared" si="242"/>
        <v>0</v>
      </c>
      <c r="BQ217" s="133">
        <f t="shared" si="243"/>
        <v>0</v>
      </c>
      <c r="BR217" s="467"/>
      <c r="BV217" s="133">
        <f t="shared" si="244"/>
        <v>0</v>
      </c>
      <c r="CA217" s="133">
        <f t="shared" si="245"/>
        <v>0</v>
      </c>
      <c r="CF217" s="133">
        <f t="shared" si="246"/>
        <v>0</v>
      </c>
    </row>
    <row r="218" spans="2:84" s="133" customFormat="1" hidden="1" outlineLevel="1" x14ac:dyDescent="0.35">
      <c r="B218" s="477" t="s">
        <v>378</v>
      </c>
      <c r="AX218" s="133">
        <f>AX195+AX199</f>
        <v>2</v>
      </c>
      <c r="AY218" s="133">
        <f>AY195+AY199</f>
        <v>3</v>
      </c>
      <c r="AZ218" s="133">
        <f>AZ195+AZ199</f>
        <v>14</v>
      </c>
      <c r="BA218" s="133">
        <f>BA195+BA199</f>
        <v>70</v>
      </c>
      <c r="BB218" s="133">
        <f>SUM(AX218:BA218)</f>
        <v>89</v>
      </c>
      <c r="BC218" s="133">
        <f>BC199</f>
        <v>77</v>
      </c>
      <c r="BD218" s="133">
        <f>BD199</f>
        <v>80</v>
      </c>
      <c r="BE218" s="133">
        <f>BE199</f>
        <v>67</v>
      </c>
      <c r="BF218" s="133">
        <f>BF199</f>
        <v>0</v>
      </c>
      <c r="BG218" s="133">
        <f t="shared" si="241"/>
        <v>224</v>
      </c>
      <c r="BL218" s="133">
        <f t="shared" si="242"/>
        <v>0</v>
      </c>
      <c r="BQ218" s="133">
        <f t="shared" si="243"/>
        <v>0</v>
      </c>
      <c r="BR218" s="467"/>
      <c r="BV218" s="133">
        <f t="shared" si="244"/>
        <v>0</v>
      </c>
      <c r="CA218" s="133">
        <f t="shared" si="245"/>
        <v>0</v>
      </c>
      <c r="CF218" s="133">
        <f t="shared" si="246"/>
        <v>0</v>
      </c>
    </row>
    <row r="219" spans="2:84" s="133" customFormat="1" collapsed="1" x14ac:dyDescent="0.35">
      <c r="B219" s="477" t="s">
        <v>429</v>
      </c>
      <c r="BC219" s="243">
        <f>BC198</f>
        <v>2</v>
      </c>
      <c r="BD219" s="243">
        <f>BD198</f>
        <v>0</v>
      </c>
      <c r="BE219" s="243">
        <f>BE198</f>
        <v>0</v>
      </c>
      <c r="BF219" s="243">
        <f>BF198</f>
        <v>0</v>
      </c>
      <c r="BG219" s="133">
        <f t="shared" si="241"/>
        <v>2</v>
      </c>
      <c r="BH219" s="243">
        <f>BH198</f>
        <v>0</v>
      </c>
      <c r="BI219" s="243">
        <f>BI198</f>
        <v>0</v>
      </c>
      <c r="BJ219" s="243">
        <f>BJ198</f>
        <v>0</v>
      </c>
      <c r="BK219" s="243">
        <f>BK198</f>
        <v>0</v>
      </c>
      <c r="BL219" s="478">
        <f t="shared" si="242"/>
        <v>0</v>
      </c>
      <c r="BM219" s="243">
        <f>BM198</f>
        <v>0</v>
      </c>
      <c r="BN219" s="243">
        <f>BN198</f>
        <v>0</v>
      </c>
      <c r="BO219" s="243">
        <f>BO198</f>
        <v>0</v>
      </c>
      <c r="BP219" s="243">
        <f>BP198</f>
        <v>0</v>
      </c>
      <c r="BQ219" s="478">
        <f t="shared" si="243"/>
        <v>0</v>
      </c>
      <c r="BR219" s="467"/>
      <c r="BS219" s="243">
        <f>BS198</f>
        <v>0</v>
      </c>
      <c r="BT219" s="243">
        <f>BT198</f>
        <v>0</v>
      </c>
      <c r="BU219" s="243">
        <f>BU198</f>
        <v>0</v>
      </c>
      <c r="BV219" s="478">
        <f t="shared" si="244"/>
        <v>0</v>
      </c>
      <c r="BW219" s="243">
        <f>BW198</f>
        <v>0</v>
      </c>
      <c r="BX219" s="243">
        <f>BX198</f>
        <v>0</v>
      </c>
      <c r="BY219" s="243">
        <f>BY198</f>
        <v>0</v>
      </c>
      <c r="BZ219" s="243">
        <f>BZ198</f>
        <v>0</v>
      </c>
      <c r="CA219" s="478">
        <f t="shared" si="245"/>
        <v>0</v>
      </c>
      <c r="CB219" s="243"/>
      <c r="CC219" s="243"/>
      <c r="CD219" s="243"/>
      <c r="CE219" s="243"/>
      <c r="CF219" s="478">
        <f t="shared" si="246"/>
        <v>0</v>
      </c>
    </row>
    <row r="220" spans="2:84" s="133" customFormat="1" x14ac:dyDescent="0.35">
      <c r="B220" s="477" t="s">
        <v>413</v>
      </c>
      <c r="BC220" s="467">
        <v>0</v>
      </c>
      <c r="BG220" s="133">
        <f t="shared" si="241"/>
        <v>0</v>
      </c>
      <c r="BH220" s="478"/>
      <c r="BI220" s="478"/>
      <c r="BJ220" s="478"/>
      <c r="BK220" s="478"/>
      <c r="BL220" s="478">
        <f t="shared" si="242"/>
        <v>0</v>
      </c>
      <c r="BM220" s="478"/>
      <c r="BN220" s="478"/>
      <c r="BO220" s="478"/>
      <c r="BP220" s="478"/>
      <c r="BQ220" s="478">
        <f t="shared" si="243"/>
        <v>0</v>
      </c>
      <c r="BR220" s="526"/>
      <c r="BS220" s="478"/>
      <c r="BT220" s="478"/>
      <c r="BU220" s="478"/>
      <c r="BV220" s="478">
        <f t="shared" si="244"/>
        <v>0</v>
      </c>
      <c r="BW220" s="478"/>
      <c r="BX220" s="478"/>
      <c r="BY220" s="478"/>
      <c r="BZ220" s="478"/>
      <c r="CA220" s="478">
        <f t="shared" si="245"/>
        <v>0</v>
      </c>
      <c r="CB220" s="478"/>
      <c r="CC220" s="478"/>
      <c r="CD220" s="478"/>
      <c r="CE220" s="478"/>
      <c r="CF220" s="478">
        <f t="shared" si="246"/>
        <v>0</v>
      </c>
    </row>
    <row r="221" spans="2:84" s="133" customFormat="1" x14ac:dyDescent="0.35">
      <c r="B221" s="477" t="s">
        <v>414</v>
      </c>
      <c r="BC221" s="133">
        <f>BC199+BC200+BC201+BC202</f>
        <v>77</v>
      </c>
      <c r="BD221" s="133">
        <f>BD199+BD200+BD201+BD202</f>
        <v>83</v>
      </c>
      <c r="BE221" s="133">
        <f>BE199+BE200+BE201+BE202</f>
        <v>70</v>
      </c>
      <c r="BF221" s="133">
        <f>BF199+BF200+BF201+BF202</f>
        <v>2</v>
      </c>
      <c r="BG221" s="133">
        <f t="shared" si="241"/>
        <v>232</v>
      </c>
      <c r="BH221" s="478">
        <f>BH199</f>
        <v>0</v>
      </c>
      <c r="BI221" s="478">
        <f>BI199</f>
        <v>0</v>
      </c>
      <c r="BJ221" s="478">
        <f>BJ199</f>
        <v>0</v>
      </c>
      <c r="BK221" s="478">
        <f>BK199</f>
        <v>0</v>
      </c>
      <c r="BL221" s="478">
        <f t="shared" si="242"/>
        <v>0</v>
      </c>
      <c r="BM221" s="478">
        <f>BM199</f>
        <v>0</v>
      </c>
      <c r="BN221" s="478">
        <f>BN199</f>
        <v>0</v>
      </c>
      <c r="BO221" s="478">
        <f>BO199</f>
        <v>0</v>
      </c>
      <c r="BP221" s="478">
        <f>BP206+BP207</f>
        <v>2</v>
      </c>
      <c r="BQ221" s="478">
        <f t="shared" si="243"/>
        <v>2</v>
      </c>
      <c r="BR221" s="478">
        <f>BR206+BR207+BR208</f>
        <v>11</v>
      </c>
      <c r="BS221" s="478">
        <f>BS206+BS207+BS208</f>
        <v>14</v>
      </c>
      <c r="BT221" s="478">
        <f>BT206+BT207+BT208</f>
        <v>13</v>
      </c>
      <c r="BU221" s="478">
        <f>BU206+BU207+BU208+BU211</f>
        <v>6</v>
      </c>
      <c r="BV221" s="478">
        <f t="shared" si="244"/>
        <v>44</v>
      </c>
      <c r="BW221" s="478">
        <f t="shared" ref="BW221:BZ221" si="247">BW206+BW207+BW208+BW211</f>
        <v>-4</v>
      </c>
      <c r="BX221" s="478">
        <f t="shared" si="247"/>
        <v>-4</v>
      </c>
      <c r="BY221" s="478">
        <f t="shared" si="247"/>
        <v>-4</v>
      </c>
      <c r="BZ221" s="478">
        <f t="shared" si="247"/>
        <v>0</v>
      </c>
      <c r="CA221" s="478">
        <f t="shared" si="245"/>
        <v>-12</v>
      </c>
      <c r="CB221" s="478"/>
      <c r="CC221" s="478"/>
      <c r="CD221" s="478"/>
      <c r="CE221" s="478"/>
      <c r="CF221" s="478">
        <f t="shared" si="246"/>
        <v>0</v>
      </c>
    </row>
    <row r="222" spans="2:84" s="133" customFormat="1" x14ac:dyDescent="0.35">
      <c r="B222" s="497" t="s">
        <v>161</v>
      </c>
      <c r="AX222" s="133">
        <f>AX217+AX218</f>
        <v>19</v>
      </c>
      <c r="AY222" s="133">
        <f>AY217+AY218</f>
        <v>13</v>
      </c>
      <c r="AZ222" s="133">
        <f>AZ217+AZ218</f>
        <v>28</v>
      </c>
      <c r="BA222" s="492">
        <v>78</v>
      </c>
      <c r="BB222" s="133">
        <f>BB217+BB218</f>
        <v>138</v>
      </c>
      <c r="BC222" s="133">
        <f t="shared" ref="BC222:BV222" si="248">SUM(BC219:BC221)</f>
        <v>79</v>
      </c>
      <c r="BD222" s="133">
        <f t="shared" si="248"/>
        <v>83</v>
      </c>
      <c r="BE222" s="133">
        <f t="shared" si="248"/>
        <v>70</v>
      </c>
      <c r="BF222" s="133">
        <f t="shared" si="248"/>
        <v>2</v>
      </c>
      <c r="BG222" s="133">
        <f t="shared" si="248"/>
        <v>234</v>
      </c>
      <c r="BH222" s="478">
        <f t="shared" si="248"/>
        <v>0</v>
      </c>
      <c r="BI222" s="478">
        <f t="shared" si="248"/>
        <v>0</v>
      </c>
      <c r="BJ222" s="478">
        <f t="shared" si="248"/>
        <v>0</v>
      </c>
      <c r="BK222" s="478">
        <f t="shared" si="248"/>
        <v>0</v>
      </c>
      <c r="BL222" s="478">
        <f t="shared" si="248"/>
        <v>0</v>
      </c>
      <c r="BM222" s="478">
        <f t="shared" si="248"/>
        <v>0</v>
      </c>
      <c r="BN222" s="478">
        <f t="shared" si="248"/>
        <v>0</v>
      </c>
      <c r="BO222" s="478">
        <f t="shared" si="248"/>
        <v>0</v>
      </c>
      <c r="BP222" s="478">
        <f>SUM(BP219:BP221)</f>
        <v>2</v>
      </c>
      <c r="BQ222" s="478">
        <f t="shared" si="248"/>
        <v>2</v>
      </c>
      <c r="BR222" s="478">
        <f t="shared" si="248"/>
        <v>11</v>
      </c>
      <c r="BS222" s="478">
        <f t="shared" si="248"/>
        <v>14</v>
      </c>
      <c r="BT222" s="478">
        <f t="shared" si="248"/>
        <v>13</v>
      </c>
      <c r="BU222" s="478">
        <f t="shared" si="248"/>
        <v>6</v>
      </c>
      <c r="BV222" s="478">
        <f t="shared" si="248"/>
        <v>44</v>
      </c>
      <c r="BW222" s="478">
        <f t="shared" ref="BW222:CF222" si="249">SUM(BW219:BW221)</f>
        <v>-4</v>
      </c>
      <c r="BX222" s="478">
        <f t="shared" si="249"/>
        <v>-4</v>
      </c>
      <c r="BY222" s="478">
        <f t="shared" si="249"/>
        <v>-4</v>
      </c>
      <c r="BZ222" s="478">
        <f t="shared" si="249"/>
        <v>0</v>
      </c>
      <c r="CA222" s="478">
        <f t="shared" si="249"/>
        <v>-12</v>
      </c>
      <c r="CB222" s="478"/>
      <c r="CC222" s="478"/>
      <c r="CD222" s="478"/>
      <c r="CE222" s="478"/>
      <c r="CF222" s="478">
        <f t="shared" si="249"/>
        <v>0</v>
      </c>
    </row>
    <row r="223" spans="2:84" s="133" customFormat="1" x14ac:dyDescent="0.35">
      <c r="B223" s="496" t="s">
        <v>373</v>
      </c>
      <c r="C223" s="493"/>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493"/>
      <c r="AG223" s="493"/>
      <c r="AH223" s="493"/>
      <c r="AI223" s="493"/>
      <c r="AJ223" s="493"/>
      <c r="AK223" s="493"/>
      <c r="AL223" s="493"/>
      <c r="AM223" s="493"/>
      <c r="AN223" s="493"/>
      <c r="AO223" s="493"/>
      <c r="AP223" s="493"/>
      <c r="AQ223" s="493"/>
      <c r="AR223" s="493"/>
      <c r="AS223" s="493"/>
      <c r="AT223" s="493"/>
      <c r="AU223" s="493"/>
      <c r="AV223" s="493"/>
      <c r="AW223" s="493"/>
      <c r="AX223" s="493">
        <f t="shared" ref="AX223:BE223" si="250">AX216+AX222</f>
        <v>19</v>
      </c>
      <c r="AY223" s="493">
        <f t="shared" si="250"/>
        <v>13</v>
      </c>
      <c r="AZ223" s="493">
        <f t="shared" si="250"/>
        <v>28</v>
      </c>
      <c r="BA223" s="493">
        <f t="shared" si="250"/>
        <v>78</v>
      </c>
      <c r="BB223" s="493">
        <f t="shared" si="250"/>
        <v>138</v>
      </c>
      <c r="BC223" s="493">
        <f t="shared" si="250"/>
        <v>79</v>
      </c>
      <c r="BD223" s="493">
        <f t="shared" si="250"/>
        <v>83</v>
      </c>
      <c r="BE223" s="493">
        <f t="shared" si="250"/>
        <v>70</v>
      </c>
      <c r="BF223" s="493">
        <f t="shared" ref="BF223:BL223" si="251">BF216+BF222</f>
        <v>2</v>
      </c>
      <c r="BG223" s="493">
        <f t="shared" si="251"/>
        <v>234</v>
      </c>
      <c r="BH223" s="528">
        <f t="shared" si="251"/>
        <v>0</v>
      </c>
      <c r="BI223" s="528">
        <f t="shared" si="251"/>
        <v>0</v>
      </c>
      <c r="BJ223" s="528">
        <f t="shared" si="251"/>
        <v>0</v>
      </c>
      <c r="BK223" s="528">
        <f t="shared" si="251"/>
        <v>0</v>
      </c>
      <c r="BL223" s="528">
        <f t="shared" si="251"/>
        <v>0</v>
      </c>
      <c r="BM223" s="528">
        <f t="shared" ref="BM223:BV223" si="252">BM216+BM222</f>
        <v>0</v>
      </c>
      <c r="BN223" s="528">
        <f t="shared" si="252"/>
        <v>0</v>
      </c>
      <c r="BO223" s="528">
        <f t="shared" si="252"/>
        <v>3</v>
      </c>
      <c r="BP223" s="528">
        <f t="shared" si="252"/>
        <v>5</v>
      </c>
      <c r="BQ223" s="528">
        <f t="shared" si="252"/>
        <v>8</v>
      </c>
      <c r="BR223" s="528">
        <f t="shared" si="252"/>
        <v>15</v>
      </c>
      <c r="BS223" s="528">
        <f t="shared" si="252"/>
        <v>17</v>
      </c>
      <c r="BT223" s="528">
        <f t="shared" si="252"/>
        <v>13</v>
      </c>
      <c r="BU223" s="528">
        <f t="shared" si="252"/>
        <v>8</v>
      </c>
      <c r="BV223" s="528">
        <f t="shared" si="252"/>
        <v>53</v>
      </c>
      <c r="BW223" s="528">
        <f t="shared" ref="BW223:CF223" si="253">BW216+BW222</f>
        <v>-2</v>
      </c>
      <c r="BX223" s="528">
        <f t="shared" si="253"/>
        <v>-2</v>
      </c>
      <c r="BY223" s="528">
        <f t="shared" si="253"/>
        <v>-3</v>
      </c>
      <c r="BZ223" s="528">
        <f t="shared" si="253"/>
        <v>0</v>
      </c>
      <c r="CA223" s="528">
        <f t="shared" si="253"/>
        <v>-7</v>
      </c>
      <c r="CB223" s="528">
        <f t="shared" si="253"/>
        <v>0</v>
      </c>
      <c r="CC223" s="528">
        <f t="shared" si="253"/>
        <v>0</v>
      </c>
      <c r="CD223" s="528">
        <f t="shared" si="253"/>
        <v>0</v>
      </c>
      <c r="CE223" s="528">
        <f t="shared" si="253"/>
        <v>0</v>
      </c>
      <c r="CF223" s="528">
        <f t="shared" si="253"/>
        <v>0</v>
      </c>
    </row>
    <row r="224" spans="2:84" s="243" customFormat="1" x14ac:dyDescent="0.35">
      <c r="B224" s="243" t="s">
        <v>373</v>
      </c>
      <c r="AX224" s="495">
        <f t="shared" ref="AX224:BQ224" si="254">AX223/AS150</f>
        <v>1.4728682170542635E-2</v>
      </c>
      <c r="AY224" s="495">
        <f t="shared" si="254"/>
        <v>9.0592334494773528E-3</v>
      </c>
      <c r="AZ224" s="495">
        <f t="shared" si="254"/>
        <v>2.0648967551622419E-2</v>
      </c>
      <c r="BA224" s="495">
        <f t="shared" si="254"/>
        <v>6.0465116279069767E-2</v>
      </c>
      <c r="BB224" s="495">
        <f t="shared" si="254"/>
        <v>2.5693539378141873E-2</v>
      </c>
      <c r="BC224" s="495">
        <f t="shared" si="254"/>
        <v>4.9375000000000002E-2</v>
      </c>
      <c r="BD224" s="495">
        <f t="shared" si="254"/>
        <v>5.3444945267224729E-2</v>
      </c>
      <c r="BE224" s="495">
        <f t="shared" si="254"/>
        <v>4.5871559633027525E-2</v>
      </c>
      <c r="BF224" s="495">
        <f t="shared" si="254"/>
        <v>1.2995451591942819E-3</v>
      </c>
      <c r="BG224" s="495">
        <f t="shared" si="254"/>
        <v>3.7632679318108715E-2</v>
      </c>
      <c r="BH224" s="495">
        <f t="shared" si="254"/>
        <v>0</v>
      </c>
      <c r="BI224" s="495">
        <f t="shared" si="254"/>
        <v>0</v>
      </c>
      <c r="BJ224" s="495">
        <f t="shared" si="254"/>
        <v>0</v>
      </c>
      <c r="BK224" s="495">
        <f t="shared" si="254"/>
        <v>0</v>
      </c>
      <c r="BL224" s="495">
        <f t="shared" si="254"/>
        <v>0</v>
      </c>
      <c r="BM224" s="495">
        <f t="shared" si="254"/>
        <v>0</v>
      </c>
      <c r="BN224" s="495">
        <f t="shared" si="254"/>
        <v>0</v>
      </c>
      <c r="BO224" s="495">
        <f t="shared" si="254"/>
        <v>2.0380434782608695E-3</v>
      </c>
      <c r="BP224" s="663">
        <f t="shared" si="254"/>
        <v>3.3783783783783786E-3</v>
      </c>
      <c r="BQ224" s="663">
        <f t="shared" si="254"/>
        <v>1.3522650439486139E-3</v>
      </c>
      <c r="BR224" s="495">
        <f t="shared" ref="BR224:CA224" si="255">BR223/BM150</f>
        <v>8.3986562150055993E-3</v>
      </c>
      <c r="BS224" s="495">
        <f t="shared" si="255"/>
        <v>9.3560814529444133E-3</v>
      </c>
      <c r="BT224" s="495">
        <f t="shared" si="255"/>
        <v>7.1704357418643132E-3</v>
      </c>
      <c r="BU224" s="495">
        <f t="shared" si="255"/>
        <v>4.7846889952153108E-3</v>
      </c>
      <c r="BV224" s="495">
        <f t="shared" si="255"/>
        <v>7.4774266365688485E-3</v>
      </c>
      <c r="BW224" s="495">
        <f t="shared" si="255"/>
        <v>-1.0395010395010396E-3</v>
      </c>
      <c r="BX224" s="495">
        <f t="shared" si="255"/>
        <v>-1.053740779768177E-3</v>
      </c>
      <c r="BY224" s="495">
        <f t="shared" si="255"/>
        <v>-1.4966848430725942E-3</v>
      </c>
      <c r="BZ224" s="495">
        <f t="shared" si="255"/>
        <v>0</v>
      </c>
      <c r="CA224" s="495">
        <f t="shared" si="255"/>
        <v>-9.1209156370630762E-4</v>
      </c>
      <c r="CB224" s="495">
        <f>CB223/BW150</f>
        <v>0</v>
      </c>
      <c r="CC224" s="495">
        <f>CC223/BX150</f>
        <v>0</v>
      </c>
      <c r="CD224" s="495">
        <f>CD223/BY150</f>
        <v>0</v>
      </c>
      <c r="CE224" s="495">
        <f>CE223/BZ150</f>
        <v>0</v>
      </c>
      <c r="CF224" s="495">
        <f>CF223/CA150</f>
        <v>0</v>
      </c>
    </row>
    <row r="225" spans="2:83" s="133" customFormat="1" x14ac:dyDescent="0.35"/>
    <row r="226" spans="2:83" s="133" customFormat="1" outlineLevel="1" x14ac:dyDescent="0.35">
      <c r="BQ226" s="665"/>
    </row>
    <row r="227" spans="2:83" s="243" customFormat="1" outlineLevel="1" x14ac:dyDescent="0.35">
      <c r="B227" s="243" t="s">
        <v>373</v>
      </c>
      <c r="AX227" s="495">
        <f>AX214/AS152</f>
        <v>0</v>
      </c>
      <c r="AY227" s="495">
        <f>AY214/AT152</f>
        <v>0</v>
      </c>
      <c r="AZ227" s="495">
        <f>AZ214/AU152</f>
        <v>0</v>
      </c>
      <c r="BA227" s="495">
        <f>BA214/AV152</f>
        <v>0</v>
      </c>
    </row>
    <row r="228" spans="2:83" s="243" customFormat="1" outlineLevel="1" x14ac:dyDescent="0.35">
      <c r="AX228" s="495"/>
      <c r="AY228" s="495"/>
      <c r="AZ228" s="495"/>
      <c r="BA228" s="495"/>
    </row>
    <row r="229" spans="2:83" s="243" customFormat="1" outlineLevel="1" x14ac:dyDescent="0.35">
      <c r="AX229" s="495"/>
      <c r="AY229" s="495"/>
      <c r="AZ229" s="495"/>
      <c r="BA229" s="495"/>
    </row>
    <row r="230" spans="2:83" s="243" customFormat="1" outlineLevel="1" x14ac:dyDescent="0.35">
      <c r="AX230" s="495"/>
      <c r="AY230" s="495"/>
      <c r="AZ230" s="495"/>
      <c r="BA230" s="495"/>
    </row>
    <row r="231" spans="2:83" s="133" customFormat="1" outlineLevel="1" x14ac:dyDescent="0.35">
      <c r="AU231" s="478">
        <f>(248-(0.2*934))*AU243</f>
        <v>79.064279999999982</v>
      </c>
      <c r="AV231" s="478">
        <f>304*0.2*AV243</f>
        <v>80.371520000000004</v>
      </c>
      <c r="AW231" s="478"/>
      <c r="AX231" s="478">
        <f>(117-(304*0.2))*AX243</f>
        <v>77.511039999999994</v>
      </c>
      <c r="AY231" s="478">
        <f>((0.2*858)-117)*AY243</f>
        <v>76.341720000000038</v>
      </c>
    </row>
    <row r="232" spans="2:83" s="133" customFormat="1" outlineLevel="1" x14ac:dyDescent="0.35">
      <c r="B232" s="477" t="s">
        <v>357</v>
      </c>
      <c r="AU232" s="461">
        <f>AU231/SUM($AU$231:$AV$231,$AX$231:$AY$231)</f>
        <v>0.25236887041135492</v>
      </c>
      <c r="AV232" s="461">
        <f>AV231/SUM($AU$231:$AV$231,$AX$231:$AY$231)</f>
        <v>0.25654150920799668</v>
      </c>
      <c r="AX232" s="461">
        <f>AX231/SUM($AU$231:$AV$231,$AX$231:$AY$231)</f>
        <v>0.24741101302901072</v>
      </c>
      <c r="AY232" s="461">
        <f>AY231/SUM($AU$231:$AV$231,$AX$231:$AY$231)</f>
        <v>0.24367860735163788</v>
      </c>
    </row>
    <row r="233" spans="2:83" s="133" customFormat="1" outlineLevel="1" x14ac:dyDescent="0.35">
      <c r="B233" s="133" t="s">
        <v>365</v>
      </c>
      <c r="BC233" s="478">
        <f>AX95*(1+BC100)</f>
        <v>629.00000000000011</v>
      </c>
      <c r="BD233" s="478">
        <f>AY95*(1+BD100)</f>
        <v>619.00000000000011</v>
      </c>
      <c r="BE233" s="478">
        <f>AZ95*(1+BE100)</f>
        <v>656.00000000000011</v>
      </c>
      <c r="BF233" s="478">
        <f>BA95*(1+BF100)</f>
        <v>742</v>
      </c>
    </row>
    <row r="234" spans="2:83" s="133" customFormat="1" outlineLevel="1" x14ac:dyDescent="0.35">
      <c r="B234" s="133" t="s">
        <v>366</v>
      </c>
      <c r="BC234" s="480">
        <f>AX146+(200/10000)</f>
        <v>0.3486219081272085</v>
      </c>
      <c r="BD234" s="480">
        <f>AY146+(200/10000)</f>
        <v>0.33826086956521739</v>
      </c>
      <c r="BE234" s="480">
        <f>AZ146+(200/10000)</f>
        <v>0.28036484245439469</v>
      </c>
      <c r="BF234" s="480">
        <f>BA146+(200/10000)</f>
        <v>0.16947683109118086</v>
      </c>
    </row>
    <row r="235" spans="2:83" s="133" customFormat="1" outlineLevel="1" x14ac:dyDescent="0.35">
      <c r="B235" s="133" t="s">
        <v>364</v>
      </c>
      <c r="AZ235" s="479">
        <v>1.6999999999999999E-3</v>
      </c>
      <c r="BA235" s="479">
        <v>1.6999999999999999E-3</v>
      </c>
      <c r="BC235" s="481">
        <v>0.19</v>
      </c>
      <c r="BD235" s="481">
        <v>0.19</v>
      </c>
      <c r="BE235" s="481">
        <v>0.19</v>
      </c>
      <c r="BF235" s="481">
        <v>0.19</v>
      </c>
    </row>
    <row r="236" spans="2:83" s="133" customFormat="1" outlineLevel="1" x14ac:dyDescent="0.35">
      <c r="B236" s="133" t="s">
        <v>367</v>
      </c>
      <c r="BC236" s="480">
        <f>((BC199*BC235)+(BC233*BC234))/SUM(BC233,BC199)</f>
        <v>0.33132178500285286</v>
      </c>
      <c r="BD236" s="480">
        <f>((BD199*BD235)+(BD233*BD234))/SUM(BD233,BD199)</f>
        <v>0.32129252970081479</v>
      </c>
      <c r="BE236" s="480">
        <f>((BE199*BE235)+(BE233*BE234))/SUM(BE233,BE199)</f>
        <v>0.27199078374838576</v>
      </c>
      <c r="BF236" s="480">
        <f>((BF199*BF235)+(BF233*BF234))/SUM(BF233,BF199)</f>
        <v>0.16947683109118086</v>
      </c>
    </row>
    <row r="237" spans="2:83" s="133" customFormat="1" outlineLevel="1" x14ac:dyDescent="0.35">
      <c r="B237" s="133" t="s">
        <v>368</v>
      </c>
      <c r="BC237" s="482">
        <f>(BC236-AX146)*10000</f>
        <v>26.998768756443802</v>
      </c>
      <c r="BD237" s="482">
        <f>(BD236-AY146)*10000</f>
        <v>30.316601355974136</v>
      </c>
      <c r="BE237" s="482">
        <f>(BE236-AZ146)*10000</f>
        <v>116.25941293991082</v>
      </c>
      <c r="BF237" s="482">
        <f>(BF236-BA146)*10000</f>
        <v>199.99999999999989</v>
      </c>
    </row>
    <row r="238" spans="2:83" s="133" customFormat="1" x14ac:dyDescent="0.35">
      <c r="BH238" s="480"/>
    </row>
    <row r="239" spans="2:83" s="133" customFormat="1" x14ac:dyDescent="0.35">
      <c r="BH239" s="480"/>
      <c r="BJ239" s="133" t="e" cm="1">
        <f t="array" aca="1" ref="BJ239" ca="1">_xll.BDP($B$244,"interval_avg","Start_date_override",BJ$240,"end_date_override",BJ$241,"market_data_override","Px_last")</f>
        <v>#NAME?</v>
      </c>
      <c r="BK239" s="133" t="e" cm="1">
        <f t="array" aca="1" ref="BK239" ca="1">_xll.BDP($B$244,"interval_avg","Start_date_override",BK$240,"end_date_override",BK$241,"market_data_override","Px_last")</f>
        <v>#NAME?</v>
      </c>
    </row>
    <row r="240" spans="2:83" s="133" customFormat="1" x14ac:dyDescent="0.35">
      <c r="AN240" s="476">
        <v>43466</v>
      </c>
      <c r="AO240" s="476">
        <f>AN241+1</f>
        <v>43556</v>
      </c>
      <c r="AP240" s="476">
        <f>AO241+1</f>
        <v>43647</v>
      </c>
      <c r="AQ240" s="476">
        <f>AP241+1</f>
        <v>43739</v>
      </c>
      <c r="AS240" s="476">
        <v>43831</v>
      </c>
      <c r="AT240" s="476">
        <f>AS241+1</f>
        <v>43922</v>
      </c>
      <c r="AU240" s="476">
        <f>AT241+1</f>
        <v>44013</v>
      </c>
      <c r="AV240" s="476">
        <f>AU241+1</f>
        <v>44105</v>
      </c>
      <c r="AX240" s="476">
        <v>44197</v>
      </c>
      <c r="AY240" s="476">
        <f>AX241+1</f>
        <v>44287</v>
      </c>
      <c r="AZ240" s="476">
        <f>AY241+1</f>
        <v>44378</v>
      </c>
      <c r="BA240" s="476">
        <f>AZ241+1</f>
        <v>44470</v>
      </c>
      <c r="BC240" s="476">
        <v>44562</v>
      </c>
      <c r="BD240" s="476">
        <f>BC241+1</f>
        <v>44652</v>
      </c>
      <c r="BE240" s="476">
        <f>BD241+1</f>
        <v>44743</v>
      </c>
      <c r="BF240" s="476">
        <f>BE241+1</f>
        <v>44835</v>
      </c>
      <c r="BH240" s="476">
        <v>44927</v>
      </c>
      <c r="BI240" s="476">
        <f>BH241+1</f>
        <v>45017</v>
      </c>
      <c r="BJ240" s="476">
        <f>BI241+1</f>
        <v>45108</v>
      </c>
      <c r="BK240" s="476">
        <f>BJ241+1</f>
        <v>45200</v>
      </c>
      <c r="BM240" s="476">
        <v>45292</v>
      </c>
      <c r="BN240" s="476">
        <f>BM241+1</f>
        <v>45383</v>
      </c>
      <c r="BO240" s="476">
        <f>BN241+1</f>
        <v>45474</v>
      </c>
      <c r="BP240" s="476">
        <f>BO241+1</f>
        <v>45566</v>
      </c>
      <c r="BR240" s="476">
        <f>BP241+1</f>
        <v>45658</v>
      </c>
      <c r="BS240" s="476">
        <f>BR241+1</f>
        <v>45748</v>
      </c>
      <c r="BT240" s="476">
        <f>BS241+1</f>
        <v>45839</v>
      </c>
      <c r="BU240" s="476">
        <f>BT241+1</f>
        <v>45931</v>
      </c>
      <c r="BW240" s="476">
        <f>BU241+1</f>
        <v>46023</v>
      </c>
      <c r="BX240" s="476">
        <f>BW241+1</f>
        <v>46113</v>
      </c>
      <c r="BY240" s="476">
        <f>BX241+1</f>
        <v>46204</v>
      </c>
      <c r="BZ240" s="476">
        <f>BY241+1</f>
        <v>46296</v>
      </c>
      <c r="CB240" s="476">
        <f>BZ241+1</f>
        <v>46388</v>
      </c>
      <c r="CC240" s="476">
        <f>CB241+1</f>
        <v>46478</v>
      </c>
      <c r="CD240" s="476">
        <f>CC241+1</f>
        <v>46569</v>
      </c>
      <c r="CE240" s="476">
        <f>CD241+1</f>
        <v>46661</v>
      </c>
    </row>
    <row r="241" spans="2:83" s="133" customFormat="1" x14ac:dyDescent="0.35">
      <c r="AN241" s="476">
        <f>EOMONTH(AN240,2)</f>
        <v>43555</v>
      </c>
      <c r="AO241" s="476">
        <f>EOMONTH(AO240,2)</f>
        <v>43646</v>
      </c>
      <c r="AP241" s="476">
        <f>EOMONTH(AP240,2)</f>
        <v>43738</v>
      </c>
      <c r="AQ241" s="476">
        <f>EOMONTH(AQ240,2)</f>
        <v>43830</v>
      </c>
      <c r="AS241" s="476">
        <f>EOMONTH(AS240,2)</f>
        <v>43921</v>
      </c>
      <c r="AT241" s="476">
        <f>EOMONTH(AT240,2)</f>
        <v>44012</v>
      </c>
      <c r="AU241" s="476">
        <f>EOMONTH(AU240,2)</f>
        <v>44104</v>
      </c>
      <c r="AV241" s="476">
        <f>EOMONTH(AV240,2)</f>
        <v>44196</v>
      </c>
      <c r="AX241" s="476">
        <f>EOMONTH(AX240,2)</f>
        <v>44286</v>
      </c>
      <c r="AY241" s="476">
        <f>EOMONTH(AY240,2)</f>
        <v>44377</v>
      </c>
      <c r="AZ241" s="476">
        <f>EOMONTH(AZ240,2)</f>
        <v>44469</v>
      </c>
      <c r="BA241" s="476">
        <f>EOMONTH(BA240,2)</f>
        <v>44561</v>
      </c>
      <c r="BC241" s="476">
        <f>EOMONTH(BC240,2)</f>
        <v>44651</v>
      </c>
      <c r="BD241" s="476">
        <f>EOMONTH(BD240,2)</f>
        <v>44742</v>
      </c>
      <c r="BE241" s="476">
        <f>EOMONTH(BE240,2)</f>
        <v>44834</v>
      </c>
      <c r="BF241" s="476">
        <f>EOMONTH(BF240,2)</f>
        <v>44926</v>
      </c>
      <c r="BH241" s="476">
        <f>EOMONTH(BH240,2)</f>
        <v>45016</v>
      </c>
      <c r="BI241" s="476">
        <f>EOMONTH(BI240,2)</f>
        <v>45107</v>
      </c>
      <c r="BJ241" s="476">
        <f>EOMONTH(BJ240,2)</f>
        <v>45199</v>
      </c>
      <c r="BK241" s="476">
        <f>EOMONTH(BK240,2)</f>
        <v>45291</v>
      </c>
      <c r="BM241" s="476">
        <f>EOMONTH(BM240,2)</f>
        <v>45382</v>
      </c>
      <c r="BN241" s="476">
        <f>EOMONTH(BN240,2)</f>
        <v>45473</v>
      </c>
      <c r="BO241" s="476">
        <f>EOMONTH(BO240,2)</f>
        <v>45565</v>
      </c>
      <c r="BP241" s="476">
        <f>EOMONTH(BP240,2)</f>
        <v>45657</v>
      </c>
      <c r="BR241" s="476">
        <f>EOMONTH(BR240,2)</f>
        <v>45747</v>
      </c>
      <c r="BS241" s="476">
        <f>EOMONTH(BS240,2)</f>
        <v>45838</v>
      </c>
      <c r="BT241" s="476">
        <f>EOMONTH(BT240,2)</f>
        <v>45930</v>
      </c>
      <c r="BU241" s="476">
        <f>EOMONTH(BU240,2)</f>
        <v>46022</v>
      </c>
      <c r="BW241" s="476">
        <f>EOMONTH(BW240,2)</f>
        <v>46112</v>
      </c>
      <c r="BX241" s="476">
        <f>EOMONTH(BX240,2)</f>
        <v>46203</v>
      </c>
      <c r="BY241" s="476">
        <f>EOMONTH(BY240,2)</f>
        <v>46295</v>
      </c>
      <c r="BZ241" s="476">
        <f>EOMONTH(BZ240,2)</f>
        <v>46387</v>
      </c>
      <c r="CB241" s="476">
        <f>EOMONTH(CB240,2)</f>
        <v>46477</v>
      </c>
      <c r="CC241" s="476">
        <f>EOMONTH(CC240,2)</f>
        <v>46568</v>
      </c>
      <c r="CD241" s="476">
        <f>EOMONTH(CD240,2)</f>
        <v>46660</v>
      </c>
      <c r="CE241" s="476">
        <f>EOMONTH(CE240,2)</f>
        <v>46752</v>
      </c>
    </row>
    <row r="242" spans="2:83" s="133" customFormat="1" x14ac:dyDescent="0.35">
      <c r="B242" s="475" t="s">
        <v>354</v>
      </c>
      <c r="BD242" s="617"/>
      <c r="BH242" s="612"/>
      <c r="BI242" s="612"/>
      <c r="BJ242" s="612"/>
      <c r="BK242" s="617"/>
      <c r="BM242" s="626"/>
      <c r="BN242" s="626"/>
      <c r="BO242" s="626"/>
      <c r="BP242" s="626"/>
      <c r="BQ242" s="605"/>
      <c r="BR242" s="626" t="e" cm="1">
        <f t="array" aca="1" ref="BR242" ca="1">_xll.BDP($B243,"interval_avg","Start_date_override",BP241,"end_date_override",BR241,"market_data_override","Px_last")</f>
        <v>#NAME?</v>
      </c>
      <c r="BS242" s="626" t="e" cm="1">
        <f t="array" aca="1" ref="BS242" ca="1">_xll.BDP($B243,"interval_avg","Start_date_override",BS240,"end_date_override",BS241,"market_data_override","Px_last")</f>
        <v>#NAME?</v>
      </c>
      <c r="BT242" s="626" t="e" cm="1">
        <f t="array" aca="1" ref="BT242" ca="1">_xll.BDP($B243,"interval_avg","Start_date_override",BT240,"end_date_override",BT241,"market_data_override","Px_last")</f>
        <v>#NAME?</v>
      </c>
      <c r="BU242" s="626" t="e" cm="1">
        <f t="array" aca="1" ref="BU242" ca="1">_xll.BDP($B243,"interval_avg","Start_date_override",BU240,"end_date_override",TODAY(),"market_data_override","Px_last")</f>
        <v>#NAME?</v>
      </c>
      <c r="BW242" s="626" t="e" cm="1">
        <f t="array" aca="1" ref="BW242" ca="1">_xll.BDP($B243,"PX_Last")</f>
        <v>#NAME?</v>
      </c>
      <c r="BX242" s="626" t="e" cm="1">
        <f t="array" aca="1" ref="BX242" ca="1">_xll.BDP($B243,"PX_Last")</f>
        <v>#NAME?</v>
      </c>
      <c r="BY242" s="626" t="e" cm="1">
        <f t="array" aca="1" ref="BY242" ca="1">_xll.BDP($B243,"PX_Last")</f>
        <v>#NAME?</v>
      </c>
      <c r="BZ242" s="626" t="e" cm="1">
        <f t="array" aca="1" ref="BZ242" ca="1">_xll.BDP($B243,"PX_Last")</f>
        <v>#NAME?</v>
      </c>
      <c r="CB242" s="626" t="e" cm="1">
        <f t="array" aca="1" ref="CB242" ca="1">_xll.BDP($B244,"PX_Last")</f>
        <v>#NAME?</v>
      </c>
      <c r="CC242" s="626" t="e" cm="1">
        <f t="array" aca="1" ref="CC242" ca="1">_xll.BDP($B244,"PX_Last")</f>
        <v>#NAME?</v>
      </c>
      <c r="CD242" s="626" t="e" cm="1">
        <f t="array" aca="1" ref="CD242" ca="1">_xll.BDP($B244,"PX_Last")</f>
        <v>#NAME?</v>
      </c>
      <c r="CE242" s="626" t="e" cm="1">
        <f t="array" aca="1" ref="CE242" ca="1">_xll.BDP($B244,"PX_Last")</f>
        <v>#NAME?</v>
      </c>
    </row>
    <row r="243" spans="2:83" s="133" customFormat="1" x14ac:dyDescent="0.35">
      <c r="B243" s="133" t="s">
        <v>355</v>
      </c>
      <c r="AN243" s="558">
        <v>1.3024</v>
      </c>
      <c r="AO243" s="558">
        <v>1.2853000000000001</v>
      </c>
      <c r="AP243" s="558">
        <v>1.2324999999999999</v>
      </c>
      <c r="AQ243" s="558">
        <v>1.2877000000000001</v>
      </c>
      <c r="AR243" s="467"/>
      <c r="AS243" s="525">
        <v>1.2798</v>
      </c>
      <c r="AT243" s="525">
        <v>1.2416</v>
      </c>
      <c r="AU243" s="525">
        <v>1.2919</v>
      </c>
      <c r="AV243" s="525">
        <v>1.3219000000000001</v>
      </c>
      <c r="AW243" s="467"/>
      <c r="AX243" s="525">
        <v>1.3792</v>
      </c>
      <c r="AY243" s="525">
        <v>1.3982000000000001</v>
      </c>
      <c r="AZ243" s="525">
        <v>1.3778999999999999</v>
      </c>
      <c r="BA243" s="525">
        <v>1.3481000000000001</v>
      </c>
      <c r="BB243" s="467"/>
      <c r="BC243" s="558">
        <v>1.341</v>
      </c>
      <c r="BD243" s="525">
        <v>1.2563</v>
      </c>
      <c r="BE243" s="525">
        <v>1.1766000000000001</v>
      </c>
      <c r="BF243" s="525">
        <v>1.175</v>
      </c>
      <c r="BH243" s="525">
        <v>1.2155</v>
      </c>
      <c r="BI243" s="525">
        <v>1.2523</v>
      </c>
      <c r="BJ243" s="525">
        <v>1.266</v>
      </c>
      <c r="BK243" s="525">
        <v>1.2419</v>
      </c>
      <c r="BM243" s="525">
        <v>1.2683</v>
      </c>
      <c r="BN243" s="525">
        <v>1.2622</v>
      </c>
      <c r="BO243" s="525">
        <v>1.3004</v>
      </c>
      <c r="BP243" s="525">
        <v>1.2822</v>
      </c>
      <c r="BR243" s="525">
        <v>1.2601</v>
      </c>
      <c r="BS243" s="525">
        <v>1.3355999999999999</v>
      </c>
      <c r="BT243" s="525">
        <v>1.3484</v>
      </c>
      <c r="BU243" s="525">
        <v>1.35</v>
      </c>
      <c r="BW243" s="525">
        <v>1.337</v>
      </c>
      <c r="BX243" s="525">
        <v>1.337</v>
      </c>
      <c r="BY243" s="525">
        <v>1.337</v>
      </c>
      <c r="BZ243" s="525">
        <v>1.337</v>
      </c>
      <c r="CB243" s="525">
        <v>1.3303</v>
      </c>
      <c r="CC243" s="525">
        <v>1.3303</v>
      </c>
      <c r="CD243" s="525">
        <v>1.3303</v>
      </c>
      <c r="CE243" s="525">
        <v>1.3303</v>
      </c>
    </row>
    <row r="244" spans="2:83" s="133" customFormat="1" x14ac:dyDescent="0.35">
      <c r="B244" s="133" t="s">
        <v>356</v>
      </c>
      <c r="AN244" s="558">
        <v>1.1356999999999999</v>
      </c>
      <c r="AO244" s="558">
        <v>1.1234</v>
      </c>
      <c r="AP244" s="558">
        <v>1.1116999999999999</v>
      </c>
      <c r="AQ244" s="558">
        <v>1.1073</v>
      </c>
      <c r="AR244" s="467"/>
      <c r="AS244" s="525">
        <v>1.1029</v>
      </c>
      <c r="AT244" s="525">
        <v>1.1012999999999999</v>
      </c>
      <c r="AU244" s="525">
        <v>1.1691</v>
      </c>
      <c r="AV244" s="525">
        <v>1.1930000000000001</v>
      </c>
      <c r="AW244" s="467"/>
      <c r="AX244" s="525">
        <v>1.2051000000000001</v>
      </c>
      <c r="AY244" s="525">
        <v>1.2052</v>
      </c>
      <c r="AZ244" s="525">
        <v>1.1786000000000001</v>
      </c>
      <c r="BA244" s="525">
        <v>1.1433</v>
      </c>
      <c r="BB244" s="467"/>
      <c r="BC244" s="558">
        <v>1.1217999999999999</v>
      </c>
      <c r="BD244" s="525">
        <v>1.0647</v>
      </c>
      <c r="BE244" s="525">
        <v>1.0066999999999999</v>
      </c>
      <c r="BF244" s="525">
        <v>1.022</v>
      </c>
      <c r="BH244" s="525">
        <v>1.0731999999999999</v>
      </c>
      <c r="BI244" s="525">
        <v>1.0888</v>
      </c>
      <c r="BJ244" s="525">
        <v>1.0880000000000001</v>
      </c>
      <c r="BK244" s="525">
        <v>1.0764</v>
      </c>
      <c r="BM244" s="525">
        <v>1.0859000000000001</v>
      </c>
      <c r="BN244" s="525">
        <v>1.0767</v>
      </c>
      <c r="BO244" s="525">
        <v>1.0987</v>
      </c>
      <c r="BP244" s="525">
        <v>1.0672999999999999</v>
      </c>
      <c r="BQ244" s="625"/>
      <c r="BR244" s="525">
        <v>1.0524</v>
      </c>
      <c r="BS244" s="525">
        <v>1.1341000000000001</v>
      </c>
      <c r="BT244" s="525">
        <v>1.1686000000000001</v>
      </c>
      <c r="BU244" s="525">
        <v>1.18</v>
      </c>
      <c r="BW244" s="525">
        <v>1.1588000000000001</v>
      </c>
      <c r="BX244" s="525">
        <v>1.1588000000000001</v>
      </c>
      <c r="BY244" s="525">
        <v>1.1588000000000001</v>
      </c>
      <c r="BZ244" s="525">
        <v>1.1588000000000001</v>
      </c>
      <c r="CB244" s="525">
        <v>1.1558999999999999</v>
      </c>
      <c r="CC244" s="525">
        <v>1.1558999999999999</v>
      </c>
      <c r="CD244" s="525">
        <v>1.1558999999999999</v>
      </c>
      <c r="CE244" s="525">
        <v>1.1558999999999999</v>
      </c>
    </row>
    <row r="245" spans="2:83" s="133" customFormat="1" x14ac:dyDescent="0.35">
      <c r="B245" s="133" t="s">
        <v>381</v>
      </c>
      <c r="AS245" s="502">
        <f>((0.5*(AS243/AN243-1))+(0.5*(AS244/AN244-1)))*AN$181</f>
        <v>-1.0727487316190977E-2</v>
      </c>
      <c r="AT245" s="502">
        <f>((0.5*(AT243/AO243-1))+(0.5*(AT244/AO244-1)))*AO$181</f>
        <v>-1.2730357753717782E-2</v>
      </c>
      <c r="AU245" s="502">
        <f>((0.5*(AU243/AP243-1))+(0.5*(AU244/AP244-1)))*AP$181</f>
        <v>2.3373524356850351E-2</v>
      </c>
      <c r="AV245" s="502">
        <f>((0.5*(AV243/AQ243-1))+(0.5*(AV244/AQ244-1)))*AQ$181</f>
        <v>2.5250897850714441E-2</v>
      </c>
      <c r="AW245" s="502">
        <f>SUMPRODUCT(AS245:AV245,AN150:AQ150)/AR150</f>
        <v>6.7149400689286319E-3</v>
      </c>
      <c r="AX245" s="502">
        <f>((0.5*(AX243/AS243-1))+(0.5*(AX244/AS244-1)))*AS$181</f>
        <v>3.8027872410238944E-2</v>
      </c>
      <c r="AY245" s="502">
        <f>((0.5*(AY243/AT243-1))+(0.5*(AY244/AT244-1)))*AT$181</f>
        <v>4.5937782095165053E-2</v>
      </c>
      <c r="AZ245" s="502">
        <f>((0.5*(AZ243/AU243-1))+(0.5*(AZ244/AU244-1)))*AU$181</f>
        <v>1.7268978422922895E-2</v>
      </c>
      <c r="BA245" s="502">
        <f>((0.5*(BA243/AV243-1))+(0.5*(BA244/AV244-1)))*AV$181</f>
        <v>-5.20598104309277E-3</v>
      </c>
      <c r="BB245" s="502">
        <f>SUMPRODUCT(AX245:BA245,AS150:AV150)/AW150</f>
        <v>2.4516420017066446E-2</v>
      </c>
      <c r="BC245" s="502">
        <f>((0.5*(BC243/AX243-1))+(0.5*(BC244/AX244-1)))*AX$181</f>
        <v>-2.1633243360048647E-2</v>
      </c>
      <c r="BD245" s="502">
        <f>((0.5*(BD243/AY243-1))+(0.5*(BD244/AY244-1)))*AY$181</f>
        <v>-5.0690115620242608E-2</v>
      </c>
      <c r="BE245" s="502">
        <f>((0.5*(BE243/AZ243-1))+(0.5*(BE244/AZ244-1)))*BC181</f>
        <v>-6.3299049437697805E-2</v>
      </c>
      <c r="BF245" s="502">
        <f>((0.5*(BF243/BA243-1))+(0.5*(BF244/BA244-1)))*BD181</f>
        <v>-5.6035320266994766E-2</v>
      </c>
      <c r="BG245" s="502">
        <f>SUMPRODUCT(BC245:BF245,AX150:BA150)/BB150</f>
        <v>-4.7630692548592223E-2</v>
      </c>
      <c r="BH245" s="502">
        <f>((0.5*(BH243/BC243-1))+(0.5*(BH244/BC244-1)))*BC181</f>
        <v>-2.9684845582251495E-2</v>
      </c>
      <c r="BI245" s="502">
        <f>((0.5*(BI243/BD243-1))+(0.5*(BI244/BD244-1)))*BD181</f>
        <v>4.6480849586009905E-3</v>
      </c>
      <c r="BJ245" s="502">
        <f>((0.5*(BJ243/BE243-1))+(0.5*(BJ244/BE244-1)))*BE181</f>
        <v>3.7310399322847139E-2</v>
      </c>
      <c r="BK245" s="502">
        <f>((0.5*(BK243/BF243-1))+(0.5*(BK244/BF244-1)))*BF181</f>
        <v>2.8523375528896985E-2</v>
      </c>
      <c r="BL245" s="502">
        <f>SUMPRODUCT(BH245:BK245,BC150:BF150)/BG150</f>
        <v>8.3402677250454284E-3</v>
      </c>
      <c r="BM245" s="502">
        <f>((0.5*(BM243/BH243-1))+(0.5*(BM244/BH244-1)))*$BL$181</f>
        <v>1.3290295879882849E-2</v>
      </c>
      <c r="BN245" s="502">
        <f>((0.5*(BN243/BI243-1))+(0.5*(BN244/BI244-1)))*$BL$181</f>
        <v>-7.712898223446843E-4</v>
      </c>
      <c r="BO245" s="502">
        <f>((0.5*(BO243/BJ243-1))+(0.5*(BO244/BJ244-1)))*$BL$181</f>
        <v>8.8982604096785774E-3</v>
      </c>
      <c r="BP245" s="502">
        <f>((0.5*(BP243/BK243-1))+(0.5*(BP244/BK244-1)))*$BL$181</f>
        <v>5.7698705184467776E-3</v>
      </c>
      <c r="BQ245" s="502">
        <f>SUMPRODUCT(BM245:BP245,BH150:BK150)/BL150</f>
        <v>6.7650567341434971E-3</v>
      </c>
      <c r="BR245" s="502">
        <f>((0.5*(BR243/BM243-1))+(0.5*(BR244/BM244-1)))*$BL$181</f>
        <v>-8.9724580639655993E-3</v>
      </c>
      <c r="BS245" s="502">
        <f>((0.5*(BS243/BN243-1))+(0.5*(BS244/BN244-1)))*$BL$181</f>
        <v>2.6801351176718995E-2</v>
      </c>
      <c r="BT245" s="502">
        <f>((0.5*(BT243/BO243-1))+(0.5*(BT244/BO244-1)))*$BL$181</f>
        <v>2.4172969069307847E-2</v>
      </c>
      <c r="BU245" s="502">
        <f>((0.5*(BU243/BP243-1))+(0.5*(BU244/BP244-1)))*$BL$181</f>
        <v>3.8104394006558788E-2</v>
      </c>
      <c r="BW245" s="502">
        <f>((0.5*(BW243/BR243-1))+(0.5*(BW244/BR244-1)))*$BL$181</f>
        <v>3.8983892652700566E-2</v>
      </c>
      <c r="BX245" s="502">
        <f>((0.5*(BX243/BS243-1))+(0.5*(BX244/BS244-1)))*$BL$181</f>
        <v>5.4888885473890698E-3</v>
      </c>
      <c r="BY245" s="502">
        <f>((0.5*(BY243/BT243-1))+(0.5*(BY244/BT244-1)))*$BL$181</f>
        <v>-4.0493082120230785E-3</v>
      </c>
      <c r="BZ245" s="502">
        <f>((0.5*(BZ243/BU243-1))+(0.5*(BZ244/BU244-1)))*$BL$181</f>
        <v>-6.6353833348825565E-3</v>
      </c>
      <c r="CB245" s="502">
        <f>((0.5*(CB243/BW243-1))+(0.5*(CB244/BW244-1)))*$BL$181</f>
        <v>-1.8066923472086893E-3</v>
      </c>
      <c r="CC245" s="502">
        <f>((0.5*(CC243/BX243-1))+(0.5*(CC244/BX244-1)))*$BL$181</f>
        <v>-1.8066923472086893E-3</v>
      </c>
      <c r="CD245" s="502">
        <f>((0.5*(CD243/BY243-1))+(0.5*(CD244/BY244-1)))*$BL$181</f>
        <v>-1.8066923472086893E-3</v>
      </c>
      <c r="CE245" s="502">
        <f>((0.5*(CE243/BZ243-1))+(0.5*(CE244/BZ244-1)))*$BL$181</f>
        <v>-1.8066923472086893E-3</v>
      </c>
    </row>
    <row r="246" spans="2:83" s="133" customFormat="1" x14ac:dyDescent="0.35">
      <c r="B246" s="133" t="s">
        <v>382</v>
      </c>
      <c r="AS246" s="502">
        <f t="shared" ref="AS246:BQ246" si="256">AS35</f>
        <v>-0.01</v>
      </c>
      <c r="AT246" s="502">
        <f t="shared" si="256"/>
        <v>-0.01</v>
      </c>
      <c r="AU246" s="502">
        <f t="shared" si="256"/>
        <v>0</v>
      </c>
      <c r="AV246" s="502">
        <f t="shared" si="256"/>
        <v>0.02</v>
      </c>
      <c r="AW246" s="502">
        <f t="shared" si="256"/>
        <v>1.0956140655977166E-4</v>
      </c>
      <c r="AX246" s="502">
        <f t="shared" si="256"/>
        <v>0.03</v>
      </c>
      <c r="AY246" s="502">
        <f t="shared" si="256"/>
        <v>0.02</v>
      </c>
      <c r="AZ246" s="502">
        <f t="shared" si="256"/>
        <v>2E-3</v>
      </c>
      <c r="BA246" s="502">
        <f t="shared" si="256"/>
        <v>0</v>
      </c>
      <c r="BB246" s="502">
        <f t="shared" si="256"/>
        <v>1.3435601458080194E-2</v>
      </c>
      <c r="BC246" s="502">
        <f t="shared" si="256"/>
        <v>-0.01</v>
      </c>
      <c r="BD246" s="502">
        <f t="shared" si="256"/>
        <v>-2.0408163265306121E-2</v>
      </c>
      <c r="BE246" s="502">
        <f t="shared" si="256"/>
        <v>-2.8108108108108109E-2</v>
      </c>
      <c r="BF246" s="502">
        <f t="shared" si="256"/>
        <v>-2.1814006888633754E-2</v>
      </c>
      <c r="BG246" s="502">
        <f t="shared" si="256"/>
        <v>-1.9769150052465895E-2</v>
      </c>
      <c r="BH246" s="502">
        <f t="shared" si="256"/>
        <v>-1.2091898428053204E-2</v>
      </c>
      <c r="BI246" s="502">
        <f t="shared" si="256"/>
        <v>0</v>
      </c>
      <c r="BJ246" s="502">
        <f t="shared" si="256"/>
        <v>0</v>
      </c>
      <c r="BK246" s="502">
        <f t="shared" si="256"/>
        <v>1.5625E-2</v>
      </c>
      <c r="BL246" s="502">
        <f t="shared" si="256"/>
        <v>-3.7050759540570581E-4</v>
      </c>
      <c r="BM246" s="502">
        <f t="shared" si="256"/>
        <v>1.364256480218281E-3</v>
      </c>
      <c r="BN246" s="502">
        <f t="shared" si="256"/>
        <v>-6.6934404283801874E-3</v>
      </c>
      <c r="BO246" s="502">
        <f t="shared" si="256"/>
        <v>4.3103448275862068E-3</v>
      </c>
      <c r="BP246" s="502">
        <f t="shared" si="256"/>
        <v>-5.8479532163742687E-3</v>
      </c>
      <c r="BQ246" s="502">
        <f t="shared" si="256"/>
        <v>-1.7482517482517483E-3</v>
      </c>
      <c r="BR246" s="502">
        <f>BR35</f>
        <v>-6.0790273556231003E-3</v>
      </c>
      <c r="BS246" s="502">
        <f>BS35</f>
        <v>1.1822660098522168E-2</v>
      </c>
      <c r="BT246" s="502">
        <f ca="1">BT35</f>
        <v>1.0183299389002037E-2</v>
      </c>
      <c r="BU246" s="502">
        <f>BU245*BU247</f>
        <v>1.5241757602623515E-2</v>
      </c>
      <c r="BW246" s="502">
        <f>BW245*BW247</f>
        <v>1.9491946326350283E-2</v>
      </c>
      <c r="BX246" s="502">
        <f>BX245*BX247</f>
        <v>2.7444442736945349E-3</v>
      </c>
      <c r="BY246" s="502">
        <f>BY245*BY247</f>
        <v>-2.0246541060115393E-3</v>
      </c>
      <c r="BZ246" s="502">
        <f>BZ245*BZ247</f>
        <v>-3.3176916674412782E-3</v>
      </c>
      <c r="CB246" s="502">
        <f>CB245*CB247</f>
        <v>-9.0334617360434463E-4</v>
      </c>
      <c r="CC246" s="502">
        <f>CC245*CC247</f>
        <v>-9.0334617360434463E-4</v>
      </c>
      <c r="CD246" s="502">
        <f>CD245*CD247</f>
        <v>-9.0334617360434463E-4</v>
      </c>
      <c r="CE246" s="502">
        <f>CE245*CE247</f>
        <v>-9.0334617360434463E-4</v>
      </c>
    </row>
    <row r="247" spans="2:83" s="133" customFormat="1" x14ac:dyDescent="0.35">
      <c r="B247" s="477" t="s">
        <v>383</v>
      </c>
      <c r="AS247" s="501">
        <f t="shared" ref="AS247:BI247" si="257">AS246/AS245</f>
        <v>0.93218474235872728</v>
      </c>
      <c r="AT247" s="501">
        <f t="shared" si="257"/>
        <v>0.78552387870479079</v>
      </c>
      <c r="AU247" s="501">
        <f t="shared" si="257"/>
        <v>0</v>
      </c>
      <c r="AV247" s="501">
        <f t="shared" si="257"/>
        <v>0.7920510438179974</v>
      </c>
      <c r="AW247" s="501">
        <f t="shared" si="257"/>
        <v>1.6316066180059322E-2</v>
      </c>
      <c r="AX247" s="501">
        <f t="shared" si="257"/>
        <v>0.78889504194093563</v>
      </c>
      <c r="AY247" s="501">
        <f t="shared" si="257"/>
        <v>0.43537147611018423</v>
      </c>
      <c r="AZ247" s="501">
        <f t="shared" si="257"/>
        <v>0.11581460993345118</v>
      </c>
      <c r="BA247" s="501">
        <f t="shared" si="257"/>
        <v>0</v>
      </c>
      <c r="BB247" s="501">
        <f t="shared" si="257"/>
        <v>0.54802460753761606</v>
      </c>
      <c r="BC247" s="501">
        <f t="shared" si="257"/>
        <v>0.46225153730150209</v>
      </c>
      <c r="BD247" s="501">
        <f t="shared" si="257"/>
        <v>0.40260636646005832</v>
      </c>
      <c r="BE247" s="501">
        <f t="shared" si="257"/>
        <v>0.44405260991752432</v>
      </c>
      <c r="BF247" s="501">
        <f t="shared" si="257"/>
        <v>0.38929030448465862</v>
      </c>
      <c r="BG247" s="501">
        <f t="shared" si="257"/>
        <v>0.41505065315390199</v>
      </c>
      <c r="BH247" s="501">
        <f t="shared" si="257"/>
        <v>0.40734247360487952</v>
      </c>
      <c r="BI247" s="501">
        <f t="shared" si="257"/>
        <v>0</v>
      </c>
      <c r="BJ247" s="501">
        <f t="shared" ref="BJ247:BP247" si="258">BJ246/BJ245</f>
        <v>0</v>
      </c>
      <c r="BK247" s="501">
        <f t="shared" si="258"/>
        <v>0.54779631478645774</v>
      </c>
      <c r="BL247" s="501">
        <f t="shared" si="258"/>
        <v>-4.4423945084291372E-2</v>
      </c>
      <c r="BM247" s="501">
        <f t="shared" si="258"/>
        <v>0.10265057245891102</v>
      </c>
      <c r="BN247" s="501">
        <f t="shared" si="258"/>
        <v>8.6782429048946188</v>
      </c>
      <c r="BO247" s="501">
        <f t="shared" si="258"/>
        <v>0.48440308882148181</v>
      </c>
      <c r="BP247" s="501">
        <f t="shared" si="258"/>
        <v>-1.0135328336533469</v>
      </c>
      <c r="BQ247" s="501">
        <f>BQ246/BQ245</f>
        <v>-0.25842381179573198</v>
      </c>
      <c r="BR247" s="501">
        <f>BR246/BR245</f>
        <v>0.67752084348403452</v>
      </c>
      <c r="BS247" s="501">
        <f>BS246/BS245</f>
        <v>0.44112179347106678</v>
      </c>
      <c r="BT247" s="501">
        <f ca="1">BT246/BT245</f>
        <v>0.42126804364845938</v>
      </c>
      <c r="BU247" s="611">
        <v>0.4</v>
      </c>
      <c r="BW247" s="611">
        <v>0.5</v>
      </c>
      <c r="BX247" s="611">
        <v>0.5</v>
      </c>
      <c r="BY247" s="611">
        <v>0.5</v>
      </c>
      <c r="BZ247" s="611">
        <v>0.5</v>
      </c>
      <c r="CB247" s="611">
        <v>0.5</v>
      </c>
      <c r="CC247" s="611">
        <v>0.5</v>
      </c>
      <c r="CD247" s="611">
        <v>0.5</v>
      </c>
      <c r="CE247" s="611">
        <v>0.5</v>
      </c>
    </row>
    <row r="248" spans="2:83" s="133" customFormat="1" x14ac:dyDescent="0.35">
      <c r="B248" s="133" t="s">
        <v>384</v>
      </c>
      <c r="AS248" s="502">
        <f>AS99</f>
        <v>-0.01</v>
      </c>
      <c r="AT248" s="502">
        <f>AT99</f>
        <v>-0.02</v>
      </c>
      <c r="AU248" s="502">
        <f>AU99</f>
        <v>1.619761085239927E-2</v>
      </c>
      <c r="AV248" s="502">
        <f>AV99</f>
        <v>0.02</v>
      </c>
      <c r="AW248" s="502">
        <f>SUMPRODUCT(AS248:AV248,AN95:AQ95)/AR95</f>
        <v>2.0654009518448388E-3</v>
      </c>
      <c r="AX248" s="502">
        <f>AX99</f>
        <v>0.04</v>
      </c>
      <c r="AY248" s="502">
        <f>AY99</f>
        <v>0.05</v>
      </c>
      <c r="AZ248" s="502">
        <f>AZ99</f>
        <v>0.01</v>
      </c>
      <c r="BA248" s="502">
        <f>BA99</f>
        <v>-0.01</v>
      </c>
      <c r="BB248" s="502">
        <f>SUMPRODUCT(AX248:BA248,AS95:AV95)/AW95</f>
        <v>2.1380471380471382E-2</v>
      </c>
      <c r="BC248" s="502">
        <f>BC99</f>
        <v>-2.3049645390070921E-2</v>
      </c>
      <c r="BD248" s="502">
        <f>BD99</f>
        <v>-4.712041884816754E-2</v>
      </c>
      <c r="BE248" s="502">
        <f>BE99</f>
        <v>-6.8219633943427616E-2</v>
      </c>
      <c r="BF248" s="502">
        <f>BF99</f>
        <v>-4.790419161676647E-2</v>
      </c>
      <c r="BG248" s="502">
        <f>SUMPRODUCT(BC248:BF248,AX95:BA95)/BB95</f>
        <v>-4.6965918536990857E-2</v>
      </c>
      <c r="BH248" s="502">
        <f>BH99</f>
        <v>-2.5899280575539568E-2</v>
      </c>
      <c r="BI248" s="502">
        <f>BI99</f>
        <v>3.0000000000000001E-3</v>
      </c>
      <c r="BJ248" s="502">
        <f>BJ99</f>
        <v>2.4817518248175182E-2</v>
      </c>
      <c r="BK248" s="502">
        <f>BK99</f>
        <v>1.680672268907563E-2</v>
      </c>
      <c r="BL248" s="502">
        <f>SUMPRODUCT(BH248:BK248,BC95:BF95)/BG95</f>
        <v>4.7038642109064645E-3</v>
      </c>
      <c r="BM248" s="502">
        <f>BM99</f>
        <v>2.7137042062415195E-3</v>
      </c>
      <c r="BN248" s="502">
        <f>BN99</f>
        <v>-2.6773761713520749E-3</v>
      </c>
      <c r="BO248" s="502">
        <f>BO99</f>
        <v>6.4432989690721646E-3</v>
      </c>
      <c r="BP248" s="502">
        <f>BP99</f>
        <v>0</v>
      </c>
      <c r="BQ248" s="502">
        <f>SUMPRODUCT(BM248:BP248,BH95:BK95)/BL95</f>
        <v>1.6361256544502618E-3</v>
      </c>
      <c r="BR248" s="502">
        <f>BR99</f>
        <v>-1.0012515644555695E-2</v>
      </c>
      <c r="BS248" s="502">
        <f>BS99</f>
        <v>1.8703241895261846E-2</v>
      </c>
      <c r="BT248" s="502">
        <f>BT99</f>
        <v>1.684717208182912E-2</v>
      </c>
      <c r="BU248" s="502">
        <f>BU$245*BU249</f>
        <v>2.8578295504919089E-2</v>
      </c>
      <c r="BW248" s="502">
        <f>BW$245*BW249</f>
        <v>2.9237919489525425E-2</v>
      </c>
      <c r="BX248" s="502">
        <f>BX$245*BX249</f>
        <v>4.1166664105418025E-3</v>
      </c>
      <c r="BY248" s="502">
        <f>BY$245*BY249</f>
        <v>-3.0369811590173091E-3</v>
      </c>
      <c r="BZ248" s="502">
        <f>BZ$245*BZ249</f>
        <v>-4.9765375011619171E-3</v>
      </c>
      <c r="CB248" s="502">
        <f>CB$245*CB249</f>
        <v>-4.5167308680217231E-4</v>
      </c>
      <c r="CC248" s="502">
        <f>CC$245*CC249</f>
        <v>-4.5167308680217231E-4</v>
      </c>
      <c r="CD248" s="502">
        <f>CD$245*CD249</f>
        <v>-4.5167308680217231E-4</v>
      </c>
      <c r="CE248" s="502">
        <f>CE$245*CE249</f>
        <v>-4.5167308680217231E-4</v>
      </c>
    </row>
    <row r="249" spans="2:83" s="133" customFormat="1" x14ac:dyDescent="0.35">
      <c r="B249" s="477" t="s">
        <v>383</v>
      </c>
      <c r="AS249" s="501">
        <f t="shared" ref="AS249:BI249" si="259">AS248/AS245</f>
        <v>0.93218474235872728</v>
      </c>
      <c r="AT249" s="501">
        <f t="shared" si="259"/>
        <v>1.5710477574095816</v>
      </c>
      <c r="AU249" s="501">
        <f t="shared" si="259"/>
        <v>0.69298966664614481</v>
      </c>
      <c r="AV249" s="501">
        <f t="shared" si="259"/>
        <v>0.7920510438179974</v>
      </c>
      <c r="AW249" s="501">
        <f t="shared" si="259"/>
        <v>0.30758293158889999</v>
      </c>
      <c r="AX249" s="501">
        <f t="shared" si="259"/>
        <v>1.0518600559212474</v>
      </c>
      <c r="AY249" s="501">
        <f t="shared" si="259"/>
        <v>1.0884286902754605</v>
      </c>
      <c r="AZ249" s="501">
        <f t="shared" si="259"/>
        <v>0.57907304966725592</v>
      </c>
      <c r="BA249" s="501">
        <f t="shared" si="259"/>
        <v>1.9208675400898501</v>
      </c>
      <c r="BB249" s="501">
        <f t="shared" si="259"/>
        <v>0.87208782381717809</v>
      </c>
      <c r="BC249" s="501">
        <f t="shared" si="259"/>
        <v>1.0654734015814764</v>
      </c>
      <c r="BD249" s="501">
        <f t="shared" si="259"/>
        <v>0.92957805030830221</v>
      </c>
      <c r="BE249" s="501">
        <f t="shared" si="259"/>
        <v>1.077735519718553</v>
      </c>
      <c r="BF249" s="501">
        <f t="shared" si="259"/>
        <v>0.85489279598143753</v>
      </c>
      <c r="BG249" s="501">
        <f t="shared" si="259"/>
        <v>0.98604315881144977</v>
      </c>
      <c r="BH249" s="501">
        <f t="shared" si="259"/>
        <v>0.8724748290765808</v>
      </c>
      <c r="BI249" s="501">
        <f t="shared" si="259"/>
        <v>0.64542710099321388</v>
      </c>
      <c r="BJ249" s="501">
        <f t="shared" ref="BJ249:BP249" si="260">BJ248/BJ245</f>
        <v>0.66516356561689483</v>
      </c>
      <c r="BK249" s="501">
        <f t="shared" si="260"/>
        <v>0.58922628817366884</v>
      </c>
      <c r="BL249" s="501">
        <f t="shared" si="260"/>
        <v>0.56399439034564602</v>
      </c>
      <c r="BM249" s="501">
        <f t="shared" si="260"/>
        <v>0.20418689175680263</v>
      </c>
      <c r="BN249" s="501">
        <f t="shared" si="260"/>
        <v>3.4712971619578474</v>
      </c>
      <c r="BO249" s="501">
        <f t="shared" si="260"/>
        <v>0.72410771009396757</v>
      </c>
      <c r="BP249" s="501">
        <f t="shared" si="260"/>
        <v>0</v>
      </c>
      <c r="BQ249" s="501">
        <f>BQ248/BQ245</f>
        <v>0.24184950973029889</v>
      </c>
      <c r="BR249" s="501">
        <f>BR248/BR245</f>
        <v>1.1159166833854686</v>
      </c>
      <c r="BS249" s="501">
        <f>BS248/BS245</f>
        <v>0.69784697689079289</v>
      </c>
      <c r="BT249" s="501">
        <f>BT248/BT245</f>
        <v>0.69694260698905164</v>
      </c>
      <c r="BU249" s="611">
        <v>0.75</v>
      </c>
      <c r="BW249" s="611">
        <v>0.75</v>
      </c>
      <c r="BX249" s="611">
        <v>0.75</v>
      </c>
      <c r="BY249" s="611">
        <v>0.75</v>
      </c>
      <c r="BZ249" s="611">
        <v>0.75</v>
      </c>
      <c r="CB249" s="611">
        <v>0.25</v>
      </c>
      <c r="CC249" s="611">
        <v>0.25</v>
      </c>
      <c r="CD249" s="611">
        <v>0.25</v>
      </c>
      <c r="CE249" s="611">
        <v>0.25</v>
      </c>
    </row>
    <row r="250" spans="2:83" customFormat="1" x14ac:dyDescent="0.35"/>
    <row r="251" spans="2:83" customFormat="1" x14ac:dyDescent="0.35"/>
    <row r="252" spans="2:83" customFormat="1" x14ac:dyDescent="0.35"/>
    <row r="253" spans="2:83" customFormat="1" x14ac:dyDescent="0.35"/>
    <row r="254" spans="2:83" customFormat="1" x14ac:dyDescent="0.35"/>
    <row r="255" spans="2:83" customFormat="1" x14ac:dyDescent="0.35"/>
    <row r="256" spans="2:83"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sheetData>
  <pageMargins left="0.1" right="0.1" top="0.1" bottom="0.1" header="0.1" footer="0.1"/>
  <pageSetup scale="39" fitToHeight="0" orientation="landscape" r:id="rId1"/>
  <rowBreaks count="2" manualBreakCount="2">
    <brk id="120" max="16383" man="1"/>
    <brk id="188" max="6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A207"/>
  <sheetViews>
    <sheetView showGridLines="0" view="pageBreakPreview" zoomScaleNormal="70" zoomScaleSheetLayoutView="100" workbookViewId="0">
      <pane xSplit="8" ySplit="7" topLeftCell="BH8" activePane="bottomRight" state="frozen"/>
      <selection pane="topRight" activeCell="I1" sqref="I1"/>
      <selection pane="bottomLeft" activeCell="A8" sqref="A8"/>
      <selection pane="bottomRight" activeCell="BT11" sqref="BT11"/>
    </sheetView>
  </sheetViews>
  <sheetFormatPr defaultColWidth="9.1328125" defaultRowHeight="12.75" outlineLevelRow="1" outlineLevelCol="1" x14ac:dyDescent="0.35"/>
  <cols>
    <col min="1" max="1" width="1.73046875" style="2" customWidth="1"/>
    <col min="2" max="2" width="36.3984375" style="2" customWidth="1"/>
    <col min="3" max="3" width="15.73046875" style="2" customWidth="1"/>
    <col min="4" max="4" width="9.73046875" style="2" customWidth="1"/>
    <col min="5" max="8" width="9.73046875" style="2" customWidth="1" outlineLevel="1"/>
    <col min="9" max="9" width="9.73046875" style="2" customWidth="1" outlineLevel="1" collapsed="1"/>
    <col min="10" max="23" width="9.73046875" style="2" customWidth="1" outlineLevel="1"/>
    <col min="24" max="24" width="9.73046875" style="2" customWidth="1" outlineLevel="1" collapsed="1"/>
    <col min="25" max="28" width="9.73046875" style="2" customWidth="1" outlineLevel="1"/>
    <col min="29" max="29" width="9.73046875" style="2" customWidth="1"/>
    <col min="30" max="33" width="9.73046875" style="2" customWidth="1" outlineLevel="1"/>
    <col min="34" max="34" width="9.73046875" style="2" customWidth="1"/>
    <col min="35" max="38" width="9.73046875" style="2" customWidth="1" outlineLevel="1"/>
    <col min="39" max="39" width="9.73046875" style="2" customWidth="1"/>
    <col min="40" max="43" width="9.73046875" style="2" customWidth="1" outlineLevel="1"/>
    <col min="44" max="44" width="9.73046875" style="2" customWidth="1"/>
    <col min="45" max="47" width="9.73046875" style="133" customWidth="1" outlineLevel="1"/>
    <col min="48" max="48" width="10.3984375" style="133" customWidth="1" outlineLevel="1"/>
    <col min="49" max="49" width="9.73046875" style="133" customWidth="1"/>
    <col min="50" max="50" width="10.3984375" style="133" customWidth="1" outlineLevel="1"/>
    <col min="51" max="53" width="9.73046875" style="133" customWidth="1" outlineLevel="1"/>
    <col min="54" max="54" width="9.73046875" style="133" customWidth="1"/>
    <col min="55" max="58" width="9.73046875" style="133" customWidth="1" outlineLevel="1"/>
    <col min="59" max="59" width="9.73046875" style="133" customWidth="1"/>
    <col min="60" max="63" width="9.73046875" style="133" customWidth="1" outlineLevel="1"/>
    <col min="64" max="64" width="9.73046875" style="133" customWidth="1"/>
    <col min="65" max="68" width="9.73046875" style="133" customWidth="1" outlineLevel="1"/>
    <col min="69" max="69" width="9.73046875" style="133" customWidth="1"/>
    <col min="70" max="73" width="9.73046875" style="133" customWidth="1" outlineLevel="1"/>
    <col min="74" max="74" width="9.73046875" style="133" customWidth="1"/>
    <col min="75" max="78" width="9.73046875" style="133" customWidth="1" outlineLevel="1"/>
    <col min="79" max="80" width="9.73046875" style="133" customWidth="1"/>
    <col min="81" max="81" width="10.86328125" style="133" bestFit="1" customWidth="1"/>
    <col min="82" max="82" width="13.86328125" style="133" bestFit="1" customWidth="1"/>
    <col min="83" max="196" width="9.73046875" style="133" customWidth="1"/>
    <col min="197" max="16384" width="9.1328125" style="133"/>
  </cols>
  <sheetData>
    <row r="1" spans="1:79" hidden="1" outlineLevel="1" x14ac:dyDescent="0.35">
      <c r="N1" s="3" t="s">
        <v>0</v>
      </c>
      <c r="O1" s="3"/>
      <c r="P1" s="3"/>
      <c r="Q1" s="3"/>
      <c r="R1" s="3"/>
      <c r="S1" s="3" t="s">
        <v>5</v>
      </c>
      <c r="T1" s="3" t="s">
        <v>1</v>
      </c>
      <c r="U1" s="3" t="s">
        <v>2</v>
      </c>
      <c r="V1" s="3" t="s">
        <v>3</v>
      </c>
      <c r="W1" s="3" t="s">
        <v>4</v>
      </c>
      <c r="X1" s="3" t="s">
        <v>6</v>
      </c>
      <c r="Y1" s="3" t="s">
        <v>1</v>
      </c>
      <c r="Z1" s="3" t="s">
        <v>2</v>
      </c>
      <c r="AA1" s="3" t="s">
        <v>3</v>
      </c>
      <c r="AB1" s="3" t="s">
        <v>4</v>
      </c>
      <c r="AC1" s="3" t="s">
        <v>7</v>
      </c>
      <c r="AD1" s="3" t="s">
        <v>1</v>
      </c>
      <c r="AE1" s="3" t="s">
        <v>2</v>
      </c>
      <c r="AF1" s="3" t="s">
        <v>3</v>
      </c>
      <c r="AG1" s="3" t="s">
        <v>4</v>
      </c>
      <c r="AH1" s="3" t="s">
        <v>45</v>
      </c>
      <c r="AI1" s="3" t="s">
        <v>1</v>
      </c>
      <c r="AJ1" s="3" t="s">
        <v>2</v>
      </c>
      <c r="AK1" s="3" t="s">
        <v>3</v>
      </c>
      <c r="AL1" s="3" t="s">
        <v>4</v>
      </c>
      <c r="AM1" s="3" t="s">
        <v>46</v>
      </c>
      <c r="AN1" s="3" t="s">
        <v>1</v>
      </c>
      <c r="AO1" s="3" t="s">
        <v>2</v>
      </c>
      <c r="AP1" s="3" t="s">
        <v>3</v>
      </c>
      <c r="AQ1" s="3" t="s">
        <v>4</v>
      </c>
      <c r="AR1" s="3" t="s">
        <v>47</v>
      </c>
    </row>
    <row r="2" spans="1:79" ht="12.75" customHeight="1" collapsed="1" x14ac:dyDescent="0.35">
      <c r="B2" s="127"/>
      <c r="C2" s="4"/>
      <c r="D2" s="4"/>
      <c r="E2" s="4"/>
      <c r="F2" s="4"/>
      <c r="G2" s="4"/>
      <c r="H2" s="4"/>
      <c r="I2" s="4"/>
      <c r="J2" s="4"/>
      <c r="K2" s="4"/>
      <c r="L2" s="4"/>
      <c r="M2" s="4"/>
      <c r="N2" s="5"/>
      <c r="O2" s="5"/>
      <c r="P2" s="5"/>
      <c r="Q2" s="5"/>
      <c r="R2" s="5"/>
      <c r="S2" s="5"/>
      <c r="T2" s="5"/>
      <c r="X2" s="5"/>
      <c r="Y2" s="5"/>
      <c r="AC2" s="6"/>
      <c r="AD2" s="6"/>
      <c r="AE2" s="6"/>
      <c r="AF2" s="6"/>
      <c r="AG2" s="6"/>
      <c r="AH2" s="6"/>
    </row>
    <row r="3" spans="1:79" ht="20.100000000000001" customHeight="1" x14ac:dyDescent="0.35">
      <c r="B3" s="7" t="s">
        <v>369</v>
      </c>
      <c r="C3" s="7"/>
      <c r="D3" s="7"/>
      <c r="E3" s="7"/>
      <c r="F3" s="7"/>
      <c r="G3" s="7"/>
      <c r="H3" s="7"/>
      <c r="I3" s="7"/>
      <c r="J3" s="7"/>
      <c r="K3" s="7"/>
      <c r="L3" s="7"/>
      <c r="M3" s="7"/>
      <c r="S3" s="133"/>
      <c r="T3" s="8"/>
      <c r="U3" s="133"/>
      <c r="V3" s="133"/>
      <c r="W3" s="133"/>
      <c r="X3" s="133"/>
      <c r="Y3" s="133"/>
      <c r="AA3" s="9"/>
      <c r="AB3" s="9"/>
      <c r="AC3" s="3"/>
      <c r="AD3" s="3"/>
      <c r="AE3" s="3"/>
      <c r="AF3" s="3"/>
      <c r="AG3" s="3"/>
      <c r="AH3" s="3"/>
      <c r="AK3" s="10"/>
      <c r="AL3" s="10"/>
      <c r="AM3" s="10"/>
    </row>
    <row r="4" spans="1:79" ht="12.75" customHeight="1" x14ac:dyDescent="0.35">
      <c r="B4" s="11" t="s">
        <v>8</v>
      </c>
      <c r="C4" s="11"/>
      <c r="D4" s="11"/>
      <c r="E4" s="11"/>
      <c r="F4" s="11"/>
      <c r="G4" s="11"/>
      <c r="H4" s="11"/>
      <c r="I4" s="11"/>
      <c r="J4" s="11"/>
      <c r="K4" s="11"/>
      <c r="L4" s="11"/>
      <c r="M4" s="11"/>
      <c r="S4" s="196"/>
      <c r="T4" s="13"/>
      <c r="U4" s="133"/>
      <c r="V4" s="133"/>
      <c r="W4" s="133"/>
      <c r="X4" s="133"/>
      <c r="Y4" s="133"/>
      <c r="AA4" s="14"/>
      <c r="AB4" s="15"/>
      <c r="AC4" s="16"/>
      <c r="AD4" s="16"/>
      <c r="AE4" s="16"/>
      <c r="AF4" s="16"/>
      <c r="AG4" s="16"/>
      <c r="AH4" s="16"/>
      <c r="AL4" s="17"/>
      <c r="AM4" s="453"/>
      <c r="AN4" s="17"/>
      <c r="AO4" s="17"/>
      <c r="AW4" s="461"/>
    </row>
    <row r="5" spans="1:79" x14ac:dyDescent="0.35">
      <c r="B5" s="18" t="s">
        <v>9</v>
      </c>
      <c r="C5" s="18"/>
      <c r="D5" s="18"/>
      <c r="E5" s="18"/>
      <c r="F5" s="18"/>
      <c r="G5" s="18"/>
      <c r="H5" s="18"/>
      <c r="I5" s="18"/>
      <c r="J5" s="18"/>
      <c r="K5" s="18"/>
      <c r="L5" s="18"/>
      <c r="M5" s="18"/>
      <c r="S5" s="133"/>
      <c r="T5" s="19"/>
      <c r="U5" s="133"/>
      <c r="V5" s="133"/>
      <c r="W5" s="133"/>
      <c r="X5" s="133"/>
      <c r="Y5" s="133"/>
      <c r="AB5" s="20"/>
      <c r="AC5" s="21"/>
      <c r="AD5" s="22"/>
      <c r="AE5" s="22"/>
      <c r="AF5" s="22"/>
      <c r="AG5" s="22"/>
      <c r="AH5" s="22"/>
      <c r="AL5" s="23"/>
      <c r="AM5" s="23"/>
      <c r="AN5" s="23"/>
      <c r="AO5" s="23"/>
    </row>
    <row r="6" spans="1:79" x14ac:dyDescent="0.35">
      <c r="B6" s="130"/>
      <c r="C6" s="38"/>
      <c r="E6" s="26" t="s">
        <v>13</v>
      </c>
      <c r="F6" s="26"/>
      <c r="G6" s="27"/>
      <c r="H6" s="27"/>
      <c r="I6" s="25"/>
      <c r="J6" s="26" t="s">
        <v>14</v>
      </c>
      <c r="K6" s="26"/>
      <c r="L6" s="27"/>
      <c r="M6" s="27"/>
      <c r="N6" s="25"/>
      <c r="O6" s="26" t="s">
        <v>10</v>
      </c>
      <c r="P6" s="26"/>
      <c r="Q6" s="27"/>
      <c r="R6" s="27"/>
      <c r="S6" s="25"/>
      <c r="T6" s="26" t="s">
        <v>11</v>
      </c>
      <c r="U6" s="26"/>
      <c r="V6" s="27"/>
      <c r="W6" s="27"/>
      <c r="X6" s="25"/>
      <c r="Y6" s="26" t="s">
        <v>12</v>
      </c>
      <c r="Z6" s="26"/>
      <c r="AA6" s="27"/>
      <c r="AB6" s="27"/>
      <c r="AC6" s="25"/>
      <c r="AD6" s="26" t="s">
        <v>53</v>
      </c>
      <c r="AE6" s="26"/>
      <c r="AF6" s="27"/>
      <c r="AG6" s="27"/>
      <c r="AH6" s="25"/>
      <c r="AI6" s="26" t="s">
        <v>281</v>
      </c>
      <c r="AJ6" s="26"/>
      <c r="AK6" s="27"/>
      <c r="AL6" s="27"/>
      <c r="AM6" s="25"/>
      <c r="AN6" s="26" t="s">
        <v>319</v>
      </c>
      <c r="AO6" s="26"/>
      <c r="AP6" s="27"/>
      <c r="AQ6" s="27"/>
      <c r="AR6" s="25"/>
      <c r="AS6" s="26" t="s">
        <v>371</v>
      </c>
      <c r="AT6" s="26"/>
      <c r="AU6" s="27"/>
      <c r="AV6" s="27"/>
      <c r="AW6" s="25"/>
      <c r="AX6" s="26" t="s">
        <v>469</v>
      </c>
      <c r="AY6" s="26"/>
      <c r="AZ6" s="27"/>
      <c r="BA6" s="27"/>
      <c r="BB6" s="25"/>
      <c r="BC6" s="26" t="s">
        <v>489</v>
      </c>
      <c r="BD6" s="26"/>
      <c r="BE6" s="27"/>
      <c r="BF6" s="27"/>
      <c r="BG6" s="25"/>
      <c r="BH6" s="26" t="s">
        <v>508</v>
      </c>
      <c r="BI6" s="26"/>
      <c r="BJ6" s="27"/>
      <c r="BK6" s="27"/>
      <c r="BL6" s="25"/>
      <c r="BM6" s="26" t="s">
        <v>477</v>
      </c>
      <c r="BN6" s="26"/>
      <c r="BO6" s="27"/>
      <c r="BP6" s="27"/>
      <c r="BQ6" s="25"/>
      <c r="BR6" s="26" t="s">
        <v>493</v>
      </c>
      <c r="BS6" s="26"/>
      <c r="BT6" s="27"/>
      <c r="BU6" s="27"/>
      <c r="BV6" s="25"/>
      <c r="BW6" s="26" t="s">
        <v>513</v>
      </c>
      <c r="BX6" s="26"/>
      <c r="BY6" s="27"/>
      <c r="BZ6" s="27"/>
      <c r="CA6" s="25"/>
    </row>
    <row r="7" spans="1:79" x14ac:dyDescent="0.35">
      <c r="B7" s="131"/>
      <c r="C7" s="28"/>
      <c r="D7" s="28"/>
      <c r="E7" s="30" t="s">
        <v>109</v>
      </c>
      <c r="F7" s="31" t="s">
        <v>110</v>
      </c>
      <c r="G7" s="31" t="s">
        <v>111</v>
      </c>
      <c r="H7" s="30" t="s">
        <v>112</v>
      </c>
      <c r="I7" s="29" t="s">
        <v>13</v>
      </c>
      <c r="J7" s="30" t="s">
        <v>113</v>
      </c>
      <c r="K7" s="31" t="s">
        <v>114</v>
      </c>
      <c r="L7" s="31" t="s">
        <v>115</v>
      </c>
      <c r="M7" s="30" t="s">
        <v>116</v>
      </c>
      <c r="N7" s="29" t="s">
        <v>14</v>
      </c>
      <c r="O7" s="30" t="s">
        <v>117</v>
      </c>
      <c r="P7" s="31" t="s">
        <v>118</v>
      </c>
      <c r="Q7" s="31" t="s">
        <v>119</v>
      </c>
      <c r="R7" s="30" t="s">
        <v>120</v>
      </c>
      <c r="S7" s="29" t="s">
        <v>10</v>
      </c>
      <c r="T7" s="30" t="s">
        <v>15</v>
      </c>
      <c r="U7" s="31" t="s">
        <v>16</v>
      </c>
      <c r="V7" s="31" t="s">
        <v>17</v>
      </c>
      <c r="W7" s="30" t="s">
        <v>18</v>
      </c>
      <c r="X7" s="29" t="s">
        <v>11</v>
      </c>
      <c r="Y7" s="30" t="s">
        <v>19</v>
      </c>
      <c r="Z7" s="31" t="s">
        <v>20</v>
      </c>
      <c r="AA7" s="31" t="s">
        <v>21</v>
      </c>
      <c r="AB7" s="30" t="s">
        <v>22</v>
      </c>
      <c r="AC7" s="29" t="s">
        <v>12</v>
      </c>
      <c r="AD7" s="30" t="s">
        <v>23</v>
      </c>
      <c r="AE7" s="31" t="s">
        <v>48</v>
      </c>
      <c r="AF7" s="31" t="s">
        <v>52</v>
      </c>
      <c r="AG7" s="30" t="s">
        <v>95</v>
      </c>
      <c r="AH7" s="29" t="s">
        <v>53</v>
      </c>
      <c r="AI7" s="30" t="s">
        <v>169</v>
      </c>
      <c r="AJ7" s="31" t="s">
        <v>269</v>
      </c>
      <c r="AK7" s="31" t="s">
        <v>274</v>
      </c>
      <c r="AL7" s="30" t="s">
        <v>280</v>
      </c>
      <c r="AM7" s="29" t="s">
        <v>281</v>
      </c>
      <c r="AN7" s="30" t="s">
        <v>293</v>
      </c>
      <c r="AO7" s="31" t="s">
        <v>305</v>
      </c>
      <c r="AP7" s="31" t="s">
        <v>312</v>
      </c>
      <c r="AQ7" s="30" t="s">
        <v>318</v>
      </c>
      <c r="AR7" s="29" t="s">
        <v>319</v>
      </c>
      <c r="AS7" s="30" t="s">
        <v>327</v>
      </c>
      <c r="AT7" s="31" t="s">
        <v>335</v>
      </c>
      <c r="AU7" s="31" t="s">
        <v>343</v>
      </c>
      <c r="AV7" s="30" t="s">
        <v>370</v>
      </c>
      <c r="AW7" s="29" t="s">
        <v>371</v>
      </c>
      <c r="AX7" s="30" t="s">
        <v>418</v>
      </c>
      <c r="AY7" s="30" t="s">
        <v>438</v>
      </c>
      <c r="AZ7" s="30" t="s">
        <v>452</v>
      </c>
      <c r="BA7" s="30" t="s">
        <v>468</v>
      </c>
      <c r="BB7" s="29" t="s">
        <v>469</v>
      </c>
      <c r="BC7" s="30" t="s">
        <v>476</v>
      </c>
      <c r="BD7" s="30" t="s">
        <v>479</v>
      </c>
      <c r="BE7" s="30" t="s">
        <v>486</v>
      </c>
      <c r="BF7" s="30" t="s">
        <v>488</v>
      </c>
      <c r="BG7" s="29" t="s">
        <v>489</v>
      </c>
      <c r="BH7" s="30" t="s">
        <v>491</v>
      </c>
      <c r="BI7" s="30" t="s">
        <v>499</v>
      </c>
      <c r="BJ7" s="30" t="s">
        <v>503</v>
      </c>
      <c r="BK7" s="30" t="s">
        <v>509</v>
      </c>
      <c r="BL7" s="29" t="s">
        <v>508</v>
      </c>
      <c r="BM7" s="30" t="s">
        <v>511</v>
      </c>
      <c r="BN7" s="30" t="s">
        <v>518</v>
      </c>
      <c r="BO7" s="30" t="s">
        <v>527</v>
      </c>
      <c r="BP7" s="30" t="s">
        <v>478</v>
      </c>
      <c r="BQ7" s="29" t="s">
        <v>477</v>
      </c>
      <c r="BR7" s="30" t="s">
        <v>494</v>
      </c>
      <c r="BS7" s="30" t="s">
        <v>495</v>
      </c>
      <c r="BT7" s="30" t="s">
        <v>496</v>
      </c>
      <c r="BU7" s="30" t="s">
        <v>497</v>
      </c>
      <c r="BV7" s="29" t="s">
        <v>493</v>
      </c>
      <c r="BW7" s="30" t="s">
        <v>514</v>
      </c>
      <c r="BX7" s="30" t="s">
        <v>515</v>
      </c>
      <c r="BY7" s="30" t="s">
        <v>516</v>
      </c>
      <c r="BZ7" s="30" t="s">
        <v>517</v>
      </c>
      <c r="CA7" s="29" t="s">
        <v>513</v>
      </c>
    </row>
    <row r="8" spans="1:79" x14ac:dyDescent="0.35">
      <c r="A8" s="24"/>
      <c r="B8" s="24"/>
      <c r="C8" s="24"/>
      <c r="D8" s="24"/>
      <c r="E8" s="24"/>
      <c r="F8" s="24"/>
      <c r="G8" s="24"/>
      <c r="H8" s="24"/>
      <c r="I8" s="32"/>
      <c r="J8" s="33"/>
      <c r="K8" s="33"/>
      <c r="L8" s="33"/>
      <c r="M8" s="33"/>
      <c r="N8" s="32"/>
      <c r="O8" s="33"/>
      <c r="P8" s="33"/>
      <c r="Q8" s="33"/>
      <c r="R8" s="33"/>
      <c r="S8" s="34"/>
      <c r="T8" s="33"/>
      <c r="U8" s="33"/>
      <c r="V8" s="33"/>
      <c r="W8" s="33"/>
      <c r="X8" s="34"/>
      <c r="Y8" s="33"/>
      <c r="Z8" s="33"/>
      <c r="AA8" s="33"/>
      <c r="AB8" s="33"/>
      <c r="AC8" s="32"/>
      <c r="AD8" s="33"/>
      <c r="AE8" s="33"/>
      <c r="AF8" s="33"/>
      <c r="AG8" s="33"/>
      <c r="AH8" s="32"/>
      <c r="AI8" s="33"/>
      <c r="AJ8" s="33"/>
      <c r="AK8" s="33"/>
      <c r="AL8" s="33"/>
      <c r="AM8" s="32"/>
      <c r="AN8" s="33"/>
      <c r="AO8" s="33"/>
      <c r="AP8" s="33"/>
      <c r="AQ8" s="33"/>
      <c r="AR8" s="32"/>
      <c r="AS8" s="33"/>
      <c r="AT8" s="33"/>
      <c r="AU8" s="33"/>
      <c r="AV8" s="33"/>
      <c r="AW8" s="32"/>
      <c r="AX8" s="33"/>
      <c r="AY8" s="33"/>
      <c r="AZ8" s="33"/>
      <c r="BA8" s="33"/>
      <c r="BB8" s="32"/>
      <c r="BC8" s="33"/>
      <c r="BD8" s="33"/>
      <c r="BE8" s="33"/>
      <c r="BF8" s="33"/>
      <c r="BG8" s="32"/>
      <c r="BH8" s="33"/>
      <c r="BI8" s="33"/>
      <c r="BJ8" s="33"/>
      <c r="BK8" s="33"/>
      <c r="BL8" s="622"/>
      <c r="BM8" s="33"/>
      <c r="BN8" s="33"/>
      <c r="BO8" s="33"/>
      <c r="BP8" s="33"/>
      <c r="BQ8" s="32"/>
      <c r="BR8" s="33"/>
      <c r="BS8" s="33"/>
      <c r="BT8" s="33"/>
      <c r="BU8" s="33"/>
      <c r="BV8" s="32"/>
      <c r="BW8" s="33"/>
      <c r="BX8" s="33"/>
      <c r="BY8" s="33"/>
      <c r="BZ8" s="33"/>
      <c r="CA8" s="32"/>
    </row>
    <row r="9" spans="1:79" ht="12.75" customHeight="1" x14ac:dyDescent="0.35">
      <c r="A9" s="24"/>
      <c r="B9" s="24" t="s">
        <v>143</v>
      </c>
      <c r="C9" s="24"/>
      <c r="D9" s="24"/>
      <c r="E9" s="167">
        <f>Segments!J31</f>
        <v>521.25</v>
      </c>
      <c r="F9" s="167">
        <f>Segments!K31</f>
        <v>537.29999999999995</v>
      </c>
      <c r="G9" s="167">
        <f>Segments!L31</f>
        <v>478.1</v>
      </c>
      <c r="H9" s="167">
        <f>Segments!M31</f>
        <v>526</v>
      </c>
      <c r="I9" s="212">
        <f>Segments!N31</f>
        <v>2062.65</v>
      </c>
      <c r="J9" s="167">
        <f>Segments!O31</f>
        <v>529.1</v>
      </c>
      <c r="K9" s="167">
        <f>Segments!P31</f>
        <v>625</v>
      </c>
      <c r="L9" s="167">
        <f>Segments!Q31</f>
        <v>546.6</v>
      </c>
      <c r="M9" s="167">
        <f>Segments!R31</f>
        <v>565.09999999999991</v>
      </c>
      <c r="N9" s="212">
        <f>Segments!S31</f>
        <v>2265.8000000000002</v>
      </c>
      <c r="O9" s="167">
        <f>Segments!T31</f>
        <v>602.29999999999995</v>
      </c>
      <c r="P9" s="167">
        <f>Segments!U31</f>
        <v>639.20000000000005</v>
      </c>
      <c r="Q9" s="167">
        <f>Segments!V31</f>
        <v>548.1</v>
      </c>
      <c r="R9" s="167">
        <f>Segments!W31</f>
        <v>544.6</v>
      </c>
      <c r="S9" s="212">
        <f>Segments!X31</f>
        <v>2334.1999999999998</v>
      </c>
      <c r="T9" s="167">
        <f>Segments!Y31</f>
        <v>525.1</v>
      </c>
      <c r="U9" s="167">
        <f>Segments!Z31</f>
        <v>625.6</v>
      </c>
      <c r="V9" s="167">
        <f>Segments!AA31</f>
        <v>612.29999999999995</v>
      </c>
      <c r="W9" s="167">
        <f>Segments!AB31</f>
        <v>607.79999999999995</v>
      </c>
      <c r="X9" s="257">
        <f>Segments!AC31</f>
        <v>2370.8000000000002</v>
      </c>
      <c r="Y9" s="167">
        <f>Segments!AD31</f>
        <v>668.2</v>
      </c>
      <c r="Z9" s="167">
        <f>Segments!AE31</f>
        <v>686.7</v>
      </c>
      <c r="AA9" s="167">
        <f>Segments!AF31</f>
        <v>694.2</v>
      </c>
      <c r="AB9" s="167">
        <f>Segments!AG31</f>
        <v>724.7</v>
      </c>
      <c r="AC9" s="257">
        <f>Segments!AH31</f>
        <v>2773.8</v>
      </c>
      <c r="AD9" s="167">
        <f>Segments!AI31</f>
        <v>719.9</v>
      </c>
      <c r="AE9" s="167">
        <f>Segments!AJ31</f>
        <v>752.3</v>
      </c>
      <c r="AF9" s="167">
        <f>Segments!AK31</f>
        <v>644.79999999999995</v>
      </c>
      <c r="AG9" s="167">
        <f>Segments!AL31</f>
        <v>595.4</v>
      </c>
      <c r="AH9" s="257">
        <f>Segments!AM31</f>
        <v>2712.4</v>
      </c>
      <c r="AI9" s="167">
        <f>Segments!AN31</f>
        <v>670.09999999999991</v>
      </c>
      <c r="AJ9" s="167">
        <f>Segments!AO31</f>
        <v>738.40000000000009</v>
      </c>
      <c r="AK9" s="167">
        <f>Segments!AP31</f>
        <v>746.59999999999991</v>
      </c>
      <c r="AL9" s="167">
        <f>Segments!AQ31</f>
        <v>720</v>
      </c>
      <c r="AM9" s="257">
        <f>Segments!AR31</f>
        <v>2875.1</v>
      </c>
      <c r="AN9" s="167">
        <f>Segments!AS31</f>
        <v>794</v>
      </c>
      <c r="AO9" s="167">
        <f>Segments!AT31</f>
        <v>938</v>
      </c>
      <c r="AP9" s="167">
        <f>Segments!AU31</f>
        <v>825</v>
      </c>
      <c r="AQ9" s="167">
        <f>Segments!AV31</f>
        <v>735</v>
      </c>
      <c r="AR9" s="257">
        <f>Segments!AW31</f>
        <v>3292</v>
      </c>
      <c r="AS9" s="167">
        <f>Segments!AX31</f>
        <v>1036</v>
      </c>
      <c r="AT9" s="167">
        <f>Segments!AY31</f>
        <v>980</v>
      </c>
      <c r="AU9" s="167">
        <f>Segments!AZ31</f>
        <v>925</v>
      </c>
      <c r="AV9" s="167">
        <f>Segments!BA31</f>
        <v>871</v>
      </c>
      <c r="AW9" s="257">
        <f>Segments!BB31</f>
        <v>3812</v>
      </c>
      <c r="AX9" s="167">
        <f>Segments!BC31</f>
        <v>827</v>
      </c>
      <c r="AY9" s="167">
        <f>Segments!BD31</f>
        <v>706</v>
      </c>
      <c r="AZ9" s="167">
        <f>Segments!BE31</f>
        <v>590</v>
      </c>
      <c r="BA9" s="167">
        <f>Segments!BF31</f>
        <v>576</v>
      </c>
      <c r="BB9" s="257">
        <f>Segments!BG31</f>
        <v>2699</v>
      </c>
      <c r="BC9" s="167">
        <f>Segments!BH31</f>
        <v>733</v>
      </c>
      <c r="BD9" s="167">
        <f>Segments!BI31</f>
        <v>747</v>
      </c>
      <c r="BE9" s="167">
        <f>Segments!BJ31</f>
        <v>696</v>
      </c>
      <c r="BF9" s="167">
        <f>Segments!BK31</f>
        <v>684</v>
      </c>
      <c r="BG9" s="257">
        <f>Segments!BL31</f>
        <v>2860</v>
      </c>
      <c r="BH9" s="167">
        <f>Segments!BM31</f>
        <v>987</v>
      </c>
      <c r="BI9" s="167">
        <f>Segments!BN31</f>
        <v>1015</v>
      </c>
      <c r="BJ9" s="167">
        <f>Segments!BO31</f>
        <v>982</v>
      </c>
      <c r="BK9" s="167">
        <f>Segments!BP31</f>
        <v>809</v>
      </c>
      <c r="BL9" s="257">
        <f>Segments!BQ31</f>
        <v>3793</v>
      </c>
      <c r="BM9" s="167">
        <f>Segments!BR31</f>
        <v>1065</v>
      </c>
      <c r="BN9" s="167">
        <f>Segments!BS31</f>
        <v>1010</v>
      </c>
      <c r="BO9" s="167">
        <f>Segments!BT31</f>
        <v>1095.43</v>
      </c>
      <c r="BP9" s="167">
        <f>Segments!BU31</f>
        <v>898.77500000000009</v>
      </c>
      <c r="BQ9" s="257">
        <f>Segments!BV31</f>
        <v>4069.2049999999999</v>
      </c>
      <c r="BR9" s="167">
        <f>Segments!BW31</f>
        <v>1159.845</v>
      </c>
      <c r="BS9" s="167">
        <f>Segments!BX31</f>
        <v>1098.855</v>
      </c>
      <c r="BT9" s="167">
        <f>Segments!BY31</f>
        <v>1174.4912750000001</v>
      </c>
      <c r="BU9" s="167">
        <f>Segments!BZ31</f>
        <v>961.96950000000004</v>
      </c>
      <c r="BV9" s="257">
        <f>Segments!CA31</f>
        <v>4395.1607750000003</v>
      </c>
      <c r="BW9" s="167">
        <f>Segments!CB31</f>
        <v>1239.7404750000001</v>
      </c>
      <c r="BX9" s="167">
        <f>Segments!CC31</f>
        <v>1173.878025</v>
      </c>
      <c r="BY9" s="167">
        <f>Segments!CD31</f>
        <v>1255.3424031249999</v>
      </c>
      <c r="BZ9" s="167">
        <f>Segments!CE31</f>
        <v>1026.7680825</v>
      </c>
      <c r="CA9" s="257">
        <f>Segments!CF31</f>
        <v>4695.728985625</v>
      </c>
    </row>
    <row r="10" spans="1:79" ht="12.75" customHeight="1" x14ac:dyDescent="0.35">
      <c r="A10" s="41"/>
      <c r="B10" s="378" t="str">
        <f>Segments!B32</f>
        <v>Reported growth % y/y</v>
      </c>
      <c r="C10" s="42"/>
      <c r="D10" s="43"/>
      <c r="E10" s="150">
        <f>Segments!J32</f>
        <v>0.15167918692001781</v>
      </c>
      <c r="F10" s="150">
        <f>Segments!K32</f>
        <v>0.21753908905506458</v>
      </c>
      <c r="G10" s="150">
        <f>Segments!L32</f>
        <v>1.0141559264737143E-2</v>
      </c>
      <c r="H10" s="150">
        <f>Segments!M32</f>
        <v>1.2901983439245202E-2</v>
      </c>
      <c r="I10" s="210">
        <f>Segments!N32</f>
        <v>9.3373972965809848E-2</v>
      </c>
      <c r="J10" s="150">
        <f>Segments!O32</f>
        <v>1.5059952038369406E-2</v>
      </c>
      <c r="K10" s="150">
        <f>Segments!P32</f>
        <v>0.16322352503257043</v>
      </c>
      <c r="L10" s="150">
        <f>Segments!Q32</f>
        <v>0.14327546538381086</v>
      </c>
      <c r="M10" s="150">
        <f>Segments!R32</f>
        <v>7.4334600760456171E-2</v>
      </c>
      <c r="N10" s="210">
        <f>Segments!S32</f>
        <v>9.8489806801929536E-2</v>
      </c>
      <c r="O10" s="150">
        <f>Segments!T32</f>
        <v>0.13834813834813819</v>
      </c>
      <c r="P10" s="150">
        <f>Segments!U32</f>
        <v>2.2720000000000073E-2</v>
      </c>
      <c r="Q10" s="150">
        <f>Segments!V32</f>
        <v>2.7442371020856005E-3</v>
      </c>
      <c r="R10" s="150">
        <f>Segments!W32</f>
        <v>-3.6276765174305226E-2</v>
      </c>
      <c r="S10" s="210">
        <f>Segments!X32</f>
        <v>3.0188013063818353E-2</v>
      </c>
      <c r="T10" s="150">
        <f>Segments!Y32</f>
        <v>-0.12817532790967945</v>
      </c>
      <c r="U10" s="150">
        <f>Segments!Z32</f>
        <v>-2.1276595744680882E-2</v>
      </c>
      <c r="V10" s="150">
        <f>Segments!AA32</f>
        <v>0.11713191023535829</v>
      </c>
      <c r="W10" s="150">
        <f>Segments!AB32</f>
        <v>0.11604847594564816</v>
      </c>
      <c r="X10" s="210">
        <f>Segments!AC32</f>
        <v>1.5679890326450341E-2</v>
      </c>
      <c r="Y10" s="150">
        <f>Segments!AD32</f>
        <v>0.27251952009141123</v>
      </c>
      <c r="Z10" s="150">
        <f>Segments!AE32</f>
        <v>9.7666240409207239E-2</v>
      </c>
      <c r="AA10" s="150">
        <f>Segments!AF32</f>
        <v>0.13375796178343968</v>
      </c>
      <c r="AB10" s="150">
        <f>Segments!AG32</f>
        <v>0.19233300427772315</v>
      </c>
      <c r="AC10" s="210">
        <f>Segments!AH32</f>
        <v>0.16998481525223541</v>
      </c>
      <c r="AD10" s="150">
        <f>Segments!AI32</f>
        <v>7.7372044298114284E-2</v>
      </c>
      <c r="AE10" s="150">
        <f>Segments!AJ32</f>
        <v>9.5529343235765118E-2</v>
      </c>
      <c r="AF10" s="150">
        <f>Segments!AK32</f>
        <v>-7.1161048689138751E-2</v>
      </c>
      <c r="AG10" s="150">
        <f>Segments!AL32</f>
        <v>-0.17841865599558449</v>
      </c>
      <c r="AH10" s="210">
        <f>Segments!AM32</f>
        <v>-2.213569831999429E-2</v>
      </c>
      <c r="AI10" s="150">
        <f>Segments!AN32</f>
        <v>-6.9176274482567135E-2</v>
      </c>
      <c r="AJ10" s="150">
        <f>Segments!AO32</f>
        <v>-1.8476671540608613E-2</v>
      </c>
      <c r="AK10" s="150">
        <f>Segments!AP32</f>
        <v>0.15787841191066998</v>
      </c>
      <c r="AL10" s="150">
        <f>Segments!AQ32</f>
        <v>0.20927107826671154</v>
      </c>
      <c r="AM10" s="210">
        <f>Segments!AR32</f>
        <v>5.9983778203804627E-2</v>
      </c>
      <c r="AN10" s="150">
        <f>Segments!AS32</f>
        <v>0.18489777645127603</v>
      </c>
      <c r="AO10" s="150">
        <f>Segments!AT32</f>
        <v>0.27031419284940394</v>
      </c>
      <c r="AP10" s="150">
        <f>Segments!AU32</f>
        <v>0.10500937583712844</v>
      </c>
      <c r="AQ10" s="150">
        <f>Segments!AV32</f>
        <v>2.0833333333333259E-2</v>
      </c>
      <c r="AR10" s="210">
        <f>Segments!AW32</f>
        <v>0.14500365204688537</v>
      </c>
      <c r="AS10" s="150">
        <f>Segments!AX32</f>
        <v>0.30478589420654911</v>
      </c>
      <c r="AT10" s="150">
        <f>Segments!AY32</f>
        <v>4.4776119402984982E-2</v>
      </c>
      <c r="AU10" s="150">
        <f>Segments!AZ32</f>
        <v>0.1212121212121211</v>
      </c>
      <c r="AV10" s="150">
        <f>Segments!BA32</f>
        <v>0.18503401360544225</v>
      </c>
      <c r="AW10" s="210">
        <f>Segments!BB32</f>
        <v>0.15795868772782495</v>
      </c>
      <c r="AX10" s="150">
        <f>Segments!BC32</f>
        <v>-0.20173745173745172</v>
      </c>
      <c r="AY10" s="150">
        <f>Segments!BD32</f>
        <v>-0.2795918367346939</v>
      </c>
      <c r="AZ10" s="150">
        <f>Segments!BE32</f>
        <v>-0.36216216216216213</v>
      </c>
      <c r="BA10" s="150">
        <f>Segments!BF32</f>
        <v>-0.33869115958668194</v>
      </c>
      <c r="BB10" s="210">
        <f>Segments!BG32</f>
        <v>-0.29197271773347322</v>
      </c>
      <c r="BC10" s="150">
        <f>Segments!BH32</f>
        <v>-0.1136638452237001</v>
      </c>
      <c r="BD10" s="150">
        <f>Segments!BI32</f>
        <v>5.8073654390934815E-2</v>
      </c>
      <c r="BE10" s="150">
        <f>Segments!BJ32</f>
        <v>0.1796610169491526</v>
      </c>
      <c r="BF10" s="150">
        <f>Segments!BK32</f>
        <v>0.1875</v>
      </c>
      <c r="BG10" s="210">
        <f>Segments!BL32</f>
        <v>5.9651722860318612E-2</v>
      </c>
      <c r="BH10" s="150">
        <f>Segments!BM32</f>
        <v>0.34652114597544337</v>
      </c>
      <c r="BI10" s="150">
        <f>Segments!BN32</f>
        <v>0.35876840696117807</v>
      </c>
      <c r="BJ10" s="150">
        <f>Segments!BO32</f>
        <v>0.41091954022988508</v>
      </c>
      <c r="BK10" s="150">
        <f>Segments!BP32</f>
        <v>0.18274853801169599</v>
      </c>
      <c r="BL10" s="210">
        <f>Segments!BQ32</f>
        <v>0.3262237762237763</v>
      </c>
      <c r="BM10" s="150">
        <f>Segments!BR32</f>
        <v>7.9027355623100259E-2</v>
      </c>
      <c r="BN10" s="150">
        <f>Segments!BS32</f>
        <v>-4.9261083743842304E-3</v>
      </c>
      <c r="BO10" s="150">
        <f>Segments!BT32</f>
        <v>0.11550916496945018</v>
      </c>
      <c r="BP10" s="150">
        <f>Segments!BU32</f>
        <v>0.11097033374536469</v>
      </c>
      <c r="BQ10" s="210">
        <f>Segments!BV32</f>
        <v>7.2819667809121968E-2</v>
      </c>
      <c r="BR10" s="150">
        <f>Segments!BW32</f>
        <v>8.9056338028169035E-2</v>
      </c>
      <c r="BS10" s="150">
        <f>Segments!BX32</f>
        <v>8.7975247524752387E-2</v>
      </c>
      <c r="BT10" s="150">
        <f>Segments!BY32</f>
        <v>7.2173735428096686E-2</v>
      </c>
      <c r="BU10" s="150">
        <f>Segments!BZ32</f>
        <v>7.0311813301437986E-2</v>
      </c>
      <c r="BV10" s="210">
        <f>Segments!CA32</f>
        <v>8.0103060671556259E-2</v>
      </c>
      <c r="BW10" s="150">
        <f>Segments!CB32</f>
        <v>6.8884613892373547E-2</v>
      </c>
      <c r="BX10" s="150">
        <f>Segments!CC32</f>
        <v>6.8273816836616152E-2</v>
      </c>
      <c r="BY10" s="150">
        <f>Segments!CD32</f>
        <v>6.8839275221520779E-2</v>
      </c>
      <c r="BZ10" s="150">
        <f>Segments!CE32</f>
        <v>6.7360329511486627E-2</v>
      </c>
      <c r="CA10" s="210">
        <f>Segments!CF32</f>
        <v>6.8386169701607713E-2</v>
      </c>
    </row>
    <row r="11" spans="1:79" ht="12.75" customHeight="1" x14ac:dyDescent="0.35">
      <c r="A11" s="41"/>
      <c r="B11" s="378" t="str">
        <f>Segments!B37</f>
        <v>Reported growth % sequential</v>
      </c>
      <c r="C11" s="42"/>
      <c r="D11" s="43"/>
      <c r="E11" s="255"/>
      <c r="F11" s="255"/>
      <c r="G11" s="255"/>
      <c r="H11" s="255"/>
      <c r="I11" s="191"/>
      <c r="J11" s="255"/>
      <c r="K11" s="255"/>
      <c r="L11" s="255"/>
      <c r="M11" s="255"/>
      <c r="N11" s="191"/>
      <c r="O11" s="150">
        <f>Segments!T37</f>
        <v>6.5829056804105557E-2</v>
      </c>
      <c r="P11" s="150">
        <f>Segments!U37</f>
        <v>6.1265150257346912E-2</v>
      </c>
      <c r="Q11" s="150">
        <f>Segments!V37</f>
        <v>-0.14252190237797246</v>
      </c>
      <c r="R11" s="150">
        <f>Segments!W37</f>
        <v>-6.3856960408684715E-3</v>
      </c>
      <c r="S11" s="191"/>
      <c r="T11" s="150">
        <f>Segments!Y37</f>
        <v>-3.5806096217407268E-2</v>
      </c>
      <c r="U11" s="150">
        <f>Segments!Z37</f>
        <v>0.19139211578746895</v>
      </c>
      <c r="V11" s="150">
        <f>Segments!AA37</f>
        <v>-2.1259590792839012E-2</v>
      </c>
      <c r="W11" s="150">
        <f>Segments!AB37</f>
        <v>-7.3493385595296834E-3</v>
      </c>
      <c r="X11" s="191"/>
      <c r="Y11" s="150">
        <f>Segments!AD37</f>
        <v>9.9374794340243655E-2</v>
      </c>
      <c r="Z11" s="150">
        <f>Segments!AE37</f>
        <v>2.7686321460640428E-2</v>
      </c>
      <c r="AA11" s="150">
        <f>Segments!AF37</f>
        <v>1.0921799912625652E-2</v>
      </c>
      <c r="AB11" s="150">
        <f>Segments!AG37</f>
        <v>4.3935465283779784E-2</v>
      </c>
      <c r="AC11" s="191"/>
      <c r="AD11" s="150">
        <f>Segments!AI37</f>
        <v>-6.623430384987028E-3</v>
      </c>
      <c r="AE11" s="150">
        <f>Segments!AJ37</f>
        <v>4.5006250868176112E-2</v>
      </c>
      <c r="AF11" s="150">
        <f>Segments!AK37</f>
        <v>-0.14289512162701046</v>
      </c>
      <c r="AG11" s="150">
        <f>Segments!AL37</f>
        <v>-7.6612903225806384E-2</v>
      </c>
      <c r="AH11" s="191"/>
      <c r="AI11" s="150">
        <f>Segments!AN37</f>
        <v>0.1254618743701712</v>
      </c>
      <c r="AJ11" s="150">
        <f>Segments!AO37</f>
        <v>0.10192508580808868</v>
      </c>
      <c r="AK11" s="150">
        <f>Segments!AP37</f>
        <v>1.1105092091007407E-2</v>
      </c>
      <c r="AL11" s="150">
        <f>Segments!AQ37</f>
        <v>-3.5628181087597022E-2</v>
      </c>
      <c r="AM11" s="191"/>
      <c r="AN11" s="150">
        <f>Segments!AS37</f>
        <v>0.10277777777777786</v>
      </c>
      <c r="AO11" s="150">
        <f>Segments!AT37</f>
        <v>0.18136020151133492</v>
      </c>
      <c r="AP11" s="150">
        <f>Segments!AU37</f>
        <v>-0.1204690831556503</v>
      </c>
      <c r="AQ11" s="150">
        <f>Segments!AV37</f>
        <v>-0.10909090909090913</v>
      </c>
      <c r="AR11" s="191"/>
      <c r="AS11" s="150">
        <f>Segments!AX37</f>
        <v>0.40952380952380962</v>
      </c>
      <c r="AT11" s="150">
        <f>Segments!AY37</f>
        <v>-5.4054054054054057E-2</v>
      </c>
      <c r="AU11" s="150">
        <f>Segments!AZ37</f>
        <v>-5.6122448979591844E-2</v>
      </c>
      <c r="AV11" s="150">
        <f>Segments!BA37</f>
        <v>-5.8378378378378337E-2</v>
      </c>
      <c r="AW11" s="191"/>
      <c r="AX11" s="150">
        <f>Segments!BC37</f>
        <v>-5.0516647531572922E-2</v>
      </c>
      <c r="AY11" s="150">
        <f>Segments!BD37</f>
        <v>-0.14631197097944382</v>
      </c>
      <c r="AZ11" s="150">
        <f>Segments!BE37</f>
        <v>-0.1643059490084986</v>
      </c>
      <c r="BA11" s="150">
        <f>Segments!BF37</f>
        <v>-2.3728813559321993E-2</v>
      </c>
      <c r="BB11" s="191"/>
      <c r="BC11" s="150">
        <f>Segments!BH37</f>
        <v>0.27256944444444442</v>
      </c>
      <c r="BD11" s="150">
        <f>Segments!BI37</f>
        <v>1.9099590723056004E-2</v>
      </c>
      <c r="BE11" s="150">
        <f>Segments!BJ37</f>
        <v>-6.8273092369477872E-2</v>
      </c>
      <c r="BF11" s="150">
        <f>Segments!BK37</f>
        <v>-1.7241379310344862E-2</v>
      </c>
      <c r="BG11" s="191"/>
      <c r="BH11" s="150">
        <f>Segments!BM37</f>
        <v>0.44298245614035081</v>
      </c>
      <c r="BI11" s="150">
        <f>Segments!BN37</f>
        <v>2.8368794326241176E-2</v>
      </c>
      <c r="BJ11" s="150">
        <f>Segments!BO37</f>
        <v>-3.251231527093601E-2</v>
      </c>
      <c r="BK11" s="150">
        <f>Segments!BP37</f>
        <v>-0.1761710794297352</v>
      </c>
      <c r="BL11" s="191"/>
      <c r="BM11" s="150">
        <f>Segments!BR37</f>
        <v>0.31644004944375781</v>
      </c>
      <c r="BN11" s="150">
        <f>Segments!BS37</f>
        <v>-5.1643192488262879E-2</v>
      </c>
      <c r="BO11" s="150">
        <f>Segments!BT37</f>
        <v>8.4584158415841548E-2</v>
      </c>
      <c r="BP11" s="150">
        <f>Segments!BU37</f>
        <v>-0.17952310964644014</v>
      </c>
      <c r="BQ11" s="191"/>
      <c r="BR11" s="150">
        <f>Segments!BW37</f>
        <v>0.29047314400155755</v>
      </c>
      <c r="BS11" s="150">
        <f>Segments!BX37</f>
        <v>-5.2584612599097302E-2</v>
      </c>
      <c r="BT11" s="150">
        <f>Segments!BY37</f>
        <v>6.8831897748110604E-2</v>
      </c>
      <c r="BU11" s="150">
        <f>Segments!BZ37</f>
        <v>-0.18094793850214008</v>
      </c>
      <c r="BV11" s="191"/>
      <c r="BW11" s="150">
        <f>Segments!CB37</f>
        <v>0.28875237208664095</v>
      </c>
      <c r="BX11" s="150">
        <f>Segments!CC37</f>
        <v>-5.312599800373552E-2</v>
      </c>
      <c r="BY11" s="150">
        <f>Segments!CD37</f>
        <v>6.9397651536240224E-2</v>
      </c>
      <c r="BZ11" s="150">
        <f>Segments!CE37</f>
        <v>-0.18208125532603381</v>
      </c>
      <c r="CA11" s="191"/>
    </row>
    <row r="12" spans="1:79" ht="12.75" customHeight="1" x14ac:dyDescent="0.35">
      <c r="A12" s="41"/>
      <c r="B12" s="378" t="str">
        <f>Segments!B33</f>
        <v>M&amp;A impact % y/y</v>
      </c>
      <c r="C12" s="42"/>
      <c r="D12" s="43"/>
      <c r="E12" s="255"/>
      <c r="F12" s="255"/>
      <c r="G12" s="255"/>
      <c r="H12" s="255"/>
      <c r="I12" s="191"/>
      <c r="J12" s="150">
        <f>Segments!O33</f>
        <v>0</v>
      </c>
      <c r="K12" s="150">
        <f>Segments!P33</f>
        <v>0.02</v>
      </c>
      <c r="L12" s="150">
        <f>Segments!Q33</f>
        <v>0.02</v>
      </c>
      <c r="M12" s="150">
        <f>Segments!R33</f>
        <v>0.02</v>
      </c>
      <c r="N12" s="191"/>
      <c r="O12" s="150">
        <f>Segments!T33</f>
        <v>0.02</v>
      </c>
      <c r="P12" s="150">
        <f>Segments!U33</f>
        <v>0</v>
      </c>
      <c r="Q12" s="150">
        <f>Segments!V33</f>
        <v>0</v>
      </c>
      <c r="R12" s="150">
        <f>Segments!W33</f>
        <v>0</v>
      </c>
      <c r="S12" s="210">
        <f>Segments!X33</f>
        <v>4.6703151204872447E-3</v>
      </c>
      <c r="T12" s="150">
        <f>Segments!Y33</f>
        <v>0</v>
      </c>
      <c r="U12" s="150">
        <f>Segments!Z33</f>
        <v>0</v>
      </c>
      <c r="V12" s="150">
        <f>Segments!AA33</f>
        <v>0</v>
      </c>
      <c r="W12" s="150">
        <f>Segments!AB33</f>
        <v>0</v>
      </c>
      <c r="X12" s="210">
        <f>Segments!AC33</f>
        <v>0</v>
      </c>
      <c r="Y12" s="150">
        <f>Segments!AD33</f>
        <v>0</v>
      </c>
      <c r="Z12" s="150">
        <f>Segments!AE33</f>
        <v>0</v>
      </c>
      <c r="AA12" s="150">
        <f>Segments!AF33</f>
        <v>0</v>
      </c>
      <c r="AB12" s="150">
        <f>Segments!AG33</f>
        <v>0</v>
      </c>
      <c r="AC12" s="210">
        <f>Segments!AH33</f>
        <v>0</v>
      </c>
      <c r="AD12" s="150">
        <f>Segments!AI33</f>
        <v>0</v>
      </c>
      <c r="AE12" s="150">
        <f>Segments!AJ33</f>
        <v>0</v>
      </c>
      <c r="AF12" s="150">
        <f>Segments!AK33</f>
        <v>0</v>
      </c>
      <c r="AG12" s="150">
        <f>Segments!AL33</f>
        <v>0</v>
      </c>
      <c r="AH12" s="210">
        <f>Segments!AM33</f>
        <v>0</v>
      </c>
      <c r="AI12" s="150">
        <f>Segments!AN33</f>
        <v>0</v>
      </c>
      <c r="AJ12" s="150">
        <f>Segments!AO33</f>
        <v>0</v>
      </c>
      <c r="AK12" s="150">
        <f>Segments!AP33</f>
        <v>0</v>
      </c>
      <c r="AL12" s="150">
        <f>Segments!AQ33</f>
        <v>0</v>
      </c>
      <c r="AM12" s="210">
        <f>Segments!AR33</f>
        <v>0</v>
      </c>
      <c r="AN12" s="150">
        <f>Segments!AS33</f>
        <v>0</v>
      </c>
      <c r="AO12" s="150">
        <f>Segments!AT33</f>
        <v>0</v>
      </c>
      <c r="AP12" s="150">
        <f>Segments!AU33</f>
        <v>0</v>
      </c>
      <c r="AQ12" s="150">
        <f>Segments!AV33</f>
        <v>0</v>
      </c>
      <c r="AR12" s="210">
        <f>Segments!AW33</f>
        <v>0</v>
      </c>
      <c r="AS12" s="150">
        <f>Segments!AX33</f>
        <v>0</v>
      </c>
      <c r="AT12" s="150">
        <f>Segments!AY33</f>
        <v>0</v>
      </c>
      <c r="AU12" s="150">
        <f>Segments!AZ33</f>
        <v>0</v>
      </c>
      <c r="AV12" s="150">
        <f>Segments!BA33</f>
        <v>0</v>
      </c>
      <c r="AW12" s="210">
        <f>Segments!BB33</f>
        <v>0</v>
      </c>
      <c r="AX12" s="150">
        <f>Segments!BC33</f>
        <v>0</v>
      </c>
      <c r="AY12" s="150">
        <f>Segments!BD33</f>
        <v>0</v>
      </c>
      <c r="AZ12" s="150">
        <f>Segments!BE33</f>
        <v>0</v>
      </c>
      <c r="BA12" s="150">
        <f>Segments!BF33</f>
        <v>0</v>
      </c>
      <c r="BB12" s="210">
        <f>Segments!BG33</f>
        <v>0</v>
      </c>
      <c r="BC12" s="150">
        <f>Segments!BH33</f>
        <v>0</v>
      </c>
      <c r="BD12" s="150">
        <f>Segments!BI33</f>
        <v>0</v>
      </c>
      <c r="BE12" s="150">
        <f>Segments!BJ33</f>
        <v>0</v>
      </c>
      <c r="BF12" s="150">
        <f>Segments!BK33</f>
        <v>0</v>
      </c>
      <c r="BG12" s="210">
        <f>Segments!BL33</f>
        <v>0</v>
      </c>
      <c r="BH12" s="150">
        <f>Segments!BM33</f>
        <v>0</v>
      </c>
      <c r="BI12" s="150">
        <f>Segments!BN33</f>
        <v>0</v>
      </c>
      <c r="BJ12" s="150">
        <f>Segments!BO33</f>
        <v>4.3103448275862068E-3</v>
      </c>
      <c r="BK12" s="150">
        <f>Segments!BP33</f>
        <v>4.3859649122807015E-3</v>
      </c>
      <c r="BL12" s="210">
        <f>Segments!BQ33</f>
        <v>2.0979020979020979E-3</v>
      </c>
      <c r="BM12" s="150">
        <f>Segments!BR33</f>
        <v>4.0526849037487338E-3</v>
      </c>
      <c r="BN12" s="150">
        <f>Segments!BS33</f>
        <v>2.9556650246305421E-3</v>
      </c>
      <c r="BO12" s="150">
        <f>Segments!BT33</f>
        <v>0</v>
      </c>
      <c r="BP12" s="150">
        <f>Segments!BU33</f>
        <v>2.472187886279357E-3</v>
      </c>
      <c r="BQ12" s="210">
        <f>Segments!BV33</f>
        <v>2.3727919852359609E-3</v>
      </c>
      <c r="BR12" s="150">
        <f>Segments!BW33</f>
        <v>1.8779342723004694E-3</v>
      </c>
      <c r="BS12" s="150">
        <f>Segments!BX33</f>
        <v>1.9801980198019802E-3</v>
      </c>
      <c r="BT12" s="150">
        <f>Segments!BY33</f>
        <v>9.1288352519102085E-4</v>
      </c>
      <c r="BU12" s="150">
        <f>Segments!BZ33</f>
        <v>0</v>
      </c>
      <c r="BV12" s="210">
        <f>Segments!CA33</f>
        <v>1.228741240610881E-3</v>
      </c>
      <c r="BW12" s="150">
        <f>Segments!CB33</f>
        <v>0</v>
      </c>
      <c r="BX12" s="150">
        <f>Segments!CC33</f>
        <v>0</v>
      </c>
      <c r="BY12" s="150">
        <f>Segments!CD33</f>
        <v>0</v>
      </c>
      <c r="BZ12" s="150">
        <f>Segments!CE33</f>
        <v>0</v>
      </c>
      <c r="CA12" s="210">
        <f>Segments!CF33</f>
        <v>0</v>
      </c>
    </row>
    <row r="13" spans="1:79" s="132" customFormat="1" ht="12.75" customHeight="1" x14ac:dyDescent="0.35">
      <c r="A13" s="58"/>
      <c r="B13" s="379" t="str">
        <f>Segments!B34</f>
        <v>Organic growth % y/y</v>
      </c>
      <c r="C13" s="53"/>
      <c r="D13" s="54"/>
      <c r="E13" s="270"/>
      <c r="F13" s="270"/>
      <c r="G13" s="270"/>
      <c r="H13" s="270"/>
      <c r="I13" s="359"/>
      <c r="J13" s="182">
        <f>Segments!O34</f>
        <v>1.5059952038369406E-2</v>
      </c>
      <c r="K13" s="182">
        <f>Segments!P34</f>
        <v>0.14322352503257044</v>
      </c>
      <c r="L13" s="182">
        <f>Segments!Q34</f>
        <v>0.12327546538381086</v>
      </c>
      <c r="M13" s="182">
        <f>Segments!R34</f>
        <v>5.4334600760456167E-2</v>
      </c>
      <c r="N13" s="359"/>
      <c r="O13" s="182">
        <f>Segments!T34</f>
        <v>0.11834813834813819</v>
      </c>
      <c r="P13" s="182">
        <f>Segments!U34</f>
        <v>2.2720000000000073E-2</v>
      </c>
      <c r="Q13" s="182">
        <f>Segments!V34</f>
        <v>2.7442371020856005E-3</v>
      </c>
      <c r="R13" s="182">
        <f>Segments!W34</f>
        <v>-3.6276765174305226E-2</v>
      </c>
      <c r="S13" s="211">
        <f>Segments!X34</f>
        <v>2.5517697943331297E-2</v>
      </c>
      <c r="T13" s="182">
        <f>Segments!Y34</f>
        <v>-0.12817532790967945</v>
      </c>
      <c r="U13" s="182">
        <f>Segments!Z34</f>
        <v>-2.1276595744680882E-2</v>
      </c>
      <c r="V13" s="182">
        <f>Segments!AA34</f>
        <v>0.11713191023535829</v>
      </c>
      <c r="W13" s="182">
        <f>Segments!AB34</f>
        <v>0.11604847594564816</v>
      </c>
      <c r="X13" s="211">
        <f>Segments!AC34</f>
        <v>1.5679890326450143E-2</v>
      </c>
      <c r="Y13" s="182">
        <f>Segments!AD34</f>
        <v>0.27251952009141123</v>
      </c>
      <c r="Z13" s="182">
        <f>Segments!AE34</f>
        <v>9.7666240409207239E-2</v>
      </c>
      <c r="AA13" s="182">
        <f>Segments!AF34</f>
        <v>0.13375796178343968</v>
      </c>
      <c r="AB13" s="182">
        <f>Segments!AG34</f>
        <v>0.19233300427772315</v>
      </c>
      <c r="AC13" s="211">
        <f>Segments!AH34</f>
        <v>0.16998481525223566</v>
      </c>
      <c r="AD13" s="182">
        <f>Segments!AI34</f>
        <v>7.7372044298114284E-2</v>
      </c>
      <c r="AE13" s="182">
        <f>Segments!AJ34</f>
        <v>9.5529343235765118E-2</v>
      </c>
      <c r="AF13" s="182">
        <f>Segments!AK34</f>
        <v>-7.1161048689138751E-2</v>
      </c>
      <c r="AG13" s="182">
        <f>Segments!AL34</f>
        <v>-0.17841865599558449</v>
      </c>
      <c r="AH13" s="211">
        <f>Segments!AM34</f>
        <v>-2.2135698319994356E-2</v>
      </c>
      <c r="AI13" s="182">
        <f>Segments!AN34</f>
        <v>-6.9176274482567135E-2</v>
      </c>
      <c r="AJ13" s="182">
        <f>Segments!AO34</f>
        <v>-1.8476671540608613E-2</v>
      </c>
      <c r="AK13" s="182">
        <f>Segments!AP34</f>
        <v>0.15787841191066998</v>
      </c>
      <c r="AL13" s="182">
        <f>Segments!AQ34</f>
        <v>0.20927107826671154</v>
      </c>
      <c r="AM13" s="211">
        <f>Segments!AR34</f>
        <v>5.9983778203804787E-2</v>
      </c>
      <c r="AN13" s="182">
        <f>Segments!AS34</f>
        <v>0.18489777645127603</v>
      </c>
      <c r="AO13" s="182">
        <f>Segments!AT34</f>
        <v>0.27031419284940394</v>
      </c>
      <c r="AP13" s="182">
        <f>Segments!AU34</f>
        <v>0.10500937583712844</v>
      </c>
      <c r="AQ13" s="182">
        <f>Segments!AV34</f>
        <v>2.0833333333333259E-2</v>
      </c>
      <c r="AR13" s="211">
        <f>Segments!AW34</f>
        <v>0.14500365204688531</v>
      </c>
      <c r="AS13" s="182">
        <f>Segments!AX34</f>
        <v>0.30478589420654911</v>
      </c>
      <c r="AT13" s="182">
        <f>Segments!AY34</f>
        <v>4.4776119402984982E-2</v>
      </c>
      <c r="AU13" s="182">
        <f>Segments!AZ34</f>
        <v>0.1212121212121211</v>
      </c>
      <c r="AV13" s="182">
        <f>Segments!BA34</f>
        <v>0.18503401360544225</v>
      </c>
      <c r="AW13" s="211">
        <f>Segments!BB34</f>
        <v>0.15795868772782495</v>
      </c>
      <c r="AX13" s="182">
        <f>Segments!BC34</f>
        <v>-0.20173745173745172</v>
      </c>
      <c r="AY13" s="182">
        <f>Segments!BD34</f>
        <v>-0.2795918367346939</v>
      </c>
      <c r="AZ13" s="182">
        <f>Segments!BE34</f>
        <v>-0.36216216216216213</v>
      </c>
      <c r="BA13" s="182">
        <f>Segments!BF34</f>
        <v>-0.33869115958668194</v>
      </c>
      <c r="BB13" s="211">
        <f>Segments!BG34</f>
        <v>-0.29197271773347322</v>
      </c>
      <c r="BC13" s="182">
        <f>Segments!BH34</f>
        <v>-0.1136638452237001</v>
      </c>
      <c r="BD13" s="182">
        <f>Segments!BI34</f>
        <v>5.8073654390934815E-2</v>
      </c>
      <c r="BE13" s="182">
        <f>Segments!BJ34</f>
        <v>0.1796610169491526</v>
      </c>
      <c r="BF13" s="182">
        <f>Segments!BK34</f>
        <v>0.1875</v>
      </c>
      <c r="BG13" s="211">
        <f>Segments!BL34</f>
        <v>5.9651722860318647E-2</v>
      </c>
      <c r="BH13" s="182">
        <f>Segments!BM34</f>
        <v>0.34652114597544337</v>
      </c>
      <c r="BI13" s="182">
        <f>Segments!BN34</f>
        <v>0.35876840696117807</v>
      </c>
      <c r="BJ13" s="182">
        <f>Segments!BO34</f>
        <v>0.4066091954022989</v>
      </c>
      <c r="BK13" s="182">
        <f>Segments!BP34</f>
        <v>0.17836257309941528</v>
      </c>
      <c r="BL13" s="211">
        <f>Segments!BQ34</f>
        <v>0.32412587412587412</v>
      </c>
      <c r="BM13" s="182">
        <f>Segments!BR34</f>
        <v>7.497467071935153E-2</v>
      </c>
      <c r="BN13" s="182">
        <f>Segments!BS34</f>
        <v>-7.8817733990147725E-3</v>
      </c>
      <c r="BO13" s="182">
        <f>Segments!BT34</f>
        <v>0.11550916496945018</v>
      </c>
      <c r="BP13" s="182">
        <f>Segments!BU34</f>
        <v>0.10849814585908533</v>
      </c>
      <c r="BQ13" s="211">
        <f>Segments!BV34</f>
        <v>7.0446875823886118E-2</v>
      </c>
      <c r="BR13" s="182">
        <f>Segments!BW34</f>
        <v>8.7178403755868564E-2</v>
      </c>
      <c r="BS13" s="182">
        <f>Segments!BX34</f>
        <v>8.5995049504950405E-2</v>
      </c>
      <c r="BT13" s="182">
        <f>Segments!BY34</f>
        <v>7.1260851902905667E-2</v>
      </c>
      <c r="BU13" s="182">
        <f>Segments!BZ34</f>
        <v>7.0311813301437986E-2</v>
      </c>
      <c r="BV13" s="211">
        <f>Segments!CA34</f>
        <v>7.8874319430945319E-2</v>
      </c>
      <c r="BW13" s="182">
        <f>Segments!CB34</f>
        <v>6.8884613892373547E-2</v>
      </c>
      <c r="BX13" s="182">
        <f>Segments!CC34</f>
        <v>6.8273816836616152E-2</v>
      </c>
      <c r="BY13" s="182">
        <f>Segments!CD34</f>
        <v>6.8839275221520779E-2</v>
      </c>
      <c r="BZ13" s="182">
        <f>Segments!CE34</f>
        <v>6.7360329511486627E-2</v>
      </c>
      <c r="CA13" s="211">
        <f>Segments!CF34</f>
        <v>6.8386169701607727E-2</v>
      </c>
    </row>
    <row r="14" spans="1:79" ht="12.75" customHeight="1" x14ac:dyDescent="0.35">
      <c r="A14" s="41"/>
      <c r="B14" s="378" t="str">
        <f>Segments!B35</f>
        <v>FX impact % y/y</v>
      </c>
      <c r="C14" s="42"/>
      <c r="D14" s="43"/>
      <c r="E14" s="255"/>
      <c r="F14" s="255"/>
      <c r="G14" s="255"/>
      <c r="H14" s="255"/>
      <c r="I14" s="191"/>
      <c r="J14" s="150">
        <f>Segments!O35</f>
        <v>0</v>
      </c>
      <c r="K14" s="150">
        <f>Segments!P35</f>
        <v>0.01</v>
      </c>
      <c r="L14" s="150">
        <f>Segments!Q35</f>
        <v>0</v>
      </c>
      <c r="M14" s="150">
        <f>Segments!R35</f>
        <v>-0.03</v>
      </c>
      <c r="N14" s="191"/>
      <c r="O14" s="150">
        <f>Segments!T35</f>
        <v>-0.05</v>
      </c>
      <c r="P14" s="150">
        <f>Segments!U35</f>
        <v>-0.05</v>
      </c>
      <c r="Q14" s="150">
        <f>Segments!V35</f>
        <v>-0.05</v>
      </c>
      <c r="R14" s="150">
        <f>Segments!W35</f>
        <v>-0.04</v>
      </c>
      <c r="S14" s="210">
        <f>Segments!X35</f>
        <v>-4.7505958160473115E-2</v>
      </c>
      <c r="T14" s="150">
        <f>Segments!Y35</f>
        <v>-1.4E-2</v>
      </c>
      <c r="U14" s="150">
        <f>Segments!Z35</f>
        <v>0</v>
      </c>
      <c r="V14" s="150">
        <f>Segments!AA35</f>
        <v>0</v>
      </c>
      <c r="W14" s="150">
        <f>Segments!AB35</f>
        <v>0</v>
      </c>
      <c r="X14" s="210">
        <f>Segments!AC35</f>
        <v>-3.61245822980036E-3</v>
      </c>
      <c r="Y14" s="150">
        <f>Segments!AD35</f>
        <v>0</v>
      </c>
      <c r="Z14" s="150">
        <f>Segments!AE35</f>
        <v>0</v>
      </c>
      <c r="AA14" s="150">
        <f>Segments!AF35</f>
        <v>0.01</v>
      </c>
      <c r="AB14" s="150">
        <f>Segments!AG35</f>
        <v>0.03</v>
      </c>
      <c r="AC14" s="210">
        <f>Segments!AH35</f>
        <v>1.0273747258309431E-2</v>
      </c>
      <c r="AD14" s="150">
        <f>Segments!AI35</f>
        <v>3.2000000000000001E-2</v>
      </c>
      <c r="AE14" s="150">
        <f>Segments!AJ35</f>
        <v>0.01</v>
      </c>
      <c r="AF14" s="150">
        <f>Segments!AK35</f>
        <v>0</v>
      </c>
      <c r="AG14" s="150">
        <f>Segments!AL35</f>
        <v>-0.01</v>
      </c>
      <c r="AH14" s="210">
        <f>Segments!AM35</f>
        <v>7.5717066839714473E-3</v>
      </c>
      <c r="AI14" s="150">
        <f>Segments!AN35</f>
        <v>-0.02</v>
      </c>
      <c r="AJ14" s="150">
        <f>Segments!AO35</f>
        <v>-1.7999999999999999E-2</v>
      </c>
      <c r="AK14" s="150">
        <f>Segments!AP35</f>
        <v>-0.01</v>
      </c>
      <c r="AL14" s="150">
        <f>Segments!AQ35</f>
        <v>-0.01</v>
      </c>
      <c r="AM14" s="210">
        <f>Segments!AR35</f>
        <v>-1.487295384161628E-2</v>
      </c>
      <c r="AN14" s="150">
        <f>Segments!AS35</f>
        <v>-0.01</v>
      </c>
      <c r="AO14" s="150">
        <f>Segments!AT35</f>
        <v>-0.01</v>
      </c>
      <c r="AP14" s="150">
        <f>Segments!AU35</f>
        <v>0</v>
      </c>
      <c r="AQ14" s="150">
        <f>Segments!AV35</f>
        <v>0.02</v>
      </c>
      <c r="AR14" s="210">
        <f>Segments!AW35</f>
        <v>1.0956140655977166E-4</v>
      </c>
      <c r="AS14" s="150">
        <f>Segments!AX35</f>
        <v>0.03</v>
      </c>
      <c r="AT14" s="150">
        <f>Segments!AY35</f>
        <v>0.02</v>
      </c>
      <c r="AU14" s="150">
        <f>Segments!AZ35</f>
        <v>2E-3</v>
      </c>
      <c r="AV14" s="150">
        <f>Segments!BA35</f>
        <v>0</v>
      </c>
      <c r="AW14" s="210">
        <f>Segments!BB35</f>
        <v>1.3435601458080194E-2</v>
      </c>
      <c r="AX14" s="150">
        <f>Segments!BC35</f>
        <v>-0.01</v>
      </c>
      <c r="AY14" s="150">
        <f>Segments!BD35</f>
        <v>-2.0408163265306121E-2</v>
      </c>
      <c r="AZ14" s="150">
        <f>Segments!BE35</f>
        <v>-2.8108108108108109E-2</v>
      </c>
      <c r="BA14" s="150">
        <f>Segments!BF35</f>
        <v>-2.1814006888633754E-2</v>
      </c>
      <c r="BB14" s="210">
        <f>Segments!BG35</f>
        <v>-1.9769150052465895E-2</v>
      </c>
      <c r="BC14" s="150">
        <f>Segments!BH35</f>
        <v>-1.2091898428053204E-2</v>
      </c>
      <c r="BD14" s="150">
        <f>Segments!BI35</f>
        <v>0</v>
      </c>
      <c r="BE14" s="150">
        <f>Segments!BJ35</f>
        <v>0</v>
      </c>
      <c r="BF14" s="150">
        <f>Segments!BK35</f>
        <v>1.5625E-2</v>
      </c>
      <c r="BG14" s="210">
        <f>Segments!BL35</f>
        <v>-3.7050759540570581E-4</v>
      </c>
      <c r="BH14" s="150">
        <f>Segments!BM35</f>
        <v>1.364256480218281E-3</v>
      </c>
      <c r="BI14" s="150">
        <f>Segments!BN35</f>
        <v>-6.6934404283801874E-3</v>
      </c>
      <c r="BJ14" s="150">
        <f>Segments!BO35</f>
        <v>4.3103448275862068E-3</v>
      </c>
      <c r="BK14" s="150">
        <f>Segments!BP35</f>
        <v>-5.8479532163742687E-3</v>
      </c>
      <c r="BL14" s="210">
        <f>Segments!BQ35</f>
        <v>-1.7482517482517483E-3</v>
      </c>
      <c r="BM14" s="150">
        <f>Segments!BR35</f>
        <v>-6.0790273556231003E-3</v>
      </c>
      <c r="BN14" s="150">
        <f>Segments!BS35</f>
        <v>1.1822660098522168E-2</v>
      </c>
      <c r="BO14" s="150">
        <f ca="1">Segments!BT35</f>
        <v>1.0183299389002037E-2</v>
      </c>
      <c r="BP14" s="150">
        <f>Segments!BU35</f>
        <v>1.5241757602623515E-2</v>
      </c>
      <c r="BQ14" s="210">
        <f ca="1">Segments!BV35</f>
        <v>7.4691752967367322E-3</v>
      </c>
      <c r="BR14" s="150">
        <f>Segments!BW35</f>
        <v>2.1364132471284783E-2</v>
      </c>
      <c r="BS14" s="150">
        <f>Segments!BX35</f>
        <v>3.0080459920006106E-3</v>
      </c>
      <c r="BT14" s="150">
        <f>Segments!BY35</f>
        <v>-2.2191205436927933E-3</v>
      </c>
      <c r="BU14" s="150">
        <f>Segments!BZ35</f>
        <v>-3.6363533479606509E-3</v>
      </c>
      <c r="BV14" s="210">
        <f>Segments!CA35</f>
        <v>4.9375179762012923E-3</v>
      </c>
      <c r="BW14" s="150">
        <f>Segments!CB35</f>
        <v>-9.9011186452025628E-4</v>
      </c>
      <c r="BX14" s="150">
        <f>Segments!CC35</f>
        <v>-9.9011186452025628E-4</v>
      </c>
      <c r="BY14" s="150">
        <f>Segments!CD35</f>
        <v>-9.9011186452025628E-4</v>
      </c>
      <c r="BZ14" s="150">
        <f>Segments!CE35</f>
        <v>-9.9011186452025628E-4</v>
      </c>
      <c r="CA14" s="210">
        <f>Segments!CF35</f>
        <v>-9.9011186452025606E-4</v>
      </c>
    </row>
    <row r="15" spans="1:79" s="132" customFormat="1" ht="12.75" customHeight="1" x14ac:dyDescent="0.35">
      <c r="A15" s="58"/>
      <c r="B15" s="380" t="str">
        <f>Segments!B36</f>
        <v>MIS organic constant currency growth % y/y</v>
      </c>
      <c r="C15" s="342"/>
      <c r="D15" s="343"/>
      <c r="E15" s="360"/>
      <c r="F15" s="360"/>
      <c r="G15" s="360"/>
      <c r="H15" s="360"/>
      <c r="I15" s="361"/>
      <c r="J15" s="356">
        <f>Segments!O36</f>
        <v>1.5059952038369406E-2</v>
      </c>
      <c r="K15" s="356">
        <f>Segments!P36</f>
        <v>0.13322352503257043</v>
      </c>
      <c r="L15" s="356">
        <f>Segments!Q36</f>
        <v>0.12327546538381086</v>
      </c>
      <c r="M15" s="356">
        <f>Segments!R36</f>
        <v>8.4334600760456166E-2</v>
      </c>
      <c r="N15" s="361"/>
      <c r="O15" s="356">
        <f>Segments!T36</f>
        <v>0.16834813834813819</v>
      </c>
      <c r="P15" s="356">
        <f>Segments!U36</f>
        <v>7.2720000000000076E-2</v>
      </c>
      <c r="Q15" s="356">
        <f>Segments!V36</f>
        <v>5.2744237102085603E-2</v>
      </c>
      <c r="R15" s="356">
        <f>Segments!W36</f>
        <v>3.7232348256947753E-3</v>
      </c>
      <c r="S15" s="357">
        <f>Segments!X36</f>
        <v>7.302365610380443E-2</v>
      </c>
      <c r="T15" s="356">
        <f>Segments!Y36</f>
        <v>-0.11417532790967945</v>
      </c>
      <c r="U15" s="356">
        <f>Segments!Z36</f>
        <v>-2.1276595744680882E-2</v>
      </c>
      <c r="V15" s="356">
        <f>Segments!AA36</f>
        <v>0.11713191023535829</v>
      </c>
      <c r="W15" s="356">
        <f>Segments!AB36</f>
        <v>0.11604847594564816</v>
      </c>
      <c r="X15" s="357">
        <f>Segments!AC36</f>
        <v>1.9292348556250508E-2</v>
      </c>
      <c r="Y15" s="356">
        <f>Segments!AD36</f>
        <v>0.27251952009141123</v>
      </c>
      <c r="Z15" s="356">
        <f>Segments!AE36</f>
        <v>9.7666240409207239E-2</v>
      </c>
      <c r="AA15" s="356">
        <f>Segments!AF36</f>
        <v>0.12375796178343969</v>
      </c>
      <c r="AB15" s="356">
        <f>Segments!AG36</f>
        <v>0.16233300427772315</v>
      </c>
      <c r="AC15" s="357">
        <f>Segments!AH36</f>
        <v>0.15971106799392623</v>
      </c>
      <c r="AD15" s="356">
        <f>Segments!AI36</f>
        <v>4.5372044298114284E-2</v>
      </c>
      <c r="AE15" s="356">
        <f>Segments!AJ36</f>
        <v>8.5529343235765123E-2</v>
      </c>
      <c r="AF15" s="356">
        <f>Segments!AK36</f>
        <v>-7.1161048689138751E-2</v>
      </c>
      <c r="AG15" s="356">
        <f>Segments!AL36</f>
        <v>-0.16841865599558448</v>
      </c>
      <c r="AH15" s="357">
        <f>Segments!AM36</f>
        <v>-2.9707405003965799E-2</v>
      </c>
      <c r="AI15" s="356">
        <f>Segments!AN36</f>
        <v>-4.9176274482567131E-2</v>
      </c>
      <c r="AJ15" s="356">
        <f>Segments!AO36</f>
        <v>-4.7667154060861486E-4</v>
      </c>
      <c r="AK15" s="356">
        <f>Segments!AP36</f>
        <v>0.16787841191066999</v>
      </c>
      <c r="AL15" s="356">
        <f>Segments!AQ36</f>
        <v>0.21927107826671155</v>
      </c>
      <c r="AM15" s="357">
        <f>Segments!AR36</f>
        <v>7.4856732045421079E-2</v>
      </c>
      <c r="AN15" s="356">
        <f>Segments!AS36</f>
        <v>0.19489777645127604</v>
      </c>
      <c r="AO15" s="356">
        <f>Segments!AT36</f>
        <v>0.28031419284940395</v>
      </c>
      <c r="AP15" s="356">
        <f>Segments!AU36</f>
        <v>0.10500937583712844</v>
      </c>
      <c r="AQ15" s="356">
        <f>Segments!AV36</f>
        <v>8.333333333332589E-4</v>
      </c>
      <c r="AR15" s="357">
        <f>Segments!AW36</f>
        <v>0.14489409064032555</v>
      </c>
      <c r="AS15" s="356">
        <f>Segments!AX36</f>
        <v>0.27478589420654909</v>
      </c>
      <c r="AT15" s="356">
        <f>Segments!AY36</f>
        <v>2.4776119402984981E-2</v>
      </c>
      <c r="AU15" s="356">
        <f>Segments!AZ36</f>
        <v>0.1192121212121211</v>
      </c>
      <c r="AV15" s="356">
        <f>Segments!BA36</f>
        <v>0.18503401360544225</v>
      </c>
      <c r="AW15" s="357">
        <f>Segments!BB36</f>
        <v>0.1445230862697448</v>
      </c>
      <c r="AX15" s="356">
        <f>Segments!BC36</f>
        <v>-0.19173745173745171</v>
      </c>
      <c r="AY15" s="356">
        <f>Segments!BD36</f>
        <v>-0.25918367346938775</v>
      </c>
      <c r="AZ15" s="356">
        <f>Segments!BE36</f>
        <v>-0.33405405405405403</v>
      </c>
      <c r="BA15" s="356">
        <f>Segments!BF36</f>
        <v>-0.31687715269804817</v>
      </c>
      <c r="BB15" s="357">
        <f>Segments!BG36</f>
        <v>-0.27220356768100729</v>
      </c>
      <c r="BC15" s="356">
        <f>Segments!BH36</f>
        <v>-0.10157194679564689</v>
      </c>
      <c r="BD15" s="356">
        <f>Segments!BI36</f>
        <v>5.8073654390934815E-2</v>
      </c>
      <c r="BE15" s="356">
        <f>Segments!BJ36</f>
        <v>0.1796610169491526</v>
      </c>
      <c r="BF15" s="356">
        <f>Segments!BK36</f>
        <v>0.171875</v>
      </c>
      <c r="BG15" s="357">
        <f>Segments!BL36</f>
        <v>6.002223045572435E-2</v>
      </c>
      <c r="BH15" s="356">
        <f>Segments!BM36</f>
        <v>0.34515688949522511</v>
      </c>
      <c r="BI15" s="356">
        <f>Segments!BN36</f>
        <v>0.36546184738955823</v>
      </c>
      <c r="BJ15" s="356">
        <f>Segments!BO36</f>
        <v>0.40229885057471271</v>
      </c>
      <c r="BK15" s="356">
        <f>Segments!BP36</f>
        <v>0.18421052631578955</v>
      </c>
      <c r="BL15" s="357">
        <f>Segments!BQ36</f>
        <v>0.3258741258741259</v>
      </c>
      <c r="BM15" s="356">
        <f>Segments!BR36</f>
        <v>8.1053698074974631E-2</v>
      </c>
      <c r="BN15" s="356">
        <f>Segments!BS36</f>
        <v>-1.9704433497536943E-2</v>
      </c>
      <c r="BO15" s="356">
        <f ca="1">Segments!BT36</f>
        <v>0.10532586558044815</v>
      </c>
      <c r="BP15" s="356">
        <f>Segments!BU36</f>
        <v>9.325638825646182E-2</v>
      </c>
      <c r="BQ15" s="357">
        <f ca="1">Segments!BV36</f>
        <v>6.2977700527149405E-2</v>
      </c>
      <c r="BR15" s="356">
        <f>Segments!BW36</f>
        <v>6.5814271284583781E-2</v>
      </c>
      <c r="BS15" s="356">
        <f>Segments!BX36</f>
        <v>8.2987003512949797E-2</v>
      </c>
      <c r="BT15" s="356">
        <f>Segments!BY36</f>
        <v>7.3479972446598457E-2</v>
      </c>
      <c r="BU15" s="356">
        <f>Segments!BZ36</f>
        <v>7.3948166649398642E-2</v>
      </c>
      <c r="BV15" s="357">
        <f>Segments!CA36</f>
        <v>7.3936801454744031E-2</v>
      </c>
      <c r="BW15" s="356">
        <f>Segments!CB36</f>
        <v>6.987472575689381E-2</v>
      </c>
      <c r="BX15" s="356">
        <f>Segments!CC36</f>
        <v>6.9263928701136415E-2</v>
      </c>
      <c r="BY15" s="356">
        <f>Segments!CD36</f>
        <v>6.9829387086041042E-2</v>
      </c>
      <c r="BZ15" s="356">
        <f>Segments!CE36</f>
        <v>6.835044137600689E-2</v>
      </c>
      <c r="CA15" s="357">
        <f>Segments!CF36</f>
        <v>6.9376281566128004E-2</v>
      </c>
    </row>
    <row r="16" spans="1:79" ht="12.75" customHeight="1" x14ac:dyDescent="0.35">
      <c r="A16" s="41"/>
      <c r="B16" s="43"/>
      <c r="C16" s="43"/>
      <c r="D16" s="43"/>
      <c r="E16" s="43"/>
      <c r="F16" s="43"/>
      <c r="G16" s="43"/>
      <c r="H16" s="43"/>
      <c r="I16" s="213"/>
      <c r="J16" s="37"/>
      <c r="K16" s="37"/>
      <c r="L16" s="37"/>
      <c r="M16" s="37"/>
      <c r="N16" s="213"/>
      <c r="O16" s="37"/>
      <c r="P16" s="37"/>
      <c r="Q16" s="37"/>
      <c r="R16" s="37"/>
      <c r="S16" s="213"/>
      <c r="T16" s="37"/>
      <c r="U16" s="37"/>
      <c r="V16" s="37"/>
      <c r="W16" s="37"/>
      <c r="X16" s="213"/>
      <c r="Y16" s="63"/>
      <c r="Z16" s="63"/>
      <c r="AA16" s="63"/>
      <c r="AB16" s="63"/>
      <c r="AC16" s="49"/>
      <c r="AD16" s="63"/>
      <c r="AE16" s="63"/>
      <c r="AF16" s="63"/>
      <c r="AG16" s="63"/>
      <c r="AH16" s="49"/>
      <c r="AI16" s="63"/>
      <c r="AJ16" s="63"/>
      <c r="AK16" s="63"/>
      <c r="AL16" s="63"/>
      <c r="AM16" s="49"/>
      <c r="AN16" s="63"/>
      <c r="AO16" s="63"/>
      <c r="AP16" s="63"/>
      <c r="AQ16" s="63"/>
      <c r="AR16" s="49"/>
      <c r="AS16" s="63"/>
      <c r="AT16" s="63"/>
      <c r="AU16" s="63"/>
      <c r="AV16" s="63"/>
      <c r="AW16" s="49"/>
      <c r="AX16" s="63"/>
      <c r="AY16" s="63"/>
      <c r="AZ16" s="63"/>
      <c r="BA16" s="63"/>
      <c r="BB16" s="49"/>
      <c r="BC16" s="572"/>
      <c r="BD16" s="572"/>
      <c r="BE16" s="572"/>
      <c r="BF16" s="572"/>
      <c r="BG16" s="49"/>
      <c r="BH16" s="63"/>
      <c r="BI16" s="63"/>
      <c r="BJ16" s="63"/>
      <c r="BK16" s="63"/>
      <c r="BL16" s="49"/>
      <c r="BM16" s="63"/>
      <c r="BN16" s="63"/>
      <c r="BO16" s="63"/>
      <c r="BP16" s="63"/>
      <c r="BQ16" s="49"/>
      <c r="BR16" s="63"/>
      <c r="BS16" s="63"/>
      <c r="BT16" s="63"/>
      <c r="BU16" s="63"/>
      <c r="BV16" s="49"/>
      <c r="BW16" s="63"/>
      <c r="BX16" s="63"/>
      <c r="BY16" s="63"/>
      <c r="BZ16" s="63"/>
      <c r="CA16" s="49"/>
    </row>
    <row r="17" spans="1:79" ht="12.75" customHeight="1" x14ac:dyDescent="0.35">
      <c r="A17" s="24"/>
      <c r="B17" s="24" t="s">
        <v>97</v>
      </c>
      <c r="C17" s="24"/>
      <c r="D17" s="24"/>
      <c r="E17" s="167">
        <f>Segments!J95</f>
        <v>207.4</v>
      </c>
      <c r="F17" s="167">
        <f>Segments!K95</f>
        <v>216</v>
      </c>
      <c r="G17" s="167">
        <f>Segments!L95</f>
        <v>227.4</v>
      </c>
      <c r="H17" s="167">
        <f>Segments!M95</f>
        <v>253.2</v>
      </c>
      <c r="I17" s="212">
        <f>Segments!N95</f>
        <v>904</v>
      </c>
      <c r="J17" s="167">
        <f>Segments!O95</f>
        <v>238.09999999999997</v>
      </c>
      <c r="K17" s="167">
        <f>Segments!P95</f>
        <v>248.50000000000003</v>
      </c>
      <c r="L17" s="167">
        <f>Segments!Q95</f>
        <v>269.5</v>
      </c>
      <c r="M17" s="167">
        <f>Segments!R95</f>
        <v>312.39999999999998</v>
      </c>
      <c r="N17" s="212">
        <f>Segments!S95</f>
        <v>1068.5</v>
      </c>
      <c r="O17" s="167">
        <f>Segments!T95</f>
        <v>263.3</v>
      </c>
      <c r="P17" s="167">
        <f>Segments!U95</f>
        <v>278.89999999999998</v>
      </c>
      <c r="Q17" s="167">
        <f>Segments!V95</f>
        <v>286.8</v>
      </c>
      <c r="R17" s="167">
        <f>Segments!W95</f>
        <v>321.29999999999995</v>
      </c>
      <c r="S17" s="212">
        <f>Segments!X95</f>
        <v>1150.3</v>
      </c>
      <c r="T17" s="167">
        <f>Segments!Y95</f>
        <v>291</v>
      </c>
      <c r="U17" s="167">
        <f>Segments!Z95</f>
        <v>303.3</v>
      </c>
      <c r="V17" s="167">
        <f>Segments!AA95</f>
        <v>304.8</v>
      </c>
      <c r="W17" s="167">
        <f>Segments!AB95</f>
        <v>334.3</v>
      </c>
      <c r="X17" s="257">
        <f>Segments!AC95</f>
        <v>1233.4000000000001</v>
      </c>
      <c r="Y17" s="167">
        <f>Segments!AD95</f>
        <v>307</v>
      </c>
      <c r="Z17" s="167">
        <f>Segments!AE95</f>
        <v>313.8</v>
      </c>
      <c r="AA17" s="167">
        <f>Segments!AF95</f>
        <v>368.7</v>
      </c>
      <c r="AB17" s="167">
        <f>Segments!AG95</f>
        <v>440.8</v>
      </c>
      <c r="AC17" s="257">
        <f>Segments!AH95</f>
        <v>1430.3</v>
      </c>
      <c r="AD17" s="167">
        <f>Segments!AI95</f>
        <v>406.8</v>
      </c>
      <c r="AE17" s="167">
        <f>Segments!AJ95</f>
        <v>422.79999999999995</v>
      </c>
      <c r="AF17" s="167">
        <f>Segments!AK95</f>
        <v>436</v>
      </c>
      <c r="AG17" s="167">
        <f>Segments!AL95</f>
        <v>464.70000000000005</v>
      </c>
      <c r="AH17" s="257">
        <f>Segments!AM95</f>
        <v>1730.3</v>
      </c>
      <c r="AI17" s="167">
        <f>Segments!AN95</f>
        <v>472</v>
      </c>
      <c r="AJ17" s="167">
        <f>Segments!AO95</f>
        <v>475.2</v>
      </c>
      <c r="AK17" s="167">
        <f>Segments!AP95</f>
        <v>493.90000000000003</v>
      </c>
      <c r="AL17" s="167">
        <f>Segments!AQ95</f>
        <v>513</v>
      </c>
      <c r="AM17" s="257">
        <f>Segments!AR95</f>
        <v>1954.1000000000001</v>
      </c>
      <c r="AN17" s="167">
        <f>Segments!AS95</f>
        <v>496</v>
      </c>
      <c r="AO17" s="167">
        <f>Segments!AT95</f>
        <v>497</v>
      </c>
      <c r="AP17" s="167">
        <f>Segments!AU95</f>
        <v>531</v>
      </c>
      <c r="AQ17" s="167">
        <f>Segments!AV95</f>
        <v>555</v>
      </c>
      <c r="AR17" s="257">
        <f>Segments!AW95</f>
        <v>2079</v>
      </c>
      <c r="AS17" s="167">
        <f>Segments!AX95</f>
        <v>564</v>
      </c>
      <c r="AT17" s="167">
        <f>Segments!AY95</f>
        <v>573</v>
      </c>
      <c r="AU17" s="167">
        <f>Segments!AZ95</f>
        <v>601</v>
      </c>
      <c r="AV17" s="167">
        <f>Segments!BA95</f>
        <v>668</v>
      </c>
      <c r="AW17" s="257">
        <f>Segments!BB95</f>
        <v>2406</v>
      </c>
      <c r="AX17" s="167">
        <f>Segments!BC95</f>
        <v>695</v>
      </c>
      <c r="AY17" s="167">
        <f>Segments!BD95</f>
        <v>675</v>
      </c>
      <c r="AZ17" s="167">
        <f>Segments!BE95</f>
        <v>685</v>
      </c>
      <c r="BA17" s="167">
        <f>Segments!BF95</f>
        <v>714</v>
      </c>
      <c r="BB17" s="257">
        <f>Segments!BG95</f>
        <v>2769</v>
      </c>
      <c r="BC17" s="167">
        <f>Segments!BH95</f>
        <v>737</v>
      </c>
      <c r="BD17" s="167">
        <f>Segments!BI95</f>
        <v>747</v>
      </c>
      <c r="BE17" s="167">
        <f>Segments!BJ95</f>
        <v>776</v>
      </c>
      <c r="BF17" s="167">
        <f>Segments!BK95</f>
        <v>796</v>
      </c>
      <c r="BG17" s="257">
        <f>Segments!BL95</f>
        <v>3056</v>
      </c>
      <c r="BH17" s="167">
        <f>Segments!BM95</f>
        <v>799</v>
      </c>
      <c r="BI17" s="167">
        <f>Segments!BN95</f>
        <v>802</v>
      </c>
      <c r="BJ17" s="167">
        <f>Segments!BO95</f>
        <v>831</v>
      </c>
      <c r="BK17" s="167">
        <f>Segments!BP95</f>
        <v>863</v>
      </c>
      <c r="BL17" s="257">
        <f>Segments!BQ95</f>
        <v>3295</v>
      </c>
      <c r="BM17" s="167">
        <f>Segments!BR95</f>
        <v>859</v>
      </c>
      <c r="BN17" s="167">
        <f>Segments!BS95</f>
        <v>888</v>
      </c>
      <c r="BO17" s="167">
        <f>Segments!BT95</f>
        <v>909</v>
      </c>
      <c r="BP17" s="167">
        <f>Segments!BU95</f>
        <v>949.46306902074514</v>
      </c>
      <c r="BQ17" s="257">
        <f>Segments!BV95</f>
        <v>3605.463069020745</v>
      </c>
      <c r="BR17" s="167">
        <f>Segments!BW95</f>
        <v>947.25537284150232</v>
      </c>
      <c r="BS17" s="167">
        <f>Segments!BX95</f>
        <v>956.94559977256108</v>
      </c>
      <c r="BT17" s="167">
        <f>Segments!BY95</f>
        <v>982.92438412645333</v>
      </c>
      <c r="BU17" s="167">
        <f>Segments!BZ95</f>
        <v>1030.4282069040048</v>
      </c>
      <c r="BV17" s="257">
        <f>Segments!CA95</f>
        <v>3917.5535636445211</v>
      </c>
      <c r="BW17" s="167">
        <f>Segments!CB95</f>
        <v>1027.8068592362074</v>
      </c>
      <c r="BX17" s="167">
        <f>Segments!CC95</f>
        <v>1038.14377251356</v>
      </c>
      <c r="BY17" s="167">
        <f>Segments!CD95</f>
        <v>1066.4828870412407</v>
      </c>
      <c r="BZ17" s="167">
        <f>Segments!CE95</f>
        <v>1118.195667665982</v>
      </c>
      <c r="CA17" s="257">
        <f>Segments!CF95</f>
        <v>4250.6291864569903</v>
      </c>
    </row>
    <row r="18" spans="1:79" ht="12.75" customHeight="1" x14ac:dyDescent="0.35">
      <c r="A18" s="24"/>
      <c r="B18" s="378" t="str">
        <f>Segments!B96</f>
        <v>Reported growth % y/y</v>
      </c>
      <c r="C18" s="42"/>
      <c r="E18" s="150">
        <f>Segments!J96</f>
        <v>6.8521380731581649E-2</v>
      </c>
      <c r="F18" s="150">
        <f>Segments!K96</f>
        <v>8.21643286573146E-2</v>
      </c>
      <c r="G18" s="150">
        <f>Segments!L96</f>
        <v>5.7674418604651168E-2</v>
      </c>
      <c r="H18" s="150">
        <f>Segments!M96</f>
        <v>7.8364565587734081E-2</v>
      </c>
      <c r="I18" s="210">
        <f>Segments!N96</f>
        <v>7.1724955542382896E-2</v>
      </c>
      <c r="J18" s="150">
        <f>Segments!O96</f>
        <v>0.14802314368370273</v>
      </c>
      <c r="K18" s="150">
        <f>Segments!P96</f>
        <v>0.15046296296296302</v>
      </c>
      <c r="L18" s="150">
        <f>Segments!Q96</f>
        <v>0.1851363236587511</v>
      </c>
      <c r="M18" s="150">
        <f>Segments!R96</f>
        <v>0.23380726698262233</v>
      </c>
      <c r="N18" s="210">
        <f>Segments!S96</f>
        <v>0.18196902654867264</v>
      </c>
      <c r="O18" s="150">
        <f>Segments!T96</f>
        <v>0.10583788324233545</v>
      </c>
      <c r="P18" s="150">
        <f>Segments!U96</f>
        <v>0.12233400402414474</v>
      </c>
      <c r="Q18" s="150">
        <f>Segments!V96</f>
        <v>6.4192949907235564E-2</v>
      </c>
      <c r="R18" s="150">
        <f>Segments!W96</f>
        <v>2.8489116517285362E-2</v>
      </c>
      <c r="S18" s="210">
        <f>Segments!X96</f>
        <v>7.6555919513336512E-2</v>
      </c>
      <c r="T18" s="150">
        <f>Segments!Y96</f>
        <v>0.10520319027725034</v>
      </c>
      <c r="U18" s="150">
        <f>Segments!Z96</f>
        <v>8.7486554320545196E-2</v>
      </c>
      <c r="V18" s="150">
        <f>Segments!AA96</f>
        <v>6.2761506276150625E-2</v>
      </c>
      <c r="W18" s="150">
        <f>Segments!AB96</f>
        <v>4.046062869592304E-2</v>
      </c>
      <c r="X18" s="210">
        <f>Segments!AC96</f>
        <v>7.2242023819873102E-2</v>
      </c>
      <c r="Y18" s="150">
        <f>Segments!AD96</f>
        <v>5.4982817869415834E-2</v>
      </c>
      <c r="Z18" s="150">
        <f>Segments!AE96</f>
        <v>3.4619188921859445E-2</v>
      </c>
      <c r="AA18" s="150">
        <f>Segments!AF96</f>
        <v>0.20964566929133843</v>
      </c>
      <c r="AB18" s="150">
        <f>Segments!AG96</f>
        <v>0.3185761292252467</v>
      </c>
      <c r="AC18" s="210">
        <f>Segments!AH96</f>
        <v>0.15964001945840756</v>
      </c>
      <c r="AD18" s="150">
        <f>Segments!AI96</f>
        <v>0.3250814332247558</v>
      </c>
      <c r="AE18" s="150">
        <f>Segments!AJ96</f>
        <v>0.34735500318674295</v>
      </c>
      <c r="AF18" s="150">
        <f>Segments!AK96</f>
        <v>0.18253322484404677</v>
      </c>
      <c r="AG18" s="150">
        <f>Segments!AL96</f>
        <v>5.4219600725952999E-2</v>
      </c>
      <c r="AH18" s="210">
        <f>Segments!AM96</f>
        <v>0.20974620708942182</v>
      </c>
      <c r="AI18" s="150">
        <f>Segments!AN96</f>
        <v>0.16027531956735497</v>
      </c>
      <c r="AJ18" s="150">
        <f>Segments!AO96</f>
        <v>0.12393566698202463</v>
      </c>
      <c r="AK18" s="150">
        <f>Segments!AP96</f>
        <v>0.13279816513761467</v>
      </c>
      <c r="AL18" s="150">
        <f>Segments!AQ96</f>
        <v>0.10393802453195589</v>
      </c>
      <c r="AM18" s="210">
        <f>Segments!AR96</f>
        <v>0.12934173264751792</v>
      </c>
      <c r="AN18" s="150">
        <f>Segments!AS96</f>
        <v>5.0847457627118731E-2</v>
      </c>
      <c r="AO18" s="150">
        <f>Segments!AT96</f>
        <v>4.5875420875420847E-2</v>
      </c>
      <c r="AP18" s="150">
        <f>Segments!AU96</f>
        <v>7.5116420328001476E-2</v>
      </c>
      <c r="AQ18" s="150">
        <f>Segments!AV96</f>
        <v>8.1871345029239873E-2</v>
      </c>
      <c r="AR18" s="210">
        <f>Segments!AW96</f>
        <v>6.391689268717049E-2</v>
      </c>
      <c r="AS18" s="150">
        <f>Segments!AX96</f>
        <v>0.13709677419354849</v>
      </c>
      <c r="AT18" s="150">
        <f>Segments!AY96</f>
        <v>0.15291750503018098</v>
      </c>
      <c r="AU18" s="150">
        <f>Segments!AZ96</f>
        <v>0.13182674199623357</v>
      </c>
      <c r="AV18" s="150">
        <f>Segments!BA96</f>
        <v>0.20360360360360352</v>
      </c>
      <c r="AW18" s="210">
        <f>Segments!BB96</f>
        <v>0.15728715728715725</v>
      </c>
      <c r="AX18" s="150">
        <f>Segments!BC96</f>
        <v>0.23226950354609932</v>
      </c>
      <c r="AY18" s="150">
        <f>Segments!BD96</f>
        <v>0.17801047120418856</v>
      </c>
      <c r="AZ18" s="150">
        <f>Segments!BE96</f>
        <v>0.13976705490848595</v>
      </c>
      <c r="BA18" s="150">
        <f>Segments!BF96</f>
        <v>6.8862275449101729E-2</v>
      </c>
      <c r="BB18" s="210">
        <f>Segments!BG96</f>
        <v>0.1508728179551122</v>
      </c>
      <c r="BC18" s="150">
        <f>Segments!BH96</f>
        <v>6.0431654676258884E-2</v>
      </c>
      <c r="BD18" s="182">
        <f>Segments!BI96</f>
        <v>0.10666666666666669</v>
      </c>
      <c r="BE18" s="182">
        <f>Segments!BJ96</f>
        <v>0.13284671532846715</v>
      </c>
      <c r="BF18" s="182">
        <f>Segments!BK96</f>
        <v>0.11484593837535018</v>
      </c>
      <c r="BG18" s="210">
        <f>Segments!BL96</f>
        <v>0.10364752618273743</v>
      </c>
      <c r="BH18" s="150">
        <f>Segments!BM96</f>
        <v>8.4124830393487171E-2</v>
      </c>
      <c r="BI18" s="182">
        <f>Segments!BN96</f>
        <v>7.3627844712182089E-2</v>
      </c>
      <c r="BJ18" s="182">
        <f>Segments!BO96</f>
        <v>7.0876288659793785E-2</v>
      </c>
      <c r="BK18" s="150">
        <f>Segments!BP96</f>
        <v>8.4170854271356843E-2</v>
      </c>
      <c r="BL18" s="210">
        <f>Segments!BQ96</f>
        <v>7.8206806282722585E-2</v>
      </c>
      <c r="BM18" s="150">
        <f>Segments!BR96</f>
        <v>7.5093867334167674E-2</v>
      </c>
      <c r="BN18" s="182">
        <f>Segments!BS96</f>
        <v>0.10723192019950134</v>
      </c>
      <c r="BO18" s="150">
        <f>Segments!BT96</f>
        <v>9.3862815884476536E-2</v>
      </c>
      <c r="BP18" s="150">
        <f>Segments!BU96</f>
        <v>0.10018895599159339</v>
      </c>
      <c r="BQ18" s="210">
        <f>Segments!BV96</f>
        <v>9.4222479217221489E-2</v>
      </c>
      <c r="BR18" s="150">
        <f>Segments!BW96</f>
        <v>0.10274199399476402</v>
      </c>
      <c r="BS18" s="182">
        <f>Segments!BX96</f>
        <v>7.7641441185316573E-2</v>
      </c>
      <c r="BT18" s="150">
        <f>Segments!BY96</f>
        <v>8.132495503460202E-2</v>
      </c>
      <c r="BU18" s="150">
        <f>Segments!BZ96</f>
        <v>8.527465735635742E-2</v>
      </c>
      <c r="BV18" s="210">
        <f>Segments!CA96</f>
        <v>8.6560446924378143E-2</v>
      </c>
      <c r="BW18" s="150">
        <f>Segments!CB96</f>
        <v>8.5036716290215475E-2</v>
      </c>
      <c r="BX18" s="182">
        <f>Segments!CC96</f>
        <v>8.4851398825907642E-2</v>
      </c>
      <c r="BY18" s="150">
        <f>Segments!CD96</f>
        <v>8.5010102775146423E-2</v>
      </c>
      <c r="BZ18" s="150">
        <f>Segments!CE96</f>
        <v>8.5175716438975257E-2</v>
      </c>
      <c r="CA18" s="210">
        <f>Segments!CF96</f>
        <v>8.5021332165936547E-2</v>
      </c>
    </row>
    <row r="19" spans="1:79" ht="12.75" customHeight="1" x14ac:dyDescent="0.35">
      <c r="A19" s="24"/>
      <c r="B19" s="378" t="str">
        <f>Segments!B41</f>
        <v>% revenue</v>
      </c>
      <c r="C19" s="42"/>
      <c r="E19" s="255"/>
      <c r="F19" s="255"/>
      <c r="G19" s="255"/>
      <c r="H19" s="255"/>
      <c r="I19" s="191"/>
      <c r="J19" s="150">
        <f>Segments!O101</f>
        <v>-5.9636650868878482E-2</v>
      </c>
      <c r="K19" s="150">
        <f>Segments!P101</f>
        <v>4.3679126417471847E-2</v>
      </c>
      <c r="L19" s="150">
        <f>Segments!Q101</f>
        <v>8.4507042253521014E-2</v>
      </c>
      <c r="M19" s="150">
        <f>Segments!R101</f>
        <v>0.15918367346938767</v>
      </c>
      <c r="N19" s="191"/>
      <c r="O19" s="150">
        <f>Segments!T101</f>
        <v>-0.15717029449423803</v>
      </c>
      <c r="P19" s="150">
        <f>Segments!U101</f>
        <v>5.9248006076718429E-2</v>
      </c>
      <c r="Q19" s="150">
        <f>Segments!V101</f>
        <v>2.8325564718537199E-2</v>
      </c>
      <c r="R19" s="150">
        <f>Segments!W101</f>
        <v>0.12029288702928853</v>
      </c>
      <c r="S19" s="191"/>
      <c r="T19" s="150">
        <f>Segments!Y101</f>
        <v>-9.4304388422035368E-2</v>
      </c>
      <c r="U19" s="150">
        <f>Segments!Z101</f>
        <v>4.2268041237113474E-2</v>
      </c>
      <c r="V19" s="150">
        <f>Segments!AA101</f>
        <v>4.9455984174084922E-3</v>
      </c>
      <c r="W19" s="150">
        <f>Segments!AB101</f>
        <v>9.6784776902887115E-2</v>
      </c>
      <c r="X19" s="191"/>
      <c r="Y19" s="150">
        <f>Segments!AD101</f>
        <v>-8.1663176787316827E-2</v>
      </c>
      <c r="Z19" s="150">
        <f>Segments!AE101</f>
        <v>2.2149837133550454E-2</v>
      </c>
      <c r="AA19" s="150">
        <f>Segments!AF101</f>
        <v>0.17495219885277247</v>
      </c>
      <c r="AB19" s="150">
        <f>Segments!AG101</f>
        <v>0.19555193924599945</v>
      </c>
      <c r="AC19" s="191"/>
      <c r="AD19" s="150">
        <f>Segments!AI101</f>
        <v>-7.7132486388384769E-2</v>
      </c>
      <c r="AE19" s="150">
        <f>Segments!AJ101</f>
        <v>3.9331366764995046E-2</v>
      </c>
      <c r="AF19" s="150">
        <f>Segments!AK101</f>
        <v>3.1220435193945129E-2</v>
      </c>
      <c r="AG19" s="150">
        <f>Segments!AL101</f>
        <v>6.5825688073394506E-2</v>
      </c>
      <c r="AH19" s="191"/>
      <c r="AI19" s="150">
        <f>Segments!AN101</f>
        <v>1.5709059608349341E-2</v>
      </c>
      <c r="AJ19" s="150">
        <f>Segments!AO101</f>
        <v>6.7796610169490457E-3</v>
      </c>
      <c r="AK19" s="150">
        <f>Segments!AP101</f>
        <v>3.935185185185186E-2</v>
      </c>
      <c r="AL19" s="150">
        <f>Segments!AQ101</f>
        <v>3.8671795910103279E-2</v>
      </c>
      <c r="AM19" s="191"/>
      <c r="AN19" s="150">
        <f>Segments!AS101</f>
        <v>-3.3138401559454245E-2</v>
      </c>
      <c r="AO19" s="150">
        <f>Segments!AT101</f>
        <v>2.0161290322580072E-3</v>
      </c>
      <c r="AP19" s="150">
        <f>Segments!AU101</f>
        <v>6.8410462776659964E-2</v>
      </c>
      <c r="AQ19" s="150">
        <f>Segments!AV101</f>
        <v>4.5197740112994378E-2</v>
      </c>
      <c r="AR19" s="191"/>
      <c r="AS19" s="150">
        <f>Segments!AX101</f>
        <v>1.6216216216216273E-2</v>
      </c>
      <c r="AT19" s="150">
        <f>Segments!AY101</f>
        <v>-0.72438672438672436</v>
      </c>
      <c r="AU19" s="150">
        <f>Segments!AZ101</f>
        <v>4.8865619546247796E-2</v>
      </c>
      <c r="AV19" s="150">
        <f>Segments!BA101</f>
        <v>0.11148086522462552</v>
      </c>
      <c r="AW19" s="191"/>
      <c r="AX19" s="150">
        <f>Segments!BC101</f>
        <v>4.041916167664672E-2</v>
      </c>
      <c r="AY19" s="150">
        <f>Segments!BD101</f>
        <v>-2.877697841726623E-2</v>
      </c>
      <c r="AZ19" s="150">
        <f>Segments!BE101</f>
        <v>1.4814814814814836E-2</v>
      </c>
      <c r="BA19" s="150">
        <f>Segments!BF101</f>
        <v>4.2335766423357679E-2</v>
      </c>
      <c r="BB19" s="191"/>
      <c r="BC19" s="150">
        <f>Segments!BH101</f>
        <v>3.2212885154061732E-2</v>
      </c>
      <c r="BD19" s="150">
        <f>Segments!BI101</f>
        <v>1.3568521031207537E-2</v>
      </c>
      <c r="BE19" s="150">
        <f>Segments!BJ101</f>
        <v>3.8821954484605126E-2</v>
      </c>
      <c r="BF19" s="150">
        <f>Segments!BK101</f>
        <v>2.5773195876288568E-2</v>
      </c>
      <c r="BG19" s="191"/>
      <c r="BH19" s="150">
        <f>Segments!BM101</f>
        <v>3.7688442211054607E-3</v>
      </c>
      <c r="BI19" s="150">
        <f>Segments!BN101</f>
        <v>3.754693366708306E-3</v>
      </c>
      <c r="BJ19" s="150">
        <f>Segments!BO101</f>
        <v>3.6159600997506258E-2</v>
      </c>
      <c r="BK19" s="150">
        <f>Segments!BP101</f>
        <v>3.8507821901323736E-2</v>
      </c>
      <c r="BL19" s="191"/>
      <c r="BM19" s="150">
        <f>Segments!BR101</f>
        <v>-4.6349942062572369E-3</v>
      </c>
      <c r="BN19" s="150">
        <f>Segments!BS101</f>
        <v>3.3760186263096514E-2</v>
      </c>
      <c r="BO19" s="150">
        <f>Segments!BT101</f>
        <v>2.3648648648648685E-2</v>
      </c>
      <c r="BP19" s="150">
        <f>Segments!BU101</f>
        <v>4.4513827305550313E-2</v>
      </c>
      <c r="BQ19" s="191"/>
      <c r="BR19" s="150">
        <f>Segments!BW101</f>
        <v>-2.3252048987221219E-3</v>
      </c>
      <c r="BS19" s="150">
        <f>Segments!BX101</f>
        <v>1.0229793579307644E-2</v>
      </c>
      <c r="BT19" s="150">
        <f>Segments!BY101</f>
        <v>2.7147608348966346E-2</v>
      </c>
      <c r="BU19" s="150">
        <f>Segments!BZ101</f>
        <v>4.8329071436933768E-2</v>
      </c>
      <c r="BV19" s="191"/>
      <c r="BW19" s="150">
        <f>Segments!CB101</f>
        <v>-2.5439401311357912E-3</v>
      </c>
      <c r="BX19" s="150">
        <f>Segments!CC101</f>
        <v>1.005725266810753E-2</v>
      </c>
      <c r="BY19" s="150">
        <f>Segments!CD101</f>
        <v>2.7297870755479181E-2</v>
      </c>
      <c r="BZ19" s="150">
        <f>Segments!CE101</f>
        <v>4.8489086185160346E-2</v>
      </c>
      <c r="CA19" s="191"/>
    </row>
    <row r="20" spans="1:79" ht="12.75" customHeight="1" x14ac:dyDescent="0.35">
      <c r="A20" s="24"/>
      <c r="B20" s="378" t="str">
        <f>Segments!B97</f>
        <v>M&amp;A impact % y/y</v>
      </c>
      <c r="C20" s="42"/>
      <c r="E20" s="255"/>
      <c r="F20" s="255"/>
      <c r="G20" s="255"/>
      <c r="H20" s="255"/>
      <c r="I20" s="191"/>
      <c r="J20" s="150">
        <f>Segments!O97</f>
        <v>0.05</v>
      </c>
      <c r="K20" s="150">
        <f>Segments!P97</f>
        <v>0.05</v>
      </c>
      <c r="L20" s="150">
        <f>Segments!Q97</f>
        <v>7.0000000000000007E-2</v>
      </c>
      <c r="M20" s="150">
        <f>Segments!R97</f>
        <v>5.5E-2</v>
      </c>
      <c r="N20" s="191"/>
      <c r="O20" s="150">
        <f>Segments!T97</f>
        <v>4.3999999999999997E-2</v>
      </c>
      <c r="P20" s="150">
        <f>Segments!U97</f>
        <v>0.05</v>
      </c>
      <c r="Q20" s="150">
        <f>Segments!V97</f>
        <v>1.5951762523191096E-2</v>
      </c>
      <c r="R20" s="150">
        <f>Segments!W97</f>
        <v>0</v>
      </c>
      <c r="S20" s="210">
        <f>Segments!X97</f>
        <v>2.5456621431913899E-2</v>
      </c>
      <c r="T20" s="150">
        <f>Segments!Y97</f>
        <v>2.2499999999999999E-2</v>
      </c>
      <c r="U20" s="150">
        <f>Segments!Z97</f>
        <v>0.03</v>
      </c>
      <c r="V20" s="150">
        <f>Segments!AA97</f>
        <v>0.03</v>
      </c>
      <c r="W20" s="150">
        <f>Segments!AB97</f>
        <v>0.03</v>
      </c>
      <c r="X20" s="210">
        <f>Segments!AC97</f>
        <v>2.8283273928540374E-2</v>
      </c>
      <c r="Y20" s="150">
        <f>Segments!AD97</f>
        <v>0.03</v>
      </c>
      <c r="Z20" s="150">
        <f>Segments!AE97</f>
        <v>0</v>
      </c>
      <c r="AA20" s="150">
        <f>Segments!AF97</f>
        <v>9.9081364829396321E-2</v>
      </c>
      <c r="AB20" s="150">
        <f>Segments!AG97</f>
        <v>0.18546215973676339</v>
      </c>
      <c r="AC20" s="210">
        <f>Segments!AH97</f>
        <v>8.1830711853413327E-2</v>
      </c>
      <c r="AD20" s="150">
        <f>Segments!AI97</f>
        <v>0.23941368078175895</v>
      </c>
      <c r="AE20" s="150">
        <f>Segments!AJ97</f>
        <v>0.25493945188017847</v>
      </c>
      <c r="AF20" s="150">
        <f>Segments!AK97</f>
        <v>0.10008136696501214</v>
      </c>
      <c r="AG20" s="150">
        <f>Segments!AL97</f>
        <v>2.5635208711433783E-2</v>
      </c>
      <c r="AH20" s="210">
        <f>Segments!AM97</f>
        <v>0.14101936656645458</v>
      </c>
      <c r="AI20" s="150">
        <f>Segments!AN97</f>
        <v>2.8023598820058997E-2</v>
      </c>
      <c r="AJ20" s="150">
        <f>Segments!AO97</f>
        <v>2.341532639545885E-2</v>
      </c>
      <c r="AK20" s="150">
        <f>Segments!AP97</f>
        <v>2.8899082568807338E-2</v>
      </c>
      <c r="AL20" s="150">
        <f>Segments!AQ97</f>
        <v>-1.7215407789972024E-2</v>
      </c>
      <c r="AM20" s="210">
        <f>Segments!AR97</f>
        <v>1.4968502571808356E-2</v>
      </c>
      <c r="AN20" s="150">
        <f>Segments!AS97</f>
        <v>-3.6016949152542374E-2</v>
      </c>
      <c r="AO20" s="150">
        <f>Segments!AT97</f>
        <v>-1.2626262626262626E-2</v>
      </c>
      <c r="AP20" s="150">
        <f>Segments!AU97</f>
        <v>-1.917290949584936E-2</v>
      </c>
      <c r="AQ20" s="150">
        <f>Segments!AV97</f>
        <v>1.1695906432748537E-2</v>
      </c>
      <c r="AR20" s="210">
        <f>Segments!AW97</f>
        <v>-1.3545622025484875E-2</v>
      </c>
      <c r="AS20" s="150">
        <f>Segments!AX97</f>
        <v>3.8306451612903226E-2</v>
      </c>
      <c r="AT20" s="150">
        <f>Segments!AY97</f>
        <v>2.6156941649899398E-2</v>
      </c>
      <c r="AU20" s="150">
        <f>Segments!AZ97</f>
        <v>5.2730696798493411E-2</v>
      </c>
      <c r="AV20" s="150">
        <f>Segments!BA97</f>
        <v>0.14054054054054055</v>
      </c>
      <c r="AW20" s="210">
        <f>Segments!BB97</f>
        <v>6.6378066378066383E-2</v>
      </c>
      <c r="AX20" s="150">
        <f>Segments!BC97</f>
        <v>0.14007092198581561</v>
      </c>
      <c r="AY20" s="150">
        <f>Segments!BD97</f>
        <v>0.14485165794066318</v>
      </c>
      <c r="AZ20" s="150">
        <f>Segments!BE97</f>
        <v>0.11647254575707154</v>
      </c>
      <c r="BA20" s="150">
        <f>Segments!BF97</f>
        <v>5.9880239520958087E-3</v>
      </c>
      <c r="BB20" s="210">
        <f>Segments!BG97</f>
        <v>9.8088113050706568E-2</v>
      </c>
      <c r="BC20" s="150">
        <f>Segments!BH97</f>
        <v>0</v>
      </c>
      <c r="BD20" s="150">
        <f>Segments!BI97</f>
        <v>0</v>
      </c>
      <c r="BE20" s="150">
        <f>Segments!BJ97</f>
        <v>0</v>
      </c>
      <c r="BF20" s="150">
        <f>Segments!BK97</f>
        <v>0</v>
      </c>
      <c r="BG20" s="210">
        <f>Segments!BL97</f>
        <v>0</v>
      </c>
      <c r="BH20" s="150">
        <f>Segments!BM97</f>
        <v>0</v>
      </c>
      <c r="BI20" s="150">
        <f>Segments!BN97</f>
        <v>0</v>
      </c>
      <c r="BJ20" s="150">
        <f>Segments!BO97</f>
        <v>0</v>
      </c>
      <c r="BK20" s="150">
        <f>Segments!BP97</f>
        <v>2.5125628140703518E-3</v>
      </c>
      <c r="BL20" s="210">
        <f>Segments!BQ97</f>
        <v>6.5445026178010475E-4</v>
      </c>
      <c r="BM20" s="150">
        <f>Segments!BR97</f>
        <v>1.3767209011264081E-2</v>
      </c>
      <c r="BN20" s="150">
        <f>Segments!BS97</f>
        <v>1.7456359102244388E-2</v>
      </c>
      <c r="BO20" s="150">
        <f>Segments!BT97</f>
        <v>1.5643802647412757E-2</v>
      </c>
      <c r="BP20" s="150">
        <f>Segments!BU97</f>
        <v>6.9524913093858632E-3</v>
      </c>
      <c r="BQ20" s="210">
        <f>Segments!BV97</f>
        <v>1.3353566009104704E-2</v>
      </c>
      <c r="BR20" s="150">
        <f>Segments!BW97</f>
        <v>-4.6565774155995342E-3</v>
      </c>
      <c r="BS20" s="150">
        <f>Segments!BX97</f>
        <v>-4.5045045045045045E-3</v>
      </c>
      <c r="BT20" s="150">
        <f>Segments!BY97</f>
        <v>-4.4004400440044002E-3</v>
      </c>
      <c r="BU20" s="150">
        <f>Segments!BZ97</f>
        <v>0</v>
      </c>
      <c r="BV20" s="210">
        <f>Segments!CA97</f>
        <v>-3.3282826006755459E-3</v>
      </c>
      <c r="BW20" s="150">
        <f>Segments!CB97</f>
        <v>0</v>
      </c>
      <c r="BX20" s="150">
        <f>Segments!CC97</f>
        <v>0</v>
      </c>
      <c r="BY20" s="150">
        <f>Segments!CD97</f>
        <v>0</v>
      </c>
      <c r="BZ20" s="150">
        <f>Segments!CE97</f>
        <v>0</v>
      </c>
      <c r="CA20" s="210">
        <f>Segments!CF97</f>
        <v>0</v>
      </c>
    </row>
    <row r="21" spans="1:79" s="132" customFormat="1" ht="12.75" customHeight="1" x14ac:dyDescent="0.35">
      <c r="A21" s="24"/>
      <c r="B21" s="379" t="str">
        <f>Segments!B98</f>
        <v>Organic growth % y/y</v>
      </c>
      <c r="C21" s="53"/>
      <c r="D21" s="24"/>
      <c r="E21" s="270"/>
      <c r="F21" s="270"/>
      <c r="G21" s="270"/>
      <c r="H21" s="270"/>
      <c r="I21" s="359"/>
      <c r="J21" s="182">
        <f>Segments!O98</f>
        <v>9.8023143683702726E-2</v>
      </c>
      <c r="K21" s="182">
        <f>Segments!P98</f>
        <v>0.10046296296296302</v>
      </c>
      <c r="L21" s="182">
        <f>Segments!Q98</f>
        <v>0.11513632365875109</v>
      </c>
      <c r="M21" s="182">
        <f>Segments!R98</f>
        <v>0.17880726698262234</v>
      </c>
      <c r="N21" s="359"/>
      <c r="O21" s="182">
        <f>Segments!T98</f>
        <v>6.1837883242335454E-2</v>
      </c>
      <c r="P21" s="182">
        <f>Segments!U98</f>
        <v>7.2334004024144735E-2</v>
      </c>
      <c r="Q21" s="182">
        <f>Segments!V98</f>
        <v>4.8241187384044468E-2</v>
      </c>
      <c r="R21" s="182">
        <f>Segments!W98</f>
        <v>2.8489116517285362E-2</v>
      </c>
      <c r="S21" s="211">
        <f>Segments!X98</f>
        <v>5.109929808142253E-2</v>
      </c>
      <c r="T21" s="182">
        <f>Segments!Y98</f>
        <v>8.2703190277250344E-2</v>
      </c>
      <c r="U21" s="182">
        <f>Segments!Z98</f>
        <v>5.7486554320545197E-2</v>
      </c>
      <c r="V21" s="182">
        <f>Segments!AA98</f>
        <v>3.2761506276150626E-2</v>
      </c>
      <c r="W21" s="182">
        <f>Segments!AB98</f>
        <v>1.0460628695923041E-2</v>
      </c>
      <c r="X21" s="211">
        <f>Segments!AC98</f>
        <v>4.3958749891332825E-2</v>
      </c>
      <c r="Y21" s="182">
        <f>Segments!AD98</f>
        <v>2.4982817869415835E-2</v>
      </c>
      <c r="Z21" s="182">
        <f>Segments!AE98</f>
        <v>3.4619188921859445E-2</v>
      </c>
      <c r="AA21" s="182">
        <f>Segments!AF98</f>
        <v>0.11056430446194211</v>
      </c>
      <c r="AB21" s="182">
        <f>Segments!AG98</f>
        <v>0.13311396948848331</v>
      </c>
      <c r="AC21" s="211">
        <f>Segments!AH98</f>
        <v>7.7809307604994243E-2</v>
      </c>
      <c r="AD21" s="182">
        <f>Segments!AI98</f>
        <v>8.5667752442996847E-2</v>
      </c>
      <c r="AE21" s="182">
        <f>Segments!AJ98</f>
        <v>9.2415551306564481E-2</v>
      </c>
      <c r="AF21" s="182">
        <f>Segments!AK98</f>
        <v>8.2451857879034626E-2</v>
      </c>
      <c r="AG21" s="182">
        <f>Segments!AL98</f>
        <v>2.8584392014519216E-2</v>
      </c>
      <c r="AH21" s="211">
        <f>Segments!AM98</f>
        <v>6.8726840522967278E-2</v>
      </c>
      <c r="AI21" s="182">
        <f>Segments!AN98</f>
        <v>0.13225172074729596</v>
      </c>
      <c r="AJ21" s="182">
        <f>Segments!AO98</f>
        <v>0.10052034058656578</v>
      </c>
      <c r="AK21" s="182">
        <f>Segments!AP98</f>
        <v>0.10389908256880732</v>
      </c>
      <c r="AL21" s="182">
        <f>Segments!AQ98</f>
        <v>0.12115343232192791</v>
      </c>
      <c r="AM21" s="211">
        <f>Segments!AR98</f>
        <v>0.11437323007570936</v>
      </c>
      <c r="AN21" s="182">
        <f>Segments!AS98</f>
        <v>8.6864406779661105E-2</v>
      </c>
      <c r="AO21" s="182">
        <f>Segments!AT98</f>
        <v>5.8501683501683471E-2</v>
      </c>
      <c r="AP21" s="182">
        <f>Segments!AU98</f>
        <v>9.428932982385084E-2</v>
      </c>
      <c r="AQ21" s="182">
        <f>Segments!AV98</f>
        <v>7.0175438596491335E-2</v>
      </c>
      <c r="AR21" s="211">
        <f>Segments!AW98</f>
        <v>7.7462514712655445E-2</v>
      </c>
      <c r="AS21" s="182">
        <f>Segments!AX98</f>
        <v>9.8790322580645268E-2</v>
      </c>
      <c r="AT21" s="182">
        <f>Segments!AY98</f>
        <v>0.12676056338028158</v>
      </c>
      <c r="AU21" s="182">
        <f>Segments!AZ98</f>
        <v>7.9096045197740161E-2</v>
      </c>
      <c r="AV21" s="182">
        <f>Segments!BA98</f>
        <v>6.3063063063062974E-2</v>
      </c>
      <c r="AW21" s="211">
        <f>Segments!BB98</f>
        <v>9.0909090909090898E-2</v>
      </c>
      <c r="AX21" s="182">
        <f>Segments!BC98</f>
        <v>9.219858156028371E-2</v>
      </c>
      <c r="AY21" s="182">
        <f>Segments!BD98</f>
        <v>3.3158813263525377E-2</v>
      </c>
      <c r="AZ21" s="182">
        <f>Segments!BE98</f>
        <v>2.3294509151414414E-2</v>
      </c>
      <c r="BA21" s="182">
        <f>Segments!BF98</f>
        <v>6.2874251497005915E-2</v>
      </c>
      <c r="BB21" s="211">
        <f>Segments!BG98</f>
        <v>5.2784704904405677E-2</v>
      </c>
      <c r="BC21" s="182">
        <f>Segments!BH98</f>
        <v>6.0431654676258884E-2</v>
      </c>
      <c r="BD21" s="182">
        <f>Segments!BI98</f>
        <v>0.10666666666666669</v>
      </c>
      <c r="BE21" s="182">
        <f>Segments!BJ98</f>
        <v>0.13284671532846715</v>
      </c>
      <c r="BF21" s="182">
        <f>Segments!BK98</f>
        <v>0.11484593837535018</v>
      </c>
      <c r="BG21" s="211">
        <f>Segments!BL98</f>
        <v>0.10364752618273745</v>
      </c>
      <c r="BH21" s="182">
        <f>Segments!BM98</f>
        <v>8.4124830393487171E-2</v>
      </c>
      <c r="BI21" s="182">
        <f>Segments!BN98</f>
        <v>7.3627844712182089E-2</v>
      </c>
      <c r="BJ21" s="182">
        <f>Segments!BO98</f>
        <v>7.0876288659793785E-2</v>
      </c>
      <c r="BK21" s="182">
        <f>Segments!BP98</f>
        <v>8.1658291457286494E-2</v>
      </c>
      <c r="BL21" s="211">
        <f>Segments!BQ98</f>
        <v>7.7552356020942431E-2</v>
      </c>
      <c r="BM21" s="182">
        <f>Segments!BR98</f>
        <v>6.1326658322903592E-2</v>
      </c>
      <c r="BN21" s="182">
        <f>Segments!BS98</f>
        <v>8.9775561097256956E-2</v>
      </c>
      <c r="BO21" s="182">
        <f>Segments!BT98</f>
        <v>7.8219013237063775E-2</v>
      </c>
      <c r="BP21" s="182">
        <f>Segments!BU98</f>
        <v>9.3236464682207518E-2</v>
      </c>
      <c r="BQ21" s="211">
        <f>Segments!BV98</f>
        <v>8.0868913208116885E-2</v>
      </c>
      <c r="BR21" s="182">
        <f>Segments!BW98</f>
        <v>0.10739857141036356</v>
      </c>
      <c r="BS21" s="182">
        <f>Segments!BX98</f>
        <v>8.2145945689821073E-2</v>
      </c>
      <c r="BT21" s="182">
        <f>Segments!BY98</f>
        <v>8.5725395078606423E-2</v>
      </c>
      <c r="BU21" s="182">
        <f>Segments!BZ98</f>
        <v>8.527465735635742E-2</v>
      </c>
      <c r="BV21" s="211">
        <f>Segments!CA98</f>
        <v>8.988872952505382E-2</v>
      </c>
      <c r="BW21" s="182">
        <f>Segments!CB98</f>
        <v>8.5036716290215475E-2</v>
      </c>
      <c r="BX21" s="182">
        <f>Segments!CC98</f>
        <v>8.4851398825907642E-2</v>
      </c>
      <c r="BY21" s="182">
        <f>Segments!CD98</f>
        <v>8.5010102775146423E-2</v>
      </c>
      <c r="BZ21" s="182">
        <f>Segments!CE98</f>
        <v>8.5175716438975257E-2</v>
      </c>
      <c r="CA21" s="211">
        <f>Segments!CF98</f>
        <v>8.5021332165936381E-2</v>
      </c>
    </row>
    <row r="22" spans="1:79" ht="12.75" customHeight="1" x14ac:dyDescent="0.35">
      <c r="A22" s="24"/>
      <c r="B22" s="378" t="str">
        <f>Segments!B99</f>
        <v>FX impact % y/y</v>
      </c>
      <c r="C22" s="42"/>
      <c r="E22" s="255"/>
      <c r="F22" s="255"/>
      <c r="G22" s="255"/>
      <c r="H22" s="255"/>
      <c r="I22" s="191"/>
      <c r="J22" s="150">
        <f>Segments!O99</f>
        <v>0</v>
      </c>
      <c r="K22" s="150">
        <f>Segments!P99</f>
        <v>0.03</v>
      </c>
      <c r="L22" s="150">
        <f>Segments!Q99</f>
        <v>0.02</v>
      </c>
      <c r="M22" s="150">
        <f>Segments!R99</f>
        <v>-0.03</v>
      </c>
      <c r="N22" s="191"/>
      <c r="O22" s="150">
        <f>Segments!T99</f>
        <v>-0.05</v>
      </c>
      <c r="P22" s="150">
        <f>Segments!U99</f>
        <v>-0.06</v>
      </c>
      <c r="Q22" s="150">
        <f>Segments!V99</f>
        <v>-0.05</v>
      </c>
      <c r="R22" s="150">
        <f>Segments!W99</f>
        <v>-0.03</v>
      </c>
      <c r="S22" s="210">
        <f>Segments!X99</f>
        <v>-4.6478240524099212E-2</v>
      </c>
      <c r="T22" s="150">
        <f>Segments!Y99</f>
        <v>-0.02</v>
      </c>
      <c r="U22" s="150">
        <f>Segments!Z99</f>
        <v>-0.01</v>
      </c>
      <c r="V22" s="150">
        <f>Segments!AA99</f>
        <v>-0.03</v>
      </c>
      <c r="W22" s="150">
        <f>Segments!AB99</f>
        <v>-0.04</v>
      </c>
      <c r="X22" s="210">
        <f>Segments!AC99</f>
        <v>-2.5655046509606188E-2</v>
      </c>
      <c r="Y22" s="150">
        <f>Segments!AD99</f>
        <v>-0.01</v>
      </c>
      <c r="Z22" s="150">
        <f>Segments!AE99</f>
        <v>0</v>
      </c>
      <c r="AA22" s="150">
        <f>Segments!AF99</f>
        <v>0.01</v>
      </c>
      <c r="AB22" s="150">
        <f>Segments!AG99</f>
        <v>0.03</v>
      </c>
      <c r="AC22" s="210">
        <f>Segments!AH99</f>
        <v>8.2430679422733893E-3</v>
      </c>
      <c r="AD22" s="150">
        <f>Segments!AI99</f>
        <v>0.04</v>
      </c>
      <c r="AE22" s="150">
        <f>Segments!AJ99</f>
        <v>0.02</v>
      </c>
      <c r="AF22" s="150">
        <f>Segments!AK99</f>
        <v>-0.01</v>
      </c>
      <c r="AG22" s="150">
        <f>Segments!AL99</f>
        <v>-0.02</v>
      </c>
      <c r="AH22" s="210">
        <f>Segments!AM99</f>
        <v>4.2319793050409008E-3</v>
      </c>
      <c r="AI22" s="150">
        <f>Segments!AN99</f>
        <v>-0.03</v>
      </c>
      <c r="AJ22" s="150">
        <f>Segments!AO99</f>
        <v>-0.03</v>
      </c>
      <c r="AK22" s="150">
        <f>Segments!AP99</f>
        <v>-0.02</v>
      </c>
      <c r="AL22" s="150">
        <f>Segments!AQ99</f>
        <v>0</v>
      </c>
      <c r="AM22" s="210">
        <f>Segments!AR99</f>
        <v>-1.9423221406692479E-2</v>
      </c>
      <c r="AN22" s="150">
        <f>Segments!AS99</f>
        <v>-0.01</v>
      </c>
      <c r="AO22" s="150">
        <f>Segments!AT99</f>
        <v>-0.02</v>
      </c>
      <c r="AP22" s="150">
        <f>Segments!AU99</f>
        <v>1.619761085239927E-2</v>
      </c>
      <c r="AQ22" s="150">
        <f>Segments!AV99</f>
        <v>0.02</v>
      </c>
      <c r="AR22" s="210">
        <f>Segments!AW99</f>
        <v>2.0654009518448388E-3</v>
      </c>
      <c r="AS22" s="150">
        <f>Segments!AX99</f>
        <v>0.04</v>
      </c>
      <c r="AT22" s="150">
        <f>Segments!AY99</f>
        <v>0.05</v>
      </c>
      <c r="AU22" s="150">
        <f>Segments!AZ99</f>
        <v>0.01</v>
      </c>
      <c r="AV22" s="150">
        <f>Segments!BA99</f>
        <v>-0.01</v>
      </c>
      <c r="AW22" s="210">
        <f>Segments!BB99</f>
        <v>2.1380471380471382E-2</v>
      </c>
      <c r="AX22" s="150">
        <f>Segments!BC99</f>
        <v>-2.3049645390070921E-2</v>
      </c>
      <c r="AY22" s="150">
        <f>Segments!BD99</f>
        <v>-4.712041884816754E-2</v>
      </c>
      <c r="AZ22" s="150">
        <f>Segments!BE99</f>
        <v>-6.8219633943427616E-2</v>
      </c>
      <c r="BA22" s="150">
        <f>Segments!BF99</f>
        <v>-4.790419161676647E-2</v>
      </c>
      <c r="BB22" s="210">
        <f>Segments!BG99</f>
        <v>-4.6965918536990857E-2</v>
      </c>
      <c r="BC22" s="150">
        <f>Segments!BH99</f>
        <v>-2.5899280575539568E-2</v>
      </c>
      <c r="BD22" s="150">
        <f>Segments!BI99</f>
        <v>3.0000000000000001E-3</v>
      </c>
      <c r="BE22" s="150">
        <f>Segments!BJ99</f>
        <v>2.4817518248175182E-2</v>
      </c>
      <c r="BF22" s="150">
        <f>Segments!BK99</f>
        <v>1.680672268907563E-2</v>
      </c>
      <c r="BG22" s="210">
        <f>Segments!BL99</f>
        <v>4.7038642109064645E-3</v>
      </c>
      <c r="BH22" s="150">
        <f>Segments!BM99</f>
        <v>2.7137042062415195E-3</v>
      </c>
      <c r="BI22" s="150">
        <f>Segments!BN99</f>
        <v>-2.6773761713520749E-3</v>
      </c>
      <c r="BJ22" s="150">
        <f>Segments!BO99</f>
        <v>6.4432989690721646E-3</v>
      </c>
      <c r="BK22" s="150">
        <f>Segments!BP99</f>
        <v>0</v>
      </c>
      <c r="BL22" s="210">
        <f>Segments!BQ99</f>
        <v>1.6361256544502618E-3</v>
      </c>
      <c r="BM22" s="150">
        <f>Segments!BR99</f>
        <v>-1.0012515644555695E-2</v>
      </c>
      <c r="BN22" s="150">
        <f>Segments!BS99</f>
        <v>1.8703241895261846E-2</v>
      </c>
      <c r="BO22" s="150">
        <f>Segments!BT99</f>
        <v>1.684717208182912E-2</v>
      </c>
      <c r="BP22" s="150">
        <f>Segments!BU99</f>
        <v>2.8578295504919089E-2</v>
      </c>
      <c r="BQ22" s="210">
        <f>Segments!BV99</f>
        <v>1.3858291053336925E-2</v>
      </c>
      <c r="BR22" s="150">
        <f>Segments!BW99</f>
        <v>2.9237919489525428E-2</v>
      </c>
      <c r="BS22" s="150">
        <f>Segments!BX99</f>
        <v>4.1166664105418025E-3</v>
      </c>
      <c r="BT22" s="150">
        <f>Segments!BY99</f>
        <v>-3.0369811590173091E-3</v>
      </c>
      <c r="BU22" s="150">
        <f>Segments!BZ99</f>
        <v>-4.976537501161918E-3</v>
      </c>
      <c r="BV22" s="210">
        <f>Segments!CA99</f>
        <v>5.9036295100223747E-3</v>
      </c>
      <c r="BW22" s="150">
        <f>Segments!CB99</f>
        <v>-4.5167308680217231E-4</v>
      </c>
      <c r="BX22" s="150">
        <f>Segments!CC99</f>
        <v>-4.5167308680217231E-4</v>
      </c>
      <c r="BY22" s="150">
        <f>Segments!CD99</f>
        <v>-4.5167308680217231E-4</v>
      </c>
      <c r="BZ22" s="150">
        <f>Segments!CE99</f>
        <v>-4.5167308680217237E-4</v>
      </c>
      <c r="CA22" s="210">
        <f>Segments!CF99</f>
        <v>-4.5167308680217231E-4</v>
      </c>
    </row>
    <row r="23" spans="1:79" s="132" customFormat="1" ht="12.75" customHeight="1" x14ac:dyDescent="0.35">
      <c r="A23" s="24"/>
      <c r="B23" s="380" t="str">
        <f>Segments!B100</f>
        <v>MA organic constant currency growth % y/y</v>
      </c>
      <c r="C23" s="342"/>
      <c r="D23" s="348"/>
      <c r="E23" s="360"/>
      <c r="F23" s="360"/>
      <c r="G23" s="360"/>
      <c r="H23" s="360"/>
      <c r="I23" s="361"/>
      <c r="J23" s="356">
        <f>Segments!O100</f>
        <v>9.8023143683702726E-2</v>
      </c>
      <c r="K23" s="356">
        <f>Segments!P100</f>
        <v>7.0462962962963019E-2</v>
      </c>
      <c r="L23" s="356">
        <f>Segments!Q100</f>
        <v>9.513632365875109E-2</v>
      </c>
      <c r="M23" s="356">
        <f>Segments!R100</f>
        <v>0.20880726698262234</v>
      </c>
      <c r="N23" s="361"/>
      <c r="O23" s="356">
        <f>Segments!T100</f>
        <v>0.11183788324233546</v>
      </c>
      <c r="P23" s="356">
        <f>Segments!U100</f>
        <v>0.13233400402414475</v>
      </c>
      <c r="Q23" s="356">
        <f>Segments!V100</f>
        <v>9.824118738404447E-2</v>
      </c>
      <c r="R23" s="356">
        <f>Segments!W100</f>
        <v>5.8489116517285361E-2</v>
      </c>
      <c r="S23" s="357">
        <f>Segments!X100</f>
        <v>9.7577538605521735E-2</v>
      </c>
      <c r="T23" s="356">
        <f>Segments!Y100</f>
        <v>0.10270319027725035</v>
      </c>
      <c r="U23" s="356">
        <f>Segments!Z100</f>
        <v>6.7486554320545192E-2</v>
      </c>
      <c r="V23" s="356">
        <f>Segments!AA100</f>
        <v>6.2761506276150625E-2</v>
      </c>
      <c r="W23" s="356">
        <f>Segments!AB100</f>
        <v>5.0460628695923042E-2</v>
      </c>
      <c r="X23" s="357">
        <f>Segments!AC100</f>
        <v>6.961379640093901E-2</v>
      </c>
      <c r="Y23" s="356">
        <f>Segments!AD100</f>
        <v>3.4982817869415837E-2</v>
      </c>
      <c r="Z23" s="356">
        <f>Segments!AE100</f>
        <v>3.4619188921859445E-2</v>
      </c>
      <c r="AA23" s="356">
        <f>Segments!AF100</f>
        <v>0.10056430446194212</v>
      </c>
      <c r="AB23" s="356">
        <f>Segments!AG100</f>
        <v>0.10311396948848331</v>
      </c>
      <c r="AC23" s="357">
        <f>Segments!AH100</f>
        <v>6.9566239662720852E-2</v>
      </c>
      <c r="AD23" s="356">
        <f>Segments!AI100</f>
        <v>4.5667752442996846E-2</v>
      </c>
      <c r="AE23" s="356">
        <f>Segments!AJ100</f>
        <v>7.2415551306564477E-2</v>
      </c>
      <c r="AF23" s="356">
        <f>Segments!AK100</f>
        <v>9.2451857879034621E-2</v>
      </c>
      <c r="AG23" s="356">
        <f>Segments!AL100</f>
        <v>4.8584392014519216E-2</v>
      </c>
      <c r="AH23" s="357">
        <f>Segments!AM100</f>
        <v>6.4494861217926386E-2</v>
      </c>
      <c r="AI23" s="356">
        <f>Segments!AN100</f>
        <v>0.16225172074729596</v>
      </c>
      <c r="AJ23" s="356">
        <f>Segments!AO100</f>
        <v>0.13052034058656578</v>
      </c>
      <c r="AK23" s="356">
        <f>Segments!AP100</f>
        <v>0.12389908256880733</v>
      </c>
      <c r="AL23" s="356">
        <f>Segments!AQ100</f>
        <v>0.12115343232192791</v>
      </c>
      <c r="AM23" s="357">
        <f>Segments!AR100</f>
        <v>0.13379645148240185</v>
      </c>
      <c r="AN23" s="356">
        <f>Segments!AS100</f>
        <v>9.68644067796611E-2</v>
      </c>
      <c r="AO23" s="356">
        <f>Segments!AT100</f>
        <v>7.8501683501683475E-2</v>
      </c>
      <c r="AP23" s="356">
        <f>Segments!AU100</f>
        <v>7.8091718971451562E-2</v>
      </c>
      <c r="AQ23" s="356">
        <f>Segments!AV100</f>
        <v>5.0175438596491331E-2</v>
      </c>
      <c r="AR23" s="357">
        <f>Segments!AW100</f>
        <v>7.5397113760810611E-2</v>
      </c>
      <c r="AS23" s="356">
        <f>Segments!AX100</f>
        <v>5.8790322580645267E-2</v>
      </c>
      <c r="AT23" s="356">
        <f>Segments!AY100</f>
        <v>7.6760563380281574E-2</v>
      </c>
      <c r="AU23" s="356">
        <f>Segments!AZ100</f>
        <v>6.9096045197740166E-2</v>
      </c>
      <c r="AV23" s="356">
        <f>Segments!BA100</f>
        <v>7.3063063063062969E-2</v>
      </c>
      <c r="AW23" s="357">
        <f>Segments!BB100</f>
        <v>6.9528619528619523E-2</v>
      </c>
      <c r="AX23" s="356">
        <f>Segments!BC100</f>
        <v>0.11524822695035464</v>
      </c>
      <c r="AY23" s="356">
        <f>Segments!BD100</f>
        <v>8.0279232111692911E-2</v>
      </c>
      <c r="AZ23" s="356">
        <f>Segments!BE100</f>
        <v>9.1514143094842029E-2</v>
      </c>
      <c r="BA23" s="356">
        <f>Segments!BF100</f>
        <v>0.11077844311377238</v>
      </c>
      <c r="BB23" s="357">
        <f>Segments!BG100</f>
        <v>9.9750623441396527E-2</v>
      </c>
      <c r="BC23" s="356">
        <f>Segments!BH100</f>
        <v>8.6330935251798455E-2</v>
      </c>
      <c r="BD23" s="356">
        <f>Segments!BI100</f>
        <v>0.10366666666666668</v>
      </c>
      <c r="BE23" s="356">
        <f>Segments!BJ100</f>
        <v>0.10802919708029196</v>
      </c>
      <c r="BF23" s="356">
        <f>Segments!BK100</f>
        <v>9.803921568627455E-2</v>
      </c>
      <c r="BG23" s="357">
        <f>Segments!BL100</f>
        <v>9.8943661971830979E-2</v>
      </c>
      <c r="BH23" s="356">
        <f>Segments!BM100</f>
        <v>8.141112618724565E-2</v>
      </c>
      <c r="BI23" s="356">
        <f>Segments!BN100</f>
        <v>7.6305220883534169E-2</v>
      </c>
      <c r="BJ23" s="356">
        <f>Segments!BO100</f>
        <v>6.4432989690721615E-2</v>
      </c>
      <c r="BK23" s="356">
        <f>Segments!BP100</f>
        <v>8.1658291457286494E-2</v>
      </c>
      <c r="BL23" s="357">
        <f>Segments!BQ100</f>
        <v>7.5916230366492171E-2</v>
      </c>
      <c r="BM23" s="356">
        <f>Segments!BR100</f>
        <v>7.1339173967459285E-2</v>
      </c>
      <c r="BN23" s="356">
        <f>Segments!BS100</f>
        <v>7.107231920199511E-2</v>
      </c>
      <c r="BO23" s="356">
        <f>Segments!BT100</f>
        <v>6.1371841155234655E-2</v>
      </c>
      <c r="BP23" s="356">
        <f>Segments!BU100</f>
        <v>6.4658169177288422E-2</v>
      </c>
      <c r="BQ23" s="357">
        <f>Segments!BV100</f>
        <v>6.7010622154779959E-2</v>
      </c>
      <c r="BR23" s="356">
        <f>Segments!BW100</f>
        <v>7.8160651920838126E-2</v>
      </c>
      <c r="BS23" s="356">
        <f>Segments!BX100</f>
        <v>7.8029279279279273E-2</v>
      </c>
      <c r="BT23" s="356">
        <f>Segments!BY100</f>
        <v>8.876237623762373E-2</v>
      </c>
      <c r="BU23" s="356">
        <f>Segments!BZ100</f>
        <v>9.025119485751934E-2</v>
      </c>
      <c r="BV23" s="357">
        <f>Segments!CA100</f>
        <v>8.3985100015031455E-2</v>
      </c>
      <c r="BW23" s="356">
        <f>Segments!CB100</f>
        <v>8.5488389377017651E-2</v>
      </c>
      <c r="BX23" s="356">
        <f>Segments!CC100</f>
        <v>8.5303071912709819E-2</v>
      </c>
      <c r="BY23" s="356">
        <f>Segments!CD100</f>
        <v>8.54617758619486E-2</v>
      </c>
      <c r="BZ23" s="356">
        <f>Segments!CE100</f>
        <v>8.5627389525777434E-2</v>
      </c>
      <c r="CA23" s="357">
        <f>Segments!CF100</f>
        <v>8.5473005252738557E-2</v>
      </c>
    </row>
    <row r="24" spans="1:79" ht="12.75" customHeight="1" thickBot="1" x14ac:dyDescent="0.4">
      <c r="A24" s="24"/>
      <c r="B24" s="42"/>
      <c r="C24" s="42"/>
      <c r="D24" s="43"/>
      <c r="E24" s="43"/>
      <c r="F24" s="43"/>
      <c r="G24" s="43"/>
      <c r="H24" s="43"/>
      <c r="I24" s="44"/>
      <c r="J24" s="37"/>
      <c r="K24" s="37"/>
      <c r="L24" s="37"/>
      <c r="M24" s="37"/>
      <c r="N24" s="44"/>
      <c r="O24" s="37"/>
      <c r="P24" s="37"/>
      <c r="Q24" s="37"/>
      <c r="R24" s="37"/>
      <c r="S24" s="44"/>
      <c r="T24" s="37"/>
      <c r="U24" s="37"/>
      <c r="V24" s="37"/>
      <c r="W24" s="37"/>
      <c r="X24" s="44"/>
      <c r="Y24" s="362"/>
      <c r="Z24" s="362"/>
      <c r="AA24" s="362"/>
      <c r="AB24" s="362"/>
      <c r="AC24" s="49"/>
      <c r="AD24" s="362"/>
      <c r="AE24" s="362"/>
      <c r="AF24" s="362"/>
      <c r="AG24" s="362"/>
      <c r="AH24" s="49"/>
      <c r="AI24" s="362"/>
      <c r="AJ24" s="362"/>
      <c r="AK24" s="362"/>
      <c r="AL24" s="362"/>
      <c r="AM24" s="49"/>
      <c r="AN24" s="362"/>
      <c r="AO24" s="362"/>
      <c r="AP24" s="362"/>
      <c r="AQ24" s="362"/>
      <c r="AR24" s="49"/>
      <c r="AS24" s="362"/>
      <c r="AT24" s="362"/>
      <c r="AU24" s="362"/>
      <c r="AV24" s="362"/>
      <c r="AW24" s="49"/>
      <c r="AX24" s="362"/>
      <c r="AY24" s="362"/>
      <c r="AZ24" s="362"/>
      <c r="BA24" s="362"/>
      <c r="BB24" s="49"/>
      <c r="BC24" s="362"/>
      <c r="BD24" s="362"/>
      <c r="BE24" s="362"/>
      <c r="BF24" s="362"/>
      <c r="BG24" s="49"/>
      <c r="BH24" s="362"/>
      <c r="BI24" s="362"/>
      <c r="BJ24" s="362"/>
      <c r="BK24" s="362"/>
      <c r="BL24" s="49"/>
      <c r="BM24" s="362"/>
      <c r="BN24" s="362"/>
      <c r="BO24" s="362"/>
      <c r="BP24" s="362"/>
      <c r="BQ24" s="49"/>
      <c r="BR24" s="362"/>
      <c r="BS24" s="362"/>
      <c r="BT24" s="362"/>
      <c r="BU24" s="362"/>
      <c r="BV24" s="49"/>
      <c r="BW24" s="362"/>
      <c r="BX24" s="362"/>
      <c r="BY24" s="362"/>
      <c r="BZ24" s="362"/>
      <c r="CA24" s="49"/>
    </row>
    <row r="25" spans="1:79" ht="12.75" customHeight="1" x14ac:dyDescent="0.35">
      <c r="B25" s="68" t="s">
        <v>29</v>
      </c>
      <c r="C25" s="68"/>
      <c r="D25" s="68"/>
      <c r="E25" s="171">
        <f t="shared" ref="E25:M25" si="0">E17+E9</f>
        <v>728.65</v>
      </c>
      <c r="F25" s="171">
        <f t="shared" si="0"/>
        <v>753.3</v>
      </c>
      <c r="G25" s="171">
        <f t="shared" si="0"/>
        <v>705.5</v>
      </c>
      <c r="H25" s="171">
        <f t="shared" si="0"/>
        <v>779.2</v>
      </c>
      <c r="I25" s="172">
        <f t="shared" si="0"/>
        <v>2966.65</v>
      </c>
      <c r="J25" s="171">
        <f t="shared" si="0"/>
        <v>767.2</v>
      </c>
      <c r="K25" s="171">
        <f t="shared" si="0"/>
        <v>873.5</v>
      </c>
      <c r="L25" s="171">
        <f t="shared" si="0"/>
        <v>816.1</v>
      </c>
      <c r="M25" s="171">
        <f t="shared" si="0"/>
        <v>877.49999999999989</v>
      </c>
      <c r="N25" s="172">
        <f t="shared" ref="N25:AR25" si="1">N17+N9</f>
        <v>3334.3</v>
      </c>
      <c r="O25" s="171">
        <f>O17+O9</f>
        <v>865.59999999999991</v>
      </c>
      <c r="P25" s="171">
        <f>P17+P9</f>
        <v>918.1</v>
      </c>
      <c r="Q25" s="171">
        <f>Q17+Q9</f>
        <v>834.90000000000009</v>
      </c>
      <c r="R25" s="171">
        <f>R17+R9</f>
        <v>865.9</v>
      </c>
      <c r="S25" s="172">
        <f t="shared" si="1"/>
        <v>3484.5</v>
      </c>
      <c r="T25" s="171">
        <f>T17+T9</f>
        <v>816.1</v>
      </c>
      <c r="U25" s="171">
        <f>U17+U9</f>
        <v>928.90000000000009</v>
      </c>
      <c r="V25" s="171">
        <f>V17+V9</f>
        <v>917.09999999999991</v>
      </c>
      <c r="W25" s="171">
        <f>W17+W9</f>
        <v>942.09999999999991</v>
      </c>
      <c r="X25" s="172">
        <f>X17+X9</f>
        <v>3604.2000000000003</v>
      </c>
      <c r="Y25" s="171">
        <f t="shared" si="1"/>
        <v>975.2</v>
      </c>
      <c r="Z25" s="171">
        <f t="shared" si="1"/>
        <v>1000.5</v>
      </c>
      <c r="AA25" s="171">
        <f t="shared" si="1"/>
        <v>1062.9000000000001</v>
      </c>
      <c r="AB25" s="171">
        <f t="shared" si="1"/>
        <v>1165.5</v>
      </c>
      <c r="AC25" s="172">
        <f t="shared" si="1"/>
        <v>4204.1000000000004</v>
      </c>
      <c r="AD25" s="171">
        <f t="shared" si="1"/>
        <v>1126.7</v>
      </c>
      <c r="AE25" s="171">
        <f t="shared" si="1"/>
        <v>1175.0999999999999</v>
      </c>
      <c r="AF25" s="171">
        <f t="shared" si="1"/>
        <v>1080.8</v>
      </c>
      <c r="AG25" s="171">
        <f t="shared" si="1"/>
        <v>1060.0999999999999</v>
      </c>
      <c r="AH25" s="172">
        <f t="shared" si="1"/>
        <v>4442.7</v>
      </c>
      <c r="AI25" s="171">
        <f t="shared" si="1"/>
        <v>1142.0999999999999</v>
      </c>
      <c r="AJ25" s="171">
        <f t="shared" si="1"/>
        <v>1213.6000000000001</v>
      </c>
      <c r="AK25" s="171">
        <f t="shared" si="1"/>
        <v>1240.5</v>
      </c>
      <c r="AL25" s="171">
        <f t="shared" si="1"/>
        <v>1233</v>
      </c>
      <c r="AM25" s="172">
        <f t="shared" si="1"/>
        <v>4829.2</v>
      </c>
      <c r="AN25" s="171">
        <f t="shared" si="1"/>
        <v>1290</v>
      </c>
      <c r="AO25" s="171">
        <f t="shared" si="1"/>
        <v>1435</v>
      </c>
      <c r="AP25" s="171">
        <f t="shared" si="1"/>
        <v>1356</v>
      </c>
      <c r="AQ25" s="171">
        <f t="shared" si="1"/>
        <v>1290</v>
      </c>
      <c r="AR25" s="172">
        <f t="shared" si="1"/>
        <v>5371</v>
      </c>
      <c r="AS25" s="171">
        <f t="shared" ref="AS25:BQ25" si="2">AS17+AS9</f>
        <v>1600</v>
      </c>
      <c r="AT25" s="171">
        <f t="shared" si="2"/>
        <v>1553</v>
      </c>
      <c r="AU25" s="171">
        <f t="shared" si="2"/>
        <v>1526</v>
      </c>
      <c r="AV25" s="171">
        <f t="shared" si="2"/>
        <v>1539</v>
      </c>
      <c r="AW25" s="172">
        <f t="shared" si="2"/>
        <v>6218</v>
      </c>
      <c r="AX25" s="171">
        <f t="shared" si="2"/>
        <v>1522</v>
      </c>
      <c r="AY25" s="171">
        <f t="shared" si="2"/>
        <v>1381</v>
      </c>
      <c r="AZ25" s="171">
        <f t="shared" si="2"/>
        <v>1275</v>
      </c>
      <c r="BA25" s="171">
        <f t="shared" si="2"/>
        <v>1290</v>
      </c>
      <c r="BB25" s="172">
        <f t="shared" si="2"/>
        <v>5468</v>
      </c>
      <c r="BC25" s="171">
        <f t="shared" si="2"/>
        <v>1470</v>
      </c>
      <c r="BD25" s="171">
        <f t="shared" si="2"/>
        <v>1494</v>
      </c>
      <c r="BE25" s="171">
        <f>BE17+BE9</f>
        <v>1472</v>
      </c>
      <c r="BF25" s="171">
        <f>BF17+BF9</f>
        <v>1480</v>
      </c>
      <c r="BG25" s="172">
        <f t="shared" si="2"/>
        <v>5916</v>
      </c>
      <c r="BH25" s="171">
        <f t="shared" si="2"/>
        <v>1786</v>
      </c>
      <c r="BI25" s="171">
        <f t="shared" si="2"/>
        <v>1817</v>
      </c>
      <c r="BJ25" s="171">
        <f>BJ17+BJ9</f>
        <v>1813</v>
      </c>
      <c r="BK25" s="171">
        <f t="shared" si="2"/>
        <v>1672</v>
      </c>
      <c r="BL25" s="172">
        <f t="shared" si="2"/>
        <v>7088</v>
      </c>
      <c r="BM25" s="171">
        <f>BM17+BM9</f>
        <v>1924</v>
      </c>
      <c r="BN25" s="171">
        <f>BN17+BN9</f>
        <v>1898</v>
      </c>
      <c r="BO25" s="171">
        <f>BO17+BO9</f>
        <v>2004.43</v>
      </c>
      <c r="BP25" s="171">
        <f>BP17+BP9</f>
        <v>1848.2380690207451</v>
      </c>
      <c r="BQ25" s="172">
        <f t="shared" si="2"/>
        <v>7674.668069020745</v>
      </c>
      <c r="BR25" s="171">
        <f t="shared" ref="BR25:CA25" si="3">BR17+BR9</f>
        <v>2107.1003728415026</v>
      </c>
      <c r="BS25" s="171">
        <f t="shared" si="3"/>
        <v>2055.8005997725613</v>
      </c>
      <c r="BT25" s="171">
        <f t="shared" si="3"/>
        <v>2157.4156591264536</v>
      </c>
      <c r="BU25" s="171">
        <f t="shared" si="3"/>
        <v>1992.3977069040047</v>
      </c>
      <c r="BV25" s="172">
        <f t="shared" si="3"/>
        <v>8312.7143386445205</v>
      </c>
      <c r="BW25" s="171">
        <f t="shared" si="3"/>
        <v>2267.5473342362075</v>
      </c>
      <c r="BX25" s="171">
        <f t="shared" si="3"/>
        <v>2212.0217975135602</v>
      </c>
      <c r="BY25" s="171">
        <f t="shared" si="3"/>
        <v>2321.8252901662408</v>
      </c>
      <c r="BZ25" s="171">
        <f t="shared" si="3"/>
        <v>2144.9637501659818</v>
      </c>
      <c r="CA25" s="172">
        <f t="shared" si="3"/>
        <v>8946.3581720819893</v>
      </c>
    </row>
    <row r="26" spans="1:79" ht="12.75" customHeight="1" x14ac:dyDescent="0.35">
      <c r="B26" s="42" t="s">
        <v>24</v>
      </c>
      <c r="C26" s="42"/>
      <c r="D26" s="24"/>
      <c r="E26" s="62"/>
      <c r="F26" s="62"/>
      <c r="G26" s="62"/>
      <c r="H26" s="62"/>
      <c r="I26" s="207">
        <f>Segments!N151</f>
        <v>8.8999999999999996E-2</v>
      </c>
      <c r="J26" s="151">
        <f>Segments!O151</f>
        <v>5.2906059150483964E-2</v>
      </c>
      <c r="K26" s="151">
        <f>Segments!P151</f>
        <v>0.15956458250365069</v>
      </c>
      <c r="L26" s="151">
        <f>Segments!Q151</f>
        <v>0.15676824946846213</v>
      </c>
      <c r="M26" s="151">
        <f>Segments!R151</f>
        <v>0.12615503080082124</v>
      </c>
      <c r="N26" s="207">
        <f>Segments!S151</f>
        <v>0.1239276625149579</v>
      </c>
      <c r="O26" s="151">
        <f>Segments!T151</f>
        <v>0.12825860271115719</v>
      </c>
      <c r="P26" s="151">
        <f>Segments!U151</f>
        <v>5.105895821408124E-2</v>
      </c>
      <c r="Q26" s="151">
        <f>Segments!V151</f>
        <v>2.3036392598946298E-2</v>
      </c>
      <c r="R26" s="151">
        <f>Segments!W151</f>
        <v>-1.3219373219373165E-2</v>
      </c>
      <c r="S26" s="207">
        <f>Segments!X151</f>
        <v>4.5046936388447367E-2</v>
      </c>
      <c r="T26" s="151">
        <f>Segments!Y151</f>
        <v>-5.7185767097966633E-2</v>
      </c>
      <c r="U26" s="151">
        <f>Segments!Z151</f>
        <v>1.1763424463566041E-2</v>
      </c>
      <c r="V26" s="151">
        <f>Segments!AA151</f>
        <v>9.8454904779015306E-2</v>
      </c>
      <c r="W26" s="151">
        <f>Segments!AB151</f>
        <v>8.80009238942141E-2</v>
      </c>
      <c r="X26" s="207">
        <f>Segments!AC151</f>
        <v>3.4352130865260566E-2</v>
      </c>
      <c r="Y26" s="151">
        <f>Segments!AD151</f>
        <v>0.1949515990687416</v>
      </c>
      <c r="Z26" s="151">
        <f>Segments!AE151</f>
        <v>7.7080417698352832E-2</v>
      </c>
      <c r="AA26" s="151">
        <f>Segments!AF151</f>
        <v>0.15897939156035346</v>
      </c>
      <c r="AB26" s="151">
        <f>Segments!AG151</f>
        <v>0.23712981636768937</v>
      </c>
      <c r="AC26" s="207">
        <f>Segments!AH151</f>
        <v>0.16644470340158701</v>
      </c>
      <c r="AD26" s="151">
        <f>Segments!AI151</f>
        <v>0.15535274815422473</v>
      </c>
      <c r="AE26" s="151">
        <f>Segments!AJ151</f>
        <v>0.17451274362818592</v>
      </c>
      <c r="AF26" s="151">
        <f>Segments!AK151</f>
        <v>1.6840718788220688E-2</v>
      </c>
      <c r="AG26" s="151">
        <f>Segments!AL151</f>
        <v>-9.0433290433290514E-2</v>
      </c>
      <c r="AH26" s="207">
        <f>Segments!AM151</f>
        <v>5.6754120977141165E-2</v>
      </c>
      <c r="AI26" s="151">
        <f>Segments!AN151</f>
        <v>1.3668234667613355E-2</v>
      </c>
      <c r="AJ26" s="151">
        <f>Segments!AO151</f>
        <v>3.2763169091992284E-2</v>
      </c>
      <c r="AK26" s="151">
        <f>Segments!AP151</f>
        <v>0.1477609178386381</v>
      </c>
      <c r="AL26" s="151">
        <f>Segments!AQ151</f>
        <v>0.16309782096028691</v>
      </c>
      <c r="AM26" s="207">
        <f>Segments!AR151</f>
        <v>8.6996646183627124E-2</v>
      </c>
      <c r="AN26" s="151">
        <f>Segments!AS151</f>
        <v>0.12949829261886014</v>
      </c>
      <c r="AO26" s="151">
        <f>Segments!AT151</f>
        <v>0.18243243243243223</v>
      </c>
      <c r="AP26" s="151">
        <f>Segments!AU151</f>
        <v>9.3107617896009742E-2</v>
      </c>
      <c r="AQ26" s="151">
        <f>Segments!AV151</f>
        <v>4.6228710462287159E-2</v>
      </c>
      <c r="AR26" s="207">
        <f>Segments!AW151</f>
        <v>0.11219249565145373</v>
      </c>
      <c r="AS26" s="151">
        <f>Segments!AX151</f>
        <v>0.24031007751937983</v>
      </c>
      <c r="AT26" s="151">
        <f>Segments!AY151</f>
        <v>8.2229965156794371E-2</v>
      </c>
      <c r="AU26" s="151">
        <f>Segments!AZ151</f>
        <v>0.12536873156342176</v>
      </c>
      <c r="AV26" s="151">
        <f>Segments!BA151</f>
        <v>0.19302325581395352</v>
      </c>
      <c r="AW26" s="207">
        <f>Segments!BB151</f>
        <v>0.15769875256004462</v>
      </c>
      <c r="AX26" s="151">
        <f>Segments!BC151</f>
        <v>-4.874999999999996E-2</v>
      </c>
      <c r="AY26" s="151">
        <f>Segments!BD151</f>
        <v>-0.11075338055376693</v>
      </c>
      <c r="AZ26" s="151">
        <f>Segments!BE151</f>
        <v>-0.16448230668414154</v>
      </c>
      <c r="BA26" s="151">
        <f>Segments!BF151</f>
        <v>-0.16179337231968816</v>
      </c>
      <c r="BB26" s="207">
        <f>Segments!BG151</f>
        <v>-0.12061756191701511</v>
      </c>
      <c r="BC26" s="151">
        <f>Segments!BH151</f>
        <v>-3.4165571616294299E-2</v>
      </c>
      <c r="BD26" s="151">
        <f>Segments!BI151</f>
        <v>8.1824764663287475E-2</v>
      </c>
      <c r="BE26" s="151">
        <f>Segments!BJ151</f>
        <v>0.15450980392156866</v>
      </c>
      <c r="BF26" s="151">
        <f>Segments!BK151</f>
        <v>0.1472868217054264</v>
      </c>
      <c r="BG26" s="207">
        <f>Segments!BL151</f>
        <v>8.1931236283833142E-2</v>
      </c>
      <c r="BH26" s="151">
        <f>Segments!BM151</f>
        <v>0.21496598639455788</v>
      </c>
      <c r="BI26" s="151">
        <f>Segments!BN151</f>
        <v>0.21619812583668008</v>
      </c>
      <c r="BJ26" s="151">
        <f>Segments!BO151</f>
        <v>0.23165760869565211</v>
      </c>
      <c r="BK26" s="151">
        <f>Segments!BP151</f>
        <v>0.12972972972972974</v>
      </c>
      <c r="BL26" s="207">
        <f>Segments!BQ151</f>
        <v>0.19810682893847198</v>
      </c>
      <c r="BM26" s="151">
        <f>Segments!BR151</f>
        <v>7.7267637178051407E-2</v>
      </c>
      <c r="BN26" s="151">
        <f>Segments!BS151</f>
        <v>4.4578976334617604E-2</v>
      </c>
      <c r="BO26" s="151">
        <f>Segments!BT151</f>
        <v>0.10558742415885281</v>
      </c>
      <c r="BP26" s="151">
        <f>Segments!BU151</f>
        <v>0.10540554367269439</v>
      </c>
      <c r="BQ26" s="207">
        <f>Segments!BV151</f>
        <v>8.276919709660624E-2</v>
      </c>
      <c r="BR26" s="151">
        <f>Segments!BW151</f>
        <v>9.5166513950884823E-2</v>
      </c>
      <c r="BS26" s="151">
        <f>Segments!BX151</f>
        <v>8.3140463526112374E-2</v>
      </c>
      <c r="BT26" s="151">
        <f>Segments!BY151</f>
        <v>7.6323772407344448E-2</v>
      </c>
      <c r="BU26" s="151">
        <f>Segments!BZ151</f>
        <v>7.7998413894612595E-2</v>
      </c>
      <c r="BV26" s="207">
        <f>Segments!CA151</f>
        <v>8.3136659968303661E-2</v>
      </c>
      <c r="BW26" s="151">
        <f>Segments!CB151</f>
        <v>7.614585591778722E-2</v>
      </c>
      <c r="BX26" s="151">
        <f>Segments!CC151</f>
        <v>7.5990442729845453E-2</v>
      </c>
      <c r="BY26" s="151">
        <f>Segments!CD151</f>
        <v>7.6206747802302299E-2</v>
      </c>
      <c r="BZ26" s="151">
        <f>Segments!CE151</f>
        <v>7.6574090972554965E-2</v>
      </c>
      <c r="CA26" s="207">
        <f>Segments!CF151</f>
        <v>7.6225864094927154E-2</v>
      </c>
    </row>
    <row r="27" spans="1:79" ht="12.75" customHeight="1" x14ac:dyDescent="0.35">
      <c r="B27" s="42" t="s">
        <v>265</v>
      </c>
      <c r="C27" s="42"/>
      <c r="D27" s="24"/>
      <c r="E27" s="62"/>
      <c r="F27" s="62"/>
      <c r="G27" s="62"/>
      <c r="H27" s="62"/>
      <c r="I27" s="261"/>
      <c r="J27" s="151">
        <f>Segments!O152</f>
        <v>-1.5400410677618104E-2</v>
      </c>
      <c r="K27" s="151">
        <f>Segments!P152</f>
        <v>0.13855578727841489</v>
      </c>
      <c r="L27" s="151">
        <f>Segments!Q152</f>
        <v>-6.5712650257584437E-2</v>
      </c>
      <c r="M27" s="151">
        <f>Segments!R152</f>
        <v>7.5235877956132624E-2</v>
      </c>
      <c r="N27" s="261"/>
      <c r="O27" s="151">
        <f>Segments!T152</f>
        <v>-1.3561253561253483E-2</v>
      </c>
      <c r="P27" s="151">
        <f>Segments!U152</f>
        <v>6.0651571164510365E-2</v>
      </c>
      <c r="Q27" s="151">
        <f>Segments!V152</f>
        <v>-9.0621936608212494E-2</v>
      </c>
      <c r="R27" s="151">
        <f>Segments!W152</f>
        <v>3.7130195232961904E-2</v>
      </c>
      <c r="S27" s="261"/>
      <c r="T27" s="151">
        <f>Segments!Y152</f>
        <v>-5.7512414828502112E-2</v>
      </c>
      <c r="U27" s="151">
        <f>Segments!Z152</f>
        <v>0.13821835559367734</v>
      </c>
      <c r="V27" s="151">
        <f>Segments!AA152</f>
        <v>-1.2703197330175664E-2</v>
      </c>
      <c r="W27" s="151">
        <f>Segments!AB152</f>
        <v>2.7259840802529745E-2</v>
      </c>
      <c r="X27" s="261"/>
      <c r="Y27" s="151">
        <f>Segments!AD152</f>
        <v>3.5134274493153761E-2</v>
      </c>
      <c r="Z27" s="151">
        <f>Segments!AE152</f>
        <v>2.5943396226415061E-2</v>
      </c>
      <c r="AA27" s="151">
        <f>Segments!AF152</f>
        <v>6.2368815592203974E-2</v>
      </c>
      <c r="AB27" s="151">
        <f>Segments!AG152</f>
        <v>9.6528365791701765E-2</v>
      </c>
      <c r="AC27" s="261"/>
      <c r="AD27" s="151">
        <f>Segments!AI152</f>
        <v>-3.3290433290433241E-2</v>
      </c>
      <c r="AE27" s="151">
        <f>Segments!AJ152</f>
        <v>4.2957308955356321E-2</v>
      </c>
      <c r="AF27" s="151">
        <f>Segments!AK152</f>
        <v>-8.0248489490256092E-2</v>
      </c>
      <c r="AG27" s="151">
        <f>Segments!AL152</f>
        <v>-1.9152479644707676E-2</v>
      </c>
      <c r="AH27" s="261"/>
      <c r="AI27" s="151">
        <f>Segments!AN152</f>
        <v>7.7351193283652586E-2</v>
      </c>
      <c r="AJ27" s="151">
        <f>Segments!AO152</f>
        <v>6.2603975133526113E-2</v>
      </c>
      <c r="AK27" s="151">
        <f>Segments!AP152</f>
        <v>2.216545814106774E-2</v>
      </c>
      <c r="AL27" s="151">
        <f>Segments!AQ152</f>
        <v>-6.0459492140265692E-3</v>
      </c>
      <c r="AM27" s="261"/>
      <c r="AN27" s="151">
        <f>Segments!AS152</f>
        <v>4.6228710462287159E-2</v>
      </c>
      <c r="AO27" s="151">
        <f>Segments!AT152</f>
        <v>0.11240310077519378</v>
      </c>
      <c r="AP27" s="151">
        <f>Segments!AU152</f>
        <v>-5.5052264808362339E-2</v>
      </c>
      <c r="AQ27" s="151">
        <f>Segments!AV152</f>
        <v>-4.8672566371681381E-2</v>
      </c>
      <c r="AR27" s="261"/>
      <c r="AS27" s="151">
        <f>Segments!AX152</f>
        <v>0.24031007751937983</v>
      </c>
      <c r="AT27" s="151">
        <f>Segments!AY152</f>
        <v>-0.71085458946192515</v>
      </c>
      <c r="AU27" s="151">
        <f>Segments!AZ152</f>
        <v>-4.6250000000000013E-2</v>
      </c>
      <c r="AV27" s="151">
        <f>Segments!BA152</f>
        <v>8.5190039318479016E-3</v>
      </c>
      <c r="AW27" s="261"/>
      <c r="AX27" s="151">
        <f>Segments!BC152</f>
        <v>-1.1046133853151452E-2</v>
      </c>
      <c r="AY27" s="151">
        <f>Segments!BD152</f>
        <v>-9.2641261498028871E-2</v>
      </c>
      <c r="AZ27" s="151">
        <f>Segments!BE152</f>
        <v>-7.6755973931933341E-2</v>
      </c>
      <c r="BA27" s="151">
        <f>Segments!BF152</f>
        <v>1.1764705882352899E-2</v>
      </c>
      <c r="BB27" s="261"/>
      <c r="BC27" s="151">
        <f>Segments!BH152</f>
        <v>0.13953488372093026</v>
      </c>
      <c r="BD27" s="151">
        <f>Segments!BI152</f>
        <v>1.6326530612244872E-2</v>
      </c>
      <c r="BE27" s="151">
        <f>Segments!BJ152</f>
        <v>-1.4725568942436373E-2</v>
      </c>
      <c r="BF27" s="151">
        <f>Segments!BK152</f>
        <v>5.4347826086955653E-3</v>
      </c>
      <c r="BG27" s="261"/>
      <c r="BH27" s="151">
        <f>Segments!BM152</f>
        <v>0.20675675675675675</v>
      </c>
      <c r="BI27" s="151">
        <f>Segments!BN152</f>
        <v>1.7357222844344822E-2</v>
      </c>
      <c r="BJ27" s="151">
        <f>Segments!BO152</f>
        <v>-2.2014309301046087E-3</v>
      </c>
      <c r="BK27" s="151">
        <f>Segments!BP152</f>
        <v>-7.7771649200220616E-2</v>
      </c>
      <c r="BL27" s="261"/>
      <c r="BM27" s="151">
        <f>Segments!BR152</f>
        <v>0.15071770334928236</v>
      </c>
      <c r="BN27" s="151">
        <f>Segments!BS152</f>
        <v>-1.3513513513513487E-2</v>
      </c>
      <c r="BO27" s="151">
        <f>Segments!BT152</f>
        <v>5.6074815595363647E-2</v>
      </c>
      <c r="BP27" s="151">
        <f>Segments!BU152</f>
        <v>-7.7923365235630593E-2</v>
      </c>
      <c r="BQ27" s="261"/>
      <c r="BR27" s="151">
        <f>Segments!BW152</f>
        <v>0.14005896110445937</v>
      </c>
      <c r="BS27" s="151">
        <f>Segments!BX152</f>
        <v>-2.4346145883768044E-2</v>
      </c>
      <c r="BT27" s="151">
        <f>Segments!BY152</f>
        <v>4.9428460797771079E-2</v>
      </c>
      <c r="BU27" s="151">
        <f>Segments!BZ152</f>
        <v>-7.6488715340680025E-2</v>
      </c>
      <c r="BV27" s="261"/>
      <c r="BW27" s="151">
        <f>Segments!CB152</f>
        <v>0.13809975105811523</v>
      </c>
      <c r="BX27" s="151">
        <f>Segments!CC152</f>
        <v>-2.4487046371338583E-2</v>
      </c>
      <c r="BY27" s="151">
        <f>Segments!CD152</f>
        <v>4.9639426146752319E-2</v>
      </c>
      <c r="BZ27" s="151">
        <f>Segments!CE152</f>
        <v>-7.6173491928669623E-2</v>
      </c>
      <c r="CA27" s="261"/>
    </row>
    <row r="28" spans="1:79" ht="12.75" customHeight="1" x14ac:dyDescent="0.35">
      <c r="B28" s="42" t="s">
        <v>25</v>
      </c>
      <c r="C28" s="42"/>
      <c r="D28" s="24"/>
      <c r="E28" s="62"/>
      <c r="F28" s="62"/>
      <c r="G28" s="62"/>
      <c r="H28" s="62"/>
      <c r="I28" s="208">
        <f>Segments!N153</f>
        <v>1E-3</v>
      </c>
      <c r="J28" s="151">
        <f>Segments!O153</f>
        <v>1.4231798531531004E-2</v>
      </c>
      <c r="K28" s="151">
        <f>Segments!P153</f>
        <v>2.8602150537634374E-2</v>
      </c>
      <c r="L28" s="151">
        <f>Segments!Q153</f>
        <v>3.6116229624379992E-2</v>
      </c>
      <c r="M28" s="151">
        <f>Segments!R153</f>
        <v>3.1373203285420814E-2</v>
      </c>
      <c r="N28" s="208">
        <f>Segments!S153</f>
        <v>2.758734599632583E-2</v>
      </c>
      <c r="O28" s="151">
        <f>Segments!T153</f>
        <v>2.7448383733055026E-2</v>
      </c>
      <c r="P28" s="151">
        <f>Segments!U153</f>
        <v>1.4224384659416112E-2</v>
      </c>
      <c r="Q28" s="151">
        <f>Segments!V153</f>
        <v>5.2677367969611311E-3</v>
      </c>
      <c r="R28" s="151">
        <f>Segments!W153</f>
        <v>0</v>
      </c>
      <c r="S28" s="208">
        <f>Segments!X153</f>
        <v>1.1331433884173519E-2</v>
      </c>
      <c r="T28" s="151">
        <f>Segments!Y153</f>
        <v>6.8440965804066334E-3</v>
      </c>
      <c r="U28" s="151">
        <f>Segments!Z153</f>
        <v>9.1133863413572769E-3</v>
      </c>
      <c r="V28" s="151">
        <f>Segments!AA153</f>
        <v>1.0305425799496781E-2</v>
      </c>
      <c r="W28" s="151">
        <f>Segments!AB153</f>
        <v>1.1131770412287745E-2</v>
      </c>
      <c r="X28" s="208">
        <f>Segments!AC153</f>
        <v>9.3368489022815099E-3</v>
      </c>
      <c r="Y28" s="151">
        <f>Segments!AD153</f>
        <v>1.0697218478127768E-2</v>
      </c>
      <c r="Z28" s="151">
        <f>Segments!AE153</f>
        <v>0</v>
      </c>
      <c r="AA28" s="151">
        <f>Segments!AF153</f>
        <v>3.2929887689455928E-2</v>
      </c>
      <c r="AB28" s="151">
        <f>Segments!AG153</f>
        <v>6.5810423521919015E-2</v>
      </c>
      <c r="AC28" s="208">
        <f>Segments!AH153</f>
        <v>2.8003440430608734E-2</v>
      </c>
      <c r="AD28" s="151">
        <f>Segments!AI153</f>
        <v>7.5369155045118985E-2</v>
      </c>
      <c r="AE28" s="151">
        <f>Segments!AJ153</f>
        <v>7.9960019990005016E-2</v>
      </c>
      <c r="AF28" s="151">
        <f>Segments!AK153</f>
        <v>3.4716342082980578E-2</v>
      </c>
      <c r="AG28" s="151">
        <f>Segments!AL153</f>
        <v>9.695409695409829E-3</v>
      </c>
      <c r="AH28" s="208">
        <f>Segments!AM153</f>
        <v>4.7976974857876893E-2</v>
      </c>
      <c r="AI28" s="151">
        <f>Segments!AN153</f>
        <v>1.0118043844856484E-2</v>
      </c>
      <c r="AJ28" s="151">
        <f>Segments!AO153</f>
        <v>8.4248149093695268E-3</v>
      </c>
      <c r="AK28" s="151">
        <f>Segments!AP153</f>
        <v>1.1658031088082943E-2</v>
      </c>
      <c r="AL28" s="151">
        <f>Segments!AQ153</f>
        <v>-7.5464578813319028E-3</v>
      </c>
      <c r="AM28" s="208">
        <f>Segments!AR153</f>
        <v>5.8297881918653134E-3</v>
      </c>
      <c r="AN28" s="151">
        <f>Segments!AS153</f>
        <v>-1.4884861220558654E-2</v>
      </c>
      <c r="AO28" s="151">
        <f>Segments!AT153</f>
        <v>-4.9439683586025573E-3</v>
      </c>
      <c r="AP28" s="151">
        <f>Segments!AU153</f>
        <v>-7.6336154776300846E-3</v>
      </c>
      <c r="AQ28" s="151">
        <f>Segments!AV153</f>
        <v>4.8661800486617945E-3</v>
      </c>
      <c r="AR28" s="208">
        <f>Segments!AW153</f>
        <v>-5.4811355918164975E-3</v>
      </c>
      <c r="AS28" s="151">
        <f>Segments!AX153</f>
        <v>1.4728682170542573E-2</v>
      </c>
      <c r="AT28" s="151">
        <f>Segments!AY153</f>
        <v>9.0592334494774551E-3</v>
      </c>
      <c r="AU28" s="151">
        <f>Segments!AZ153</f>
        <v>2.0648967551622377E-2</v>
      </c>
      <c r="AV28" s="151">
        <f>Segments!BA153</f>
        <v>6.0465116279069697E-2</v>
      </c>
      <c r="AW28" s="208">
        <f>Segments!BB153</f>
        <v>2.5693539378141856E-2</v>
      </c>
      <c r="AX28" s="151">
        <f>Segments!BC153</f>
        <v>4.9374999999999947E-2</v>
      </c>
      <c r="AY28" s="151">
        <f>Segments!BD153</f>
        <v>5.3444945267224764E-2</v>
      </c>
      <c r="AZ28" s="151">
        <f>Segments!BE153</f>
        <v>4.587155963302747E-2</v>
      </c>
      <c r="BA28" s="151">
        <f>Segments!BF153</f>
        <v>2.5990903183885639E-3</v>
      </c>
      <c r="BB28" s="208">
        <f>Segments!BG153</f>
        <v>3.7954326149887405E-2</v>
      </c>
      <c r="BC28" s="151">
        <f>Segments!BH153</f>
        <v>0</v>
      </c>
      <c r="BD28" s="151">
        <f>Segments!BI153</f>
        <v>0</v>
      </c>
      <c r="BE28" s="151">
        <f>Segments!BJ153</f>
        <v>0</v>
      </c>
      <c r="BF28" s="151">
        <f>Segments!BK153</f>
        <v>0</v>
      </c>
      <c r="BG28" s="208">
        <f>Segments!BL153</f>
        <v>0</v>
      </c>
      <c r="BH28" s="151">
        <f>Segments!BM153</f>
        <v>0</v>
      </c>
      <c r="BI28" s="151">
        <f>Segments!BN153</f>
        <v>0</v>
      </c>
      <c r="BJ28" s="151">
        <f>Segments!BO153</f>
        <v>2.0380434782609758E-3</v>
      </c>
      <c r="BK28" s="151">
        <f>Segments!BP153</f>
        <v>3.3783783783782884E-3</v>
      </c>
      <c r="BL28" s="208">
        <f>Segments!BQ153</f>
        <v>1.3522650439486178E-3</v>
      </c>
      <c r="BM28" s="151">
        <f>Segments!BR153</f>
        <v>8.3986562150055732E-3</v>
      </c>
      <c r="BN28" s="151">
        <f>Segments!BS153</f>
        <v>9.3560814529443093E-3</v>
      </c>
      <c r="BO28" s="151">
        <f>Segments!BT153</f>
        <v>7.1704357418642672E-3</v>
      </c>
      <c r="BP28" s="151">
        <f>Segments!BU153</f>
        <v>4.7846889952152249E-3</v>
      </c>
      <c r="BQ28" s="208">
        <f>Segments!BV153</f>
        <v>7.4774266365687835E-3</v>
      </c>
      <c r="BR28" s="151">
        <f>Segments!BW153</f>
        <v>-1.0395010395010118E-3</v>
      </c>
      <c r="BS28" s="151">
        <f>Segments!BX153</f>
        <v>-1.0537407797681642E-3</v>
      </c>
      <c r="BT28" s="151">
        <f>Segments!BY153</f>
        <v>-1.4966848430726376E-3</v>
      </c>
      <c r="BU28" s="151">
        <f>Segments!BZ153</f>
        <v>0</v>
      </c>
      <c r="BV28" s="208">
        <f>Segments!CA153</f>
        <v>-9.1209156370630881E-4</v>
      </c>
      <c r="BW28" s="151">
        <f>Segments!CB153</f>
        <v>0</v>
      </c>
      <c r="BX28" s="151">
        <f>Segments!CC153</f>
        <v>0</v>
      </c>
      <c r="BY28" s="151">
        <f>Segments!CD153</f>
        <v>0</v>
      </c>
      <c r="BZ28" s="151">
        <f>Segments!CE153</f>
        <v>0</v>
      </c>
      <c r="CA28" s="208">
        <f>Segments!CF153</f>
        <v>0</v>
      </c>
    </row>
    <row r="29" spans="1:79" ht="12.75" customHeight="1" x14ac:dyDescent="0.35">
      <c r="A29" s="24"/>
      <c r="B29" s="53" t="s">
        <v>64</v>
      </c>
      <c r="C29" s="53"/>
      <c r="D29" s="24"/>
      <c r="E29" s="363"/>
      <c r="F29" s="363"/>
      <c r="G29" s="363"/>
      <c r="H29" s="363"/>
      <c r="I29" s="209">
        <f>Segments!N154</f>
        <v>8.7999999999999995E-2</v>
      </c>
      <c r="J29" s="181">
        <f>Segments!O154</f>
        <v>3.867426061895296E-2</v>
      </c>
      <c r="K29" s="181">
        <f>Segments!P154</f>
        <v>0.13096243196601631</v>
      </c>
      <c r="L29" s="181">
        <f>Segments!Q154</f>
        <v>0.12065201984408214</v>
      </c>
      <c r="M29" s="181">
        <f>Segments!R154</f>
        <v>9.478182751540043E-2</v>
      </c>
      <c r="N29" s="209">
        <f>Segments!S154</f>
        <v>9.6340316518632077E-2</v>
      </c>
      <c r="O29" s="181">
        <f>Segments!T154</f>
        <v>0.10081021897810216</v>
      </c>
      <c r="P29" s="181">
        <f>Segments!U154</f>
        <v>3.6834573554665129E-2</v>
      </c>
      <c r="Q29" s="181">
        <f>Segments!V154</f>
        <v>1.7768655801985167E-2</v>
      </c>
      <c r="R29" s="181">
        <f>Segments!W154</f>
        <v>-1.3219373219373165E-2</v>
      </c>
      <c r="S29" s="209">
        <f>Segments!X154</f>
        <v>3.3715502504273798E-2</v>
      </c>
      <c r="T29" s="181">
        <f>Segments!Y154</f>
        <v>-6.4029863678373267E-2</v>
      </c>
      <c r="U29" s="181">
        <f>Segments!Z154</f>
        <v>2.6500381222087643E-3</v>
      </c>
      <c r="V29" s="181">
        <f>Segments!AA154</f>
        <v>8.8149478979518525E-2</v>
      </c>
      <c r="W29" s="181">
        <f>Segments!AB154</f>
        <v>7.6869153481926356E-2</v>
      </c>
      <c r="X29" s="209">
        <f>Segments!AC154</f>
        <v>2.5015281962978916E-2</v>
      </c>
      <c r="Y29" s="181">
        <f>Segments!AD154</f>
        <v>0.18425438059061383</v>
      </c>
      <c r="Z29" s="181">
        <f>Segments!AE154</f>
        <v>7.7080417698352832E-2</v>
      </c>
      <c r="AA29" s="181">
        <f>Segments!AF154</f>
        <v>0.12604950387089753</v>
      </c>
      <c r="AB29" s="181">
        <f>Segments!AG154</f>
        <v>0.17131939284577036</v>
      </c>
      <c r="AC29" s="209">
        <f>Segments!AH154</f>
        <v>0.13844126297097836</v>
      </c>
      <c r="AD29" s="181">
        <f>Segments!AI154</f>
        <v>7.9983593109105744E-2</v>
      </c>
      <c r="AE29" s="181">
        <f>Segments!AJ154</f>
        <v>9.4552723638180902E-2</v>
      </c>
      <c r="AF29" s="181">
        <f>Segments!AK154</f>
        <v>-1.787562329475989E-2</v>
      </c>
      <c r="AG29" s="181">
        <f>Segments!AL154</f>
        <v>-0.10012870012870034</v>
      </c>
      <c r="AH29" s="209">
        <f>Segments!AM154</f>
        <v>8.7771461192643792E-3</v>
      </c>
      <c r="AI29" s="181">
        <f>Segments!AN154</f>
        <v>3.5501908227568713E-3</v>
      </c>
      <c r="AJ29" s="181">
        <f>Segments!AO154</f>
        <v>2.4338354182622757E-2</v>
      </c>
      <c r="AK29" s="181">
        <f>Segments!AP154</f>
        <v>0.13610288675055515</v>
      </c>
      <c r="AL29" s="181">
        <f>Segments!AQ154</f>
        <v>0.17064427884161881</v>
      </c>
      <c r="AM29" s="209">
        <f>Segments!AR154</f>
        <v>8.116685799176182E-2</v>
      </c>
      <c r="AN29" s="181">
        <f>Segments!AS154</f>
        <v>0.1443831538394188</v>
      </c>
      <c r="AO29" s="181">
        <f>Segments!AT154</f>
        <v>0.18737640079103479</v>
      </c>
      <c r="AP29" s="181">
        <f>Segments!AU154</f>
        <v>0.10074123337363983</v>
      </c>
      <c r="AQ29" s="181">
        <f>Segments!AV154</f>
        <v>4.1362530413625365E-2</v>
      </c>
      <c r="AR29" s="209">
        <f>Segments!AW154</f>
        <v>0.11767363124327021</v>
      </c>
      <c r="AS29" s="181">
        <f>Segments!AX154</f>
        <v>0.22558139534883725</v>
      </c>
      <c r="AT29" s="181">
        <f>Segments!AY154</f>
        <v>7.3170731707316916E-2</v>
      </c>
      <c r="AU29" s="181">
        <f>Segments!AZ154</f>
        <v>0.10471976401179939</v>
      </c>
      <c r="AV29" s="181">
        <f>Segments!BA154</f>
        <v>0.13255813953488382</v>
      </c>
      <c r="AW29" s="209">
        <f>Segments!BB154</f>
        <v>0.13200521318190278</v>
      </c>
      <c r="AX29" s="181">
        <f>Segments!BC154</f>
        <v>-9.8124999999999907E-2</v>
      </c>
      <c r="AY29" s="181">
        <f>Segments!BD154</f>
        <v>-0.1641983258209917</v>
      </c>
      <c r="AZ29" s="181">
        <f>Segments!BE154</f>
        <v>-0.21035386631716901</v>
      </c>
      <c r="BA29" s="181">
        <f>Segments!BF154</f>
        <v>-0.16439246263807672</v>
      </c>
      <c r="BB29" s="209">
        <f>Segments!BG154</f>
        <v>-0.15857188806690256</v>
      </c>
      <c r="BC29" s="181">
        <f>Segments!BH154</f>
        <v>-3.4165571616294299E-2</v>
      </c>
      <c r="BD29" s="181">
        <f>Segments!BI154</f>
        <v>8.1824764663287475E-2</v>
      </c>
      <c r="BE29" s="181">
        <f>Segments!BJ154</f>
        <v>0.15450980392156866</v>
      </c>
      <c r="BF29" s="181">
        <f>Segments!BK154</f>
        <v>0.1472868217054264</v>
      </c>
      <c r="BG29" s="209">
        <f>Segments!BL154</f>
        <v>8.1931236283833239E-2</v>
      </c>
      <c r="BH29" s="181">
        <f>Segments!BM154</f>
        <v>0.21496598639455788</v>
      </c>
      <c r="BI29" s="181">
        <f>Segments!BN154</f>
        <v>0.21619812583668008</v>
      </c>
      <c r="BJ29" s="181">
        <f>Segments!BO154</f>
        <v>0.22961956521739113</v>
      </c>
      <c r="BK29" s="181">
        <f>Segments!BP154</f>
        <v>0.12635135135135145</v>
      </c>
      <c r="BL29" s="209">
        <f>Segments!BQ154</f>
        <v>0.19675456389452337</v>
      </c>
      <c r="BM29" s="181">
        <f>Segments!BR154</f>
        <v>6.8868980963045834E-2</v>
      </c>
      <c r="BN29" s="181">
        <f>Segments!BS154</f>
        <v>3.5222894881673295E-2</v>
      </c>
      <c r="BO29" s="181">
        <f>Segments!BT154</f>
        <v>9.8416988416988538E-2</v>
      </c>
      <c r="BP29" s="181">
        <f>Segments!BU154</f>
        <v>0.10062085467747917</v>
      </c>
      <c r="BQ29" s="209">
        <f>Segments!BV154</f>
        <v>7.5291770460037474E-2</v>
      </c>
      <c r="BR29" s="181">
        <f>Segments!BW154</f>
        <v>9.6206014990385835E-2</v>
      </c>
      <c r="BS29" s="181">
        <f>Segments!BX154</f>
        <v>8.4194204305880538E-2</v>
      </c>
      <c r="BT29" s="181">
        <f>Segments!BY154</f>
        <v>7.7820457250417086E-2</v>
      </c>
      <c r="BU29" s="181">
        <f>Segments!BZ154</f>
        <v>7.7998413894612595E-2</v>
      </c>
      <c r="BV29" s="209">
        <f>Segments!CA154</f>
        <v>8.4048751532010163E-2</v>
      </c>
      <c r="BW29" s="181">
        <f>Segments!CB154</f>
        <v>7.614585591778722E-2</v>
      </c>
      <c r="BX29" s="181">
        <f>Segments!CC154</f>
        <v>7.5990442729845453E-2</v>
      </c>
      <c r="BY29" s="181">
        <f>Segments!CD154</f>
        <v>7.6206747802302299E-2</v>
      </c>
      <c r="BZ29" s="181">
        <f>Segments!CE154</f>
        <v>7.6574090972554965E-2</v>
      </c>
      <c r="CA29" s="209">
        <f>Segments!CF154</f>
        <v>7.6225864094926987E-2</v>
      </c>
    </row>
    <row r="30" spans="1:79" ht="12.75" customHeight="1" thickBot="1" x14ac:dyDescent="0.4">
      <c r="B30" s="42" t="s">
        <v>27</v>
      </c>
      <c r="C30" s="42"/>
      <c r="D30" s="24"/>
      <c r="E30" s="62"/>
      <c r="F30" s="62"/>
      <c r="G30" s="62"/>
      <c r="H30" s="62"/>
      <c r="I30" s="207">
        <f>Segments!N155</f>
        <v>-1E-3</v>
      </c>
      <c r="J30" s="151">
        <f>Segments!O155</f>
        <v>0</v>
      </c>
      <c r="K30" s="151">
        <f>Segments!P155</f>
        <v>1.5734767025089802E-2</v>
      </c>
      <c r="L30" s="151">
        <f>Segments!Q155</f>
        <v>0</v>
      </c>
      <c r="M30" s="151">
        <f>Segments!R155</f>
        <v>-3.0000000000000138E-2</v>
      </c>
      <c r="N30" s="207">
        <f>Segments!S155</f>
        <v>1E-3</v>
      </c>
      <c r="O30" s="151">
        <f>Segments!T155</f>
        <v>-5.0000000000000155E-2</v>
      </c>
      <c r="P30" s="151">
        <f>Segments!U155</f>
        <v>-5.2844876931883222E-2</v>
      </c>
      <c r="Q30" s="151">
        <f>Segments!V155</f>
        <v>-5.0000000000000044E-2</v>
      </c>
      <c r="R30" s="151">
        <f>Segments!W155</f>
        <v>-3.6439886039886016E-2</v>
      </c>
      <c r="S30" s="207">
        <f>Segments!X155</f>
        <v>-4.7176618780553674E-2</v>
      </c>
      <c r="T30" s="151">
        <f>Segments!Y155</f>
        <v>-1.58250924214417E-2</v>
      </c>
      <c r="U30" s="151">
        <f>Segments!Z155</f>
        <v>-3.0377954471190183E-3</v>
      </c>
      <c r="V30" s="151">
        <f>Segments!AA155</f>
        <v>-1.0305425799497003E-2</v>
      </c>
      <c r="W30" s="151">
        <f>Segments!AB155</f>
        <v>-1.4842360549716993E-2</v>
      </c>
      <c r="X30" s="207">
        <f>Segments!AC155</f>
        <v>-1.0889137609413086E-2</v>
      </c>
      <c r="Y30" s="151">
        <f>Segments!AD155</f>
        <v>-3.565739492709219E-3</v>
      </c>
      <c r="Z30" s="151">
        <f>Segments!AE155</f>
        <v>0</v>
      </c>
      <c r="AA30" s="151">
        <f>Segments!AF155</f>
        <v>1.0000000000000009E-2</v>
      </c>
      <c r="AB30" s="151">
        <f>Segments!AG155</f>
        <v>3.0000000000000249E-2</v>
      </c>
      <c r="AC30" s="207">
        <f>Segments!AH155</f>
        <v>9.5788247045114697E-3</v>
      </c>
      <c r="AD30" s="151">
        <f>Segments!AI155</f>
        <v>3.4518457752256149E-2</v>
      </c>
      <c r="AE30" s="151">
        <f>Segments!AJ155</f>
        <v>1.313643178410806E-2</v>
      </c>
      <c r="AF30" s="151">
        <f>Segments!AK155</f>
        <v>-3.4688117414621855E-3</v>
      </c>
      <c r="AG30" s="151">
        <f>Segments!AL155</f>
        <v>-1.3782067782067697E-2</v>
      </c>
      <c r="AH30" s="207">
        <f>Segments!AM155</f>
        <v>6.4354796508171181E-3</v>
      </c>
      <c r="AI30" s="151">
        <f>Segments!AN155</f>
        <v>-2.3610544066743677E-2</v>
      </c>
      <c r="AJ30" s="151">
        <f>Segments!AO155</f>
        <v>-2.2317589992341125E-2</v>
      </c>
      <c r="AK30" s="151">
        <f>Segments!AP155</f>
        <v>-1.4034048852701653E-2</v>
      </c>
      <c r="AL30" s="151">
        <f>Segments!AQ155</f>
        <v>-5.6164512781810005E-3</v>
      </c>
      <c r="AM30" s="207">
        <f>Segments!AR155</f>
        <v>-1.6645148220676569E-2</v>
      </c>
      <c r="AN30" s="151">
        <f>Segments!AS155</f>
        <v>-1.0000000000000009E-2</v>
      </c>
      <c r="AO30" s="151">
        <f>Segments!AT155</f>
        <v>-1.391562294001325E-2</v>
      </c>
      <c r="AP30" s="151">
        <f>Segments!AU155</f>
        <v>6.449012494961659E-3</v>
      </c>
      <c r="AQ30" s="151">
        <f>Segments!AV155</f>
        <v>1.9999999999999796E-2</v>
      </c>
      <c r="AR30" s="207">
        <f>Segments!AW155</f>
        <v>9.0097738755893196E-4</v>
      </c>
      <c r="AS30" s="151">
        <f>Segments!AX155</f>
        <v>3.3844961240310223E-2</v>
      </c>
      <c r="AT30" s="151">
        <f>Segments!AY155</f>
        <v>3.0390243902439051E-2</v>
      </c>
      <c r="AU30" s="151">
        <f>Segments!AZ155</f>
        <v>5.1327433628318708E-3</v>
      </c>
      <c r="AV30" s="151">
        <f>Segments!BA155</f>
        <v>-4.3023255813953165E-3</v>
      </c>
      <c r="AW30" s="207">
        <f>Segments!BB155</f>
        <v>1.6510891826475572E-2</v>
      </c>
      <c r="AX30" s="151">
        <f>Segments!BC155</f>
        <v>-1.4599999999999946E-2</v>
      </c>
      <c r="AY30" s="151">
        <f>Segments!BD155</f>
        <v>-3.0264005151319995E-2</v>
      </c>
      <c r="AZ30" s="151">
        <f>Segments!BE155</f>
        <v>-4.3905635648754937E-2</v>
      </c>
      <c r="BA30" s="151">
        <f>Segments!BF155</f>
        <v>-3.3138401559454245E-2</v>
      </c>
      <c r="BB30" s="207">
        <f>Segments!BG155</f>
        <v>-3.029269861691862E-2</v>
      </c>
      <c r="BC30" s="151">
        <f>Segments!BH155</f>
        <v>-1.8396846254927768E-2</v>
      </c>
      <c r="BD30" s="151">
        <f>Segments!BI155</f>
        <v>1.4663287472846953E-3</v>
      </c>
      <c r="BE30" s="151">
        <f>Segments!BJ155</f>
        <v>1.3333333333333419E-2</v>
      </c>
      <c r="BF30" s="151">
        <f>Segments!BK155</f>
        <v>1.6279069767441756E-2</v>
      </c>
      <c r="BG30" s="207">
        <f>Segments!BL155</f>
        <v>2.1991587417703141E-3</v>
      </c>
      <c r="BH30" s="151">
        <f>Segments!BM155</f>
        <v>2.0408163265306367E-3</v>
      </c>
      <c r="BI30" s="151">
        <f>Segments!BN155</f>
        <v>-4.6854082998660784E-3</v>
      </c>
      <c r="BJ30" s="151">
        <f>Segments!BO155</f>
        <v>5.4347826086955653E-3</v>
      </c>
      <c r="BK30" s="151">
        <f>Segments!BP155</f>
        <v>-2.7027027027026751E-3</v>
      </c>
      <c r="BL30" s="207">
        <f>Segments!BQ155</f>
        <v>4.7291447296406262E-18</v>
      </c>
      <c r="BM30" s="151">
        <f>Segments!BR155</f>
        <v>-7.838745800671898E-3</v>
      </c>
      <c r="BN30" s="151">
        <f>Segments!BS155</f>
        <v>1.4859658778205942E-2</v>
      </c>
      <c r="BO30" s="151">
        <f ca="1">Segments!BT155</f>
        <v>1.3237727523441878E-2</v>
      </c>
      <c r="BP30" s="151">
        <f>Segments!BU155</f>
        <v>2.2125389306978382E-2</v>
      </c>
      <c r="BQ30" s="207">
        <f ca="1">Segments!BV155</f>
        <v>1.0439284836522032E-2</v>
      </c>
      <c r="BR30" s="151">
        <f>Segments!BW155</f>
        <v>2.4879508276206108E-2</v>
      </c>
      <c r="BS30" s="151">
        <f>Segments!BX155</f>
        <v>3.5267261456701782E-3</v>
      </c>
      <c r="BT30" s="151">
        <f>Segments!BY155</f>
        <v>-2.5900166584635897E-3</v>
      </c>
      <c r="BU30" s="151">
        <f>Segments!BZ155</f>
        <v>-4.3248227505119363E-3</v>
      </c>
      <c r="BV30" s="207">
        <f>Segments!CA155</f>
        <v>5.3913850912896541E-3</v>
      </c>
      <c r="BW30" s="151">
        <f>Segments!CB155</f>
        <v>-7.4805456544069227E-4</v>
      </c>
      <c r="BX30" s="151">
        <f>Segments!CC155</f>
        <v>-7.3947636069704448E-4</v>
      </c>
      <c r="BY30" s="151">
        <f>Segments!CD155</f>
        <v>-7.4479770739932505E-4</v>
      </c>
      <c r="BZ30" s="151">
        <f>Segments!CE155</f>
        <v>-7.1164210804086636E-4</v>
      </c>
      <c r="CA30" s="207">
        <f>Segments!CF155</f>
        <v>-7.3636048241787022E-4</v>
      </c>
    </row>
    <row r="31" spans="1:79" ht="12.75" customHeight="1" thickBot="1" x14ac:dyDescent="0.4">
      <c r="A31" s="58"/>
      <c r="B31" s="352" t="s">
        <v>28</v>
      </c>
      <c r="C31" s="352"/>
      <c r="D31" s="353"/>
      <c r="E31" s="364"/>
      <c r="F31" s="364"/>
      <c r="G31" s="364"/>
      <c r="H31" s="364"/>
      <c r="I31" s="355">
        <f>Segments!N156</f>
        <v>8.8999999999999996E-2</v>
      </c>
      <c r="J31" s="354">
        <f>Segments!O156</f>
        <v>3.867426061895296E-2</v>
      </c>
      <c r="K31" s="354">
        <f>Segments!P156</f>
        <v>0.11522766494092651</v>
      </c>
      <c r="L31" s="354">
        <f>Segments!Q156</f>
        <v>0.12065201984408214</v>
      </c>
      <c r="M31" s="354">
        <f>Segments!R156</f>
        <v>0.12478182751540057</v>
      </c>
      <c r="N31" s="355">
        <f>Segments!S156</f>
        <v>9.5340316518632076E-2</v>
      </c>
      <c r="O31" s="354">
        <f>Segments!T156</f>
        <v>0.15081021897810232</v>
      </c>
      <c r="P31" s="354">
        <f>Segments!U156</f>
        <v>8.9679450486548351E-2</v>
      </c>
      <c r="Q31" s="354">
        <f>Segments!V156</f>
        <v>6.7768655801985211E-2</v>
      </c>
      <c r="R31" s="354">
        <f>Segments!W156</f>
        <v>2.3220512820512851E-2</v>
      </c>
      <c r="S31" s="355">
        <f>Segments!X156</f>
        <v>8.0892121284827465E-2</v>
      </c>
      <c r="T31" s="354">
        <f>Segments!Y156</f>
        <v>-4.8204771256931567E-2</v>
      </c>
      <c r="U31" s="354">
        <f>Segments!Z156</f>
        <v>5.6878335693277826E-3</v>
      </c>
      <c r="V31" s="354">
        <f>Segments!AA156</f>
        <v>9.8454904779015529E-2</v>
      </c>
      <c r="W31" s="354">
        <f>Segments!AB156</f>
        <v>9.1711514031643349E-2</v>
      </c>
      <c r="X31" s="355">
        <f>Segments!AC156</f>
        <v>3.5904419572392002E-2</v>
      </c>
      <c r="Y31" s="354">
        <f>Segments!AD156</f>
        <v>0.18782012008332305</v>
      </c>
      <c r="Z31" s="354">
        <f>Segments!AE156</f>
        <v>7.7080417698352832E-2</v>
      </c>
      <c r="AA31" s="354">
        <f>Segments!AF156</f>
        <v>0.11604950387089752</v>
      </c>
      <c r="AB31" s="354">
        <f>Segments!AG156</f>
        <v>0.14131939284577011</v>
      </c>
      <c r="AC31" s="355">
        <f>Segments!AH156</f>
        <v>0.12886243826646687</v>
      </c>
      <c r="AD31" s="354">
        <f>Segments!AI156</f>
        <v>4.5465135356849595E-2</v>
      </c>
      <c r="AE31" s="354">
        <f>Segments!AJ156</f>
        <v>8.1416291854072842E-2</v>
      </c>
      <c r="AF31" s="354">
        <f>Segments!AK156</f>
        <v>-1.4406811553297705E-2</v>
      </c>
      <c r="AG31" s="354">
        <f>Segments!AL156</f>
        <v>-8.6346632346632646E-2</v>
      </c>
      <c r="AH31" s="355">
        <f>Segments!AM156</f>
        <v>2.3416664684472615E-3</v>
      </c>
      <c r="AI31" s="354">
        <f>Segments!AN156</f>
        <v>2.7160734889500548E-2</v>
      </c>
      <c r="AJ31" s="354">
        <f>Segments!AO156</f>
        <v>4.6655944174963881E-2</v>
      </c>
      <c r="AK31" s="354">
        <f>Segments!AP156</f>
        <v>0.1501369356032568</v>
      </c>
      <c r="AL31" s="354">
        <f>Segments!AQ156</f>
        <v>0.17626073011979981</v>
      </c>
      <c r="AM31" s="355">
        <f>Segments!AR156</f>
        <v>9.7812006212438379E-2</v>
      </c>
      <c r="AN31" s="354">
        <f>Segments!AS156</f>
        <v>0.15438315383941881</v>
      </c>
      <c r="AO31" s="354">
        <f>Segments!AT156</f>
        <v>0.20129202373104804</v>
      </c>
      <c r="AP31" s="354">
        <f>Segments!AU156</f>
        <v>9.4292220878678168E-2</v>
      </c>
      <c r="AQ31" s="354">
        <f>Segments!AV156</f>
        <v>2.1362530413625569E-2</v>
      </c>
      <c r="AR31" s="355">
        <f>Segments!AW156</f>
        <v>0.11677265385571126</v>
      </c>
      <c r="AS31" s="354">
        <f>Segments!AX156</f>
        <v>0.19173643410852703</v>
      </c>
      <c r="AT31" s="354">
        <f>Segments!AY156</f>
        <v>4.2780487804877865E-2</v>
      </c>
      <c r="AU31" s="354">
        <f>Segments!AZ156</f>
        <v>9.9587020648967517E-2</v>
      </c>
      <c r="AV31" s="354">
        <f>Segments!BA156</f>
        <v>0.13686046511627914</v>
      </c>
      <c r="AW31" s="355">
        <f>Segments!BB156</f>
        <v>0.11549432135542724</v>
      </c>
      <c r="AX31" s="354">
        <f>Segments!BC156</f>
        <v>-8.352499999999996E-2</v>
      </c>
      <c r="AY31" s="354">
        <f>Segments!BD156</f>
        <v>-0.1339343206696717</v>
      </c>
      <c r="AZ31" s="354">
        <f>Segments!BE156</f>
        <v>-0.16644823066841408</v>
      </c>
      <c r="BA31" s="354">
        <f>Segments!BF156</f>
        <v>-0.13125406107862247</v>
      </c>
      <c r="BB31" s="355">
        <f>Segments!BG156</f>
        <v>-0.12827918944998393</v>
      </c>
      <c r="BC31" s="354">
        <f>Segments!BH156</f>
        <v>-1.5768725361366531E-2</v>
      </c>
      <c r="BD31" s="354">
        <f>Segments!BI156</f>
        <v>8.0358435916002779E-2</v>
      </c>
      <c r="BE31" s="354">
        <f>Segments!BJ156</f>
        <v>0.14117647058823524</v>
      </c>
      <c r="BF31" s="354">
        <f>Segments!BK156</f>
        <v>0.13100775193798464</v>
      </c>
      <c r="BG31" s="355">
        <f>Segments!BL156</f>
        <v>7.9732077542062935E-2</v>
      </c>
      <c r="BH31" s="354">
        <f>Segments!BM156</f>
        <v>0.21292517006802725</v>
      </c>
      <c r="BI31" s="354">
        <f>Segments!BN156</f>
        <v>0.22088353413654616</v>
      </c>
      <c r="BJ31" s="354">
        <f>Segments!BO156</f>
        <v>0.22418478260869557</v>
      </c>
      <c r="BK31" s="354">
        <f>Segments!BP156</f>
        <v>0.12905405405405412</v>
      </c>
      <c r="BL31" s="355">
        <f>Segments!BQ156</f>
        <v>0.19675456389452334</v>
      </c>
      <c r="BM31" s="354">
        <f>Segments!BR156</f>
        <v>7.6707726763717732E-2</v>
      </c>
      <c r="BN31" s="354">
        <f>Segments!BS156</f>
        <v>2.0363236103467353E-2</v>
      </c>
      <c r="BO31" s="354">
        <f ca="1">Segments!BT156</f>
        <v>8.517926089354666E-2</v>
      </c>
      <c r="BP31" s="354">
        <f>Segments!BU156</f>
        <v>7.8495465370500783E-2</v>
      </c>
      <c r="BQ31" s="355">
        <f ca="1">Segments!BV156</f>
        <v>6.4852485623515435E-2</v>
      </c>
      <c r="BR31" s="354">
        <f>Segments!BW156</f>
        <v>7.1326506714179727E-2</v>
      </c>
      <c r="BS31" s="354">
        <f>Segments!BX156</f>
        <v>8.066747816021036E-2</v>
      </c>
      <c r="BT31" s="354">
        <f>Segments!BY156</f>
        <v>8.0410473908880675E-2</v>
      </c>
      <c r="BU31" s="354">
        <f>Segments!BZ156</f>
        <v>8.2323236645124531E-2</v>
      </c>
      <c r="BV31" s="355">
        <f>Segments!CA156</f>
        <v>7.8657366440720508E-2</v>
      </c>
      <c r="BW31" s="354">
        <f>Segments!CB156</f>
        <v>7.6893910483227912E-2</v>
      </c>
      <c r="BX31" s="354">
        <f>Segments!CC156</f>
        <v>7.6729919090542498E-2</v>
      </c>
      <c r="BY31" s="354">
        <f>Segments!CD156</f>
        <v>7.6951545509701624E-2</v>
      </c>
      <c r="BZ31" s="354">
        <f>Segments!CE156</f>
        <v>7.7285733080595831E-2</v>
      </c>
      <c r="CA31" s="355">
        <f>Segments!CF156</f>
        <v>7.6962224577344862E-2</v>
      </c>
    </row>
    <row r="32" spans="1:79" ht="12.75" customHeight="1" x14ac:dyDescent="0.35">
      <c r="B32" s="24"/>
      <c r="C32" s="24"/>
      <c r="D32" s="24"/>
      <c r="E32" s="24"/>
      <c r="F32" s="24"/>
      <c r="G32" s="24"/>
      <c r="H32" s="24"/>
      <c r="I32" s="39"/>
      <c r="J32" s="16"/>
      <c r="K32" s="16"/>
      <c r="L32" s="16"/>
      <c r="M32" s="16"/>
      <c r="N32" s="39"/>
      <c r="O32" s="16"/>
      <c r="P32" s="16"/>
      <c r="Q32" s="16"/>
      <c r="R32" s="16"/>
      <c r="S32" s="39"/>
      <c r="T32" s="16"/>
      <c r="U32" s="16"/>
      <c r="V32" s="16"/>
      <c r="W32" s="16"/>
      <c r="X32" s="39"/>
      <c r="Y32" s="16"/>
      <c r="Z32" s="16"/>
      <c r="AA32" s="16"/>
      <c r="AB32" s="16"/>
      <c r="AC32" s="39"/>
      <c r="AD32" s="16"/>
      <c r="AE32" s="16"/>
      <c r="AF32" s="16"/>
      <c r="AG32" s="16"/>
      <c r="AH32" s="39"/>
      <c r="AI32" s="16"/>
      <c r="AJ32" s="16"/>
      <c r="AK32" s="16"/>
      <c r="AL32" s="16"/>
      <c r="AM32" s="39"/>
      <c r="AN32" s="457"/>
      <c r="AO32" s="457"/>
      <c r="AP32" s="457"/>
      <c r="AQ32" s="457"/>
      <c r="AR32" s="458"/>
      <c r="AS32" s="457"/>
      <c r="AT32" s="457"/>
      <c r="AU32" s="457"/>
      <c r="AV32" s="457"/>
      <c r="AW32" s="458"/>
      <c r="AX32" s="457"/>
      <c r="AY32" s="503"/>
      <c r="AZ32" s="503"/>
      <c r="BB32" s="458"/>
      <c r="BC32" s="457"/>
      <c r="BD32" s="457"/>
      <c r="BE32" s="457"/>
      <c r="BF32" s="457"/>
      <c r="BG32" s="458"/>
      <c r="BH32" s="503"/>
      <c r="BI32" s="503"/>
      <c r="BJ32" s="503"/>
      <c r="BK32" s="503"/>
      <c r="BL32" s="458"/>
      <c r="BM32" s="503"/>
      <c r="BN32" s="503"/>
      <c r="BO32" s="503"/>
      <c r="BP32" s="503"/>
      <c r="BQ32" s="458"/>
      <c r="BR32" s="457"/>
      <c r="BS32" s="503"/>
      <c r="BT32" s="457"/>
      <c r="BU32" s="457"/>
      <c r="BV32" s="458"/>
      <c r="BW32" s="457"/>
      <c r="BX32" s="503"/>
      <c r="BY32" s="457"/>
      <c r="BZ32" s="457"/>
      <c r="CA32" s="458"/>
    </row>
    <row r="33" spans="1:79" ht="12.75" customHeight="1" x14ac:dyDescent="0.35">
      <c r="B33" s="2" t="s">
        <v>163</v>
      </c>
      <c r="C33" s="24"/>
      <c r="D33" s="24"/>
      <c r="E33" s="24"/>
      <c r="F33" s="24"/>
      <c r="G33" s="226">
        <f>Segments!L39+Segments!L122</f>
        <v>413.2</v>
      </c>
      <c r="H33" s="226">
        <f>Segments!M39+Segments!M122</f>
        <v>468.29999999999995</v>
      </c>
      <c r="I33" s="381">
        <f>Segments!N39+Segments!N122</f>
        <v>1735.5</v>
      </c>
      <c r="J33" s="226">
        <f>Segments!O39+Segments!O122</f>
        <v>435.9</v>
      </c>
      <c r="K33" s="226">
        <f>Segments!P39+Segments!P122</f>
        <v>464.7</v>
      </c>
      <c r="L33" s="226">
        <f>Segments!Q39+Segments!Q122</f>
        <v>468.9</v>
      </c>
      <c r="M33" s="226">
        <f>Segments!R39+Segments!R122</f>
        <v>530.90000000000009</v>
      </c>
      <c r="N33" s="382">
        <f>SUM(J33:M33)</f>
        <v>1900.4</v>
      </c>
      <c r="O33" s="226">
        <f>Segments!T39+Segments!T122</f>
        <v>491.6</v>
      </c>
      <c r="P33" s="226">
        <f>Segments!U39+Segments!U122</f>
        <v>497.7</v>
      </c>
      <c r="Q33" s="226">
        <f>Segments!V39+Segments!V122</f>
        <v>483.70000000000005</v>
      </c>
      <c r="R33" s="226">
        <f>Segments!W39+Segments!W122</f>
        <v>531.5</v>
      </c>
      <c r="S33" s="382">
        <f>SUM(O33:R33)</f>
        <v>2004.5</v>
      </c>
      <c r="T33" s="226">
        <f>Segments!Y39+Segments!Y122</f>
        <v>508.90000000000003</v>
      </c>
      <c r="U33" s="226">
        <f>Segments!Z39+Segments!Z122</f>
        <v>514.9</v>
      </c>
      <c r="V33" s="226">
        <f>Segments!AA39+Segments!AA122</f>
        <v>508</v>
      </c>
      <c r="W33" s="226">
        <f>Segments!AB39+Segments!AB122</f>
        <v>548.5</v>
      </c>
      <c r="X33" s="382">
        <f>SUM(T33:W33)</f>
        <v>2080.3000000000002</v>
      </c>
      <c r="Y33" s="226">
        <f>Segments!AD39+Segments!AD122</f>
        <v>525.70000000000005</v>
      </c>
      <c r="Z33" s="226">
        <f>Segments!AE39+Segments!AE122</f>
        <v>531.70000000000005</v>
      </c>
      <c r="AA33" s="226">
        <f>Segments!AF39+Segments!AF122</f>
        <v>594.40000000000009</v>
      </c>
      <c r="AB33" s="226">
        <f>Segments!AG39+Segments!AG122</f>
        <v>678.40000000000009</v>
      </c>
      <c r="AC33" s="382">
        <f>SUM(Y33:AB33)</f>
        <v>2330.2000000000003</v>
      </c>
      <c r="AD33" s="226">
        <f>Segments!AI39+Segments!AI122</f>
        <v>620.79999999999995</v>
      </c>
      <c r="AE33" s="226">
        <f>Segments!AJ39+Segments!AJ122</f>
        <v>623.70000000000005</v>
      </c>
      <c r="AF33" s="226">
        <f>Segments!AK39+Segments!AK122</f>
        <v>600.79999999999995</v>
      </c>
      <c r="AG33" s="226">
        <f>Segments!AL39+Segments!AL122</f>
        <v>616.6</v>
      </c>
      <c r="AH33" s="382">
        <f>SUM(AD33:AG33)</f>
        <v>2461.9</v>
      </c>
      <c r="AI33" s="226">
        <f>Segments!AN39+Segments!AN122</f>
        <v>657.90000000000009</v>
      </c>
      <c r="AJ33" s="226">
        <f>Segments!AO39+Segments!AO122</f>
        <v>649.79999999999995</v>
      </c>
      <c r="AK33" s="226">
        <f>Segments!AP39+Segments!AP122</f>
        <v>663</v>
      </c>
      <c r="AL33" s="226">
        <f>Segments!AQ39+Segments!AQ122</f>
        <v>711</v>
      </c>
      <c r="AM33" s="382">
        <f>SUM(AI33:AL33)</f>
        <v>2681.7</v>
      </c>
      <c r="AN33" s="226">
        <f>Segments!AS39+Segments!AS122</f>
        <v>680</v>
      </c>
      <c r="AO33" s="226">
        <f>Segments!AT39+Segments!AT122</f>
        <v>706</v>
      </c>
      <c r="AP33" s="226">
        <f>Segments!AU39+Segments!AU122</f>
        <v>674</v>
      </c>
      <c r="AQ33" s="226">
        <f>Segments!AV39+Segments!AV122</f>
        <v>799</v>
      </c>
      <c r="AR33" s="382">
        <f>SUM(AN33:AQ33)</f>
        <v>2859</v>
      </c>
      <c r="AS33" s="226">
        <f>Segments!AX39+Segments!AX122</f>
        <v>728</v>
      </c>
      <c r="AT33" s="226">
        <f>Segments!AY39+Segments!AY122</f>
        <v>736</v>
      </c>
      <c r="AU33" s="226">
        <f>Segments!AZ39+Segments!AZ122</f>
        <v>833</v>
      </c>
      <c r="AV33" s="226">
        <f>Segments!BA39+Segments!BA122</f>
        <v>992</v>
      </c>
      <c r="AW33" s="382">
        <f>SUM(AS33:AV33)</f>
        <v>3289</v>
      </c>
      <c r="AX33" s="226">
        <f>Segments!BC39+Segments!BC122</f>
        <v>833</v>
      </c>
      <c r="AY33" s="226">
        <f>Segments!BD39+Segments!BD122</f>
        <v>805</v>
      </c>
      <c r="AZ33" s="226">
        <f>Segments!BE39+Segments!BE122</f>
        <v>823</v>
      </c>
      <c r="BA33" s="226">
        <f>Segments!BF39+Segments!BF122</f>
        <v>861</v>
      </c>
      <c r="BB33" s="382">
        <f>SUM(AX33:BA33)</f>
        <v>3322</v>
      </c>
      <c r="BC33" s="226">
        <f>Segments!BH39+Segments!BH122</f>
        <v>862</v>
      </c>
      <c r="BD33" s="226">
        <f>Segments!BI39+Segments!BI122</f>
        <v>891</v>
      </c>
      <c r="BE33" s="226">
        <f>Segments!BJ39+Segments!BJ122</f>
        <v>865</v>
      </c>
      <c r="BF33" s="226">
        <f>Segments!BK39+Segments!BK122</f>
        <v>900</v>
      </c>
      <c r="BG33" s="382">
        <f>SUM(BC33:BF33)</f>
        <v>3518</v>
      </c>
      <c r="BH33" s="226">
        <f>Segments!BM39+Segments!BM122</f>
        <v>930</v>
      </c>
      <c r="BI33" s="226">
        <f>Segments!BN39+Segments!BN122</f>
        <v>968</v>
      </c>
      <c r="BJ33" s="226">
        <f>Segments!BO39+Segments!BO122</f>
        <v>997</v>
      </c>
      <c r="BK33" s="226">
        <f>Segments!BP39+Segments!BP122</f>
        <v>991</v>
      </c>
      <c r="BL33" s="382">
        <f>SUM(BH33:BK33)</f>
        <v>3886</v>
      </c>
      <c r="BM33" s="226">
        <f>Segments!BR39+Segments!BR122</f>
        <v>982</v>
      </c>
      <c r="BN33" s="226">
        <f>Segments!BS39+Segments!BS122</f>
        <v>985</v>
      </c>
      <c r="BO33" s="226">
        <f>Segments!BT39+Segments!BT122</f>
        <v>1003.385658656172</v>
      </c>
      <c r="BP33" s="226">
        <f>Segments!BU39+Segments!BU122</f>
        <v>1010.263261890675</v>
      </c>
      <c r="BQ33" s="382">
        <f>SUM(BM33:BP33)</f>
        <v>3980.648920546847</v>
      </c>
      <c r="BR33" s="226">
        <f>Segments!BW39+Segments!BW122</f>
        <v>1043.7311304667924</v>
      </c>
      <c r="BS33" s="226">
        <f>Segments!BX39+Segments!BX122</f>
        <v>1032.1742929805027</v>
      </c>
      <c r="BT33" s="226">
        <f>Segments!BY39+Segments!BY122</f>
        <v>1070.5411028946523</v>
      </c>
      <c r="BU33" s="226">
        <f>Segments!BZ39+Segments!BZ122</f>
        <v>1076.944928154041</v>
      </c>
      <c r="BV33" s="382">
        <f>SUM(BR33:BU33)</f>
        <v>4223.391454495988</v>
      </c>
      <c r="BW33" s="226">
        <f>Segments!CB39+Segments!CB122</f>
        <v>1097.7564475854206</v>
      </c>
      <c r="BX33" s="226">
        <f>Segments!CC39+Segments!CC122</f>
        <v>1085.5250189160724</v>
      </c>
      <c r="BY33" s="226">
        <f>Segments!CD39+Segments!CD122</f>
        <v>1128.709819571457</v>
      </c>
      <c r="BZ33" s="226">
        <f>Segments!CE39+Segments!CE122</f>
        <v>1136.5598707131039</v>
      </c>
      <c r="CA33" s="382">
        <f>SUM(BW33:BZ33)</f>
        <v>4448.551156786054</v>
      </c>
    </row>
    <row r="34" spans="1:79" ht="12.75" customHeight="1" x14ac:dyDescent="0.35">
      <c r="B34" s="42" t="s">
        <v>56</v>
      </c>
      <c r="C34" s="24"/>
      <c r="D34" s="24"/>
      <c r="E34" s="24"/>
      <c r="F34" s="24"/>
      <c r="G34" s="153" t="str">
        <f t="shared" ref="G34:X34" si="4">IFERROR(G33/B33-1,"NA")</f>
        <v>NA</v>
      </c>
      <c r="H34" s="153" t="str">
        <f t="shared" si="4"/>
        <v>NA</v>
      </c>
      <c r="I34" s="184" t="str">
        <f t="shared" si="4"/>
        <v>NA</v>
      </c>
      <c r="J34" s="153" t="str">
        <f t="shared" si="4"/>
        <v>NA</v>
      </c>
      <c r="K34" s="153" t="str">
        <f t="shared" si="4"/>
        <v>NA</v>
      </c>
      <c r="L34" s="153">
        <f t="shared" si="4"/>
        <v>0.13480154888673757</v>
      </c>
      <c r="M34" s="153">
        <f t="shared" si="4"/>
        <v>0.13367499466154209</v>
      </c>
      <c r="N34" s="184">
        <f t="shared" si="4"/>
        <v>9.501584557764331E-2</v>
      </c>
      <c r="O34" s="153">
        <f t="shared" si="4"/>
        <v>0.1277816012846984</v>
      </c>
      <c r="P34" s="153">
        <f t="shared" si="4"/>
        <v>7.1013557133634553E-2</v>
      </c>
      <c r="Q34" s="153">
        <f t="shared" si="4"/>
        <v>3.1563233098741872E-2</v>
      </c>
      <c r="R34" s="153">
        <f t="shared" si="4"/>
        <v>1.1301563382932756E-3</v>
      </c>
      <c r="S34" s="184">
        <f t="shared" si="4"/>
        <v>5.477794148600279E-2</v>
      </c>
      <c r="T34" s="153">
        <f t="shared" si="4"/>
        <v>3.5191212367778668E-2</v>
      </c>
      <c r="U34" s="153">
        <f t="shared" si="4"/>
        <v>3.4558971267832028E-2</v>
      </c>
      <c r="V34" s="153">
        <f t="shared" si="4"/>
        <v>5.0237750671904058E-2</v>
      </c>
      <c r="W34" s="153">
        <f t="shared" si="4"/>
        <v>3.1984948259642598E-2</v>
      </c>
      <c r="X34" s="184">
        <f t="shared" si="4"/>
        <v>3.7814916438014601E-2</v>
      </c>
      <c r="Y34" s="153">
        <f t="shared" ref="Y34:AR34" si="5">IFERROR(Y33/T33-1,"NA")</f>
        <v>3.3012379642365808E-2</v>
      </c>
      <c r="Z34" s="153">
        <f t="shared" si="5"/>
        <v>3.2627694697999754E-2</v>
      </c>
      <c r="AA34" s="153">
        <f t="shared" si="5"/>
        <v>0.17007874015748059</v>
      </c>
      <c r="AB34" s="153">
        <f t="shared" si="5"/>
        <v>0.2368277119416593</v>
      </c>
      <c r="AC34" s="184">
        <f t="shared" si="5"/>
        <v>0.12012690477334997</v>
      </c>
      <c r="AD34" s="153">
        <f t="shared" si="5"/>
        <v>0.18090165493627519</v>
      </c>
      <c r="AE34" s="153">
        <f t="shared" si="5"/>
        <v>0.17302990408124885</v>
      </c>
      <c r="AF34" s="69">
        <f t="shared" si="5"/>
        <v>1.0767160161507139E-2</v>
      </c>
      <c r="AG34" s="69">
        <f t="shared" si="5"/>
        <v>-9.1096698113207641E-2</v>
      </c>
      <c r="AH34" s="184">
        <f t="shared" si="5"/>
        <v>5.651875375504245E-2</v>
      </c>
      <c r="AI34" s="153">
        <f t="shared" si="5"/>
        <v>5.9761597938144506E-2</v>
      </c>
      <c r="AJ34" s="153">
        <f t="shared" si="5"/>
        <v>4.1847041847041799E-2</v>
      </c>
      <c r="AK34" s="69">
        <f t="shared" si="5"/>
        <v>0.10352862849533961</v>
      </c>
      <c r="AL34" s="69">
        <f t="shared" si="5"/>
        <v>0.15309763217645145</v>
      </c>
      <c r="AM34" s="184">
        <f t="shared" si="5"/>
        <v>8.9280636906454269E-2</v>
      </c>
      <c r="AN34" s="153">
        <f t="shared" si="5"/>
        <v>3.3591731266149782E-2</v>
      </c>
      <c r="AO34" s="153">
        <f t="shared" si="5"/>
        <v>8.648815020006162E-2</v>
      </c>
      <c r="AP34" s="69">
        <f t="shared" si="5"/>
        <v>1.6591251885369473E-2</v>
      </c>
      <c r="AQ34" s="69">
        <f t="shared" si="5"/>
        <v>0.12376933895921227</v>
      </c>
      <c r="AR34" s="184">
        <f t="shared" si="5"/>
        <v>6.6114777939366931E-2</v>
      </c>
      <c r="AS34" s="153">
        <f t="shared" ref="AS34:BQ34" si="6">IFERROR(AS33/AN33-1,"NA")</f>
        <v>7.0588235294117618E-2</v>
      </c>
      <c r="AT34" s="153">
        <f t="shared" si="6"/>
        <v>4.2492917847025469E-2</v>
      </c>
      <c r="AU34" s="153">
        <f t="shared" si="6"/>
        <v>0.23590504451038585</v>
      </c>
      <c r="AV34" s="69">
        <f t="shared" si="6"/>
        <v>0.2415519399249062</v>
      </c>
      <c r="AW34" s="184">
        <f t="shared" si="6"/>
        <v>0.15040223854494572</v>
      </c>
      <c r="AX34" s="153">
        <f t="shared" si="6"/>
        <v>0.14423076923076916</v>
      </c>
      <c r="AY34" s="153">
        <f t="shared" si="6"/>
        <v>9.375E-2</v>
      </c>
      <c r="AZ34" s="153">
        <f t="shared" si="6"/>
        <v>-1.200480192076836E-2</v>
      </c>
      <c r="BA34" s="69">
        <f t="shared" si="6"/>
        <v>-0.13205645161290325</v>
      </c>
      <c r="BB34" s="184">
        <f t="shared" si="6"/>
        <v>1.0033444816053505E-2</v>
      </c>
      <c r="BC34" s="153">
        <f t="shared" si="6"/>
        <v>3.4813925570227999E-2</v>
      </c>
      <c r="BD34" s="153">
        <f t="shared" si="6"/>
        <v>0.10683229813664585</v>
      </c>
      <c r="BE34" s="153">
        <f t="shared" si="6"/>
        <v>5.1032806804374164E-2</v>
      </c>
      <c r="BF34" s="69">
        <f t="shared" si="6"/>
        <v>4.5296167247386832E-2</v>
      </c>
      <c r="BG34" s="184">
        <f t="shared" si="6"/>
        <v>5.900060204695956E-2</v>
      </c>
      <c r="BH34" s="153">
        <f t="shared" si="6"/>
        <v>7.8886310904872303E-2</v>
      </c>
      <c r="BI34" s="153">
        <f t="shared" si="6"/>
        <v>8.6419753086419693E-2</v>
      </c>
      <c r="BJ34" s="153">
        <f t="shared" si="6"/>
        <v>0.15260115606936409</v>
      </c>
      <c r="BK34" s="69">
        <f>IFERROR(BK33/BF33-1,"NA")</f>
        <v>0.10111111111111115</v>
      </c>
      <c r="BL34" s="184">
        <f t="shared" si="6"/>
        <v>0.10460488914155763</v>
      </c>
      <c r="BM34" s="153">
        <f t="shared" si="6"/>
        <v>5.5913978494623651E-2</v>
      </c>
      <c r="BN34" s="153">
        <f t="shared" si="6"/>
        <v>1.7561983471074294E-2</v>
      </c>
      <c r="BO34" s="69">
        <f t="shared" si="6"/>
        <v>6.4048732760000338E-3</v>
      </c>
      <c r="BP34" s="69">
        <f t="shared" si="6"/>
        <v>1.9438205742356329E-2</v>
      </c>
      <c r="BQ34" s="184">
        <f t="shared" si="6"/>
        <v>2.4356387171087679E-2</v>
      </c>
      <c r="BR34" s="153">
        <f t="shared" ref="BR34:CA34" si="7">IFERROR(BR33/BM33-1,"NA")</f>
        <v>6.2862658316489073E-2</v>
      </c>
      <c r="BS34" s="153">
        <f t="shared" si="7"/>
        <v>4.7892683228936805E-2</v>
      </c>
      <c r="BT34" s="69">
        <f t="shared" si="7"/>
        <v>6.6928846011633514E-2</v>
      </c>
      <c r="BU34" s="69">
        <f t="shared" si="7"/>
        <v>6.6004247386540982E-2</v>
      </c>
      <c r="BV34" s="184">
        <f t="shared" si="7"/>
        <v>6.0980643808144164E-2</v>
      </c>
      <c r="BW34" s="153">
        <f t="shared" si="7"/>
        <v>5.1761718647278743E-2</v>
      </c>
      <c r="BX34" s="153">
        <f t="shared" si="7"/>
        <v>5.1687710397741338E-2</v>
      </c>
      <c r="BY34" s="69">
        <f t="shared" si="7"/>
        <v>5.4335808797552509E-2</v>
      </c>
      <c r="BZ34" s="69">
        <f t="shared" si="7"/>
        <v>5.5355609187228483E-2</v>
      </c>
      <c r="CA34" s="184">
        <f t="shared" si="7"/>
        <v>5.3312534420737467E-2</v>
      </c>
    </row>
    <row r="35" spans="1:79" ht="12.75" customHeight="1" x14ac:dyDescent="0.35">
      <c r="B35" s="42" t="s">
        <v>30</v>
      </c>
      <c r="C35" s="24"/>
      <c r="D35" s="24"/>
      <c r="E35" s="24"/>
      <c r="F35" s="24"/>
      <c r="G35" s="153">
        <f t="shared" ref="G35:X35" si="8">G33/G$25</f>
        <v>0.58568391211906445</v>
      </c>
      <c r="H35" s="153">
        <f t="shared" si="8"/>
        <v>0.60100102669404509</v>
      </c>
      <c r="I35" s="184">
        <f t="shared" si="8"/>
        <v>0.58500328653531763</v>
      </c>
      <c r="J35" s="153">
        <f t="shared" si="8"/>
        <v>0.56816996871741388</v>
      </c>
      <c r="K35" s="153">
        <f t="shared" si="8"/>
        <v>0.53199771036061816</v>
      </c>
      <c r="L35" s="153">
        <f t="shared" si="8"/>
        <v>0.57456194093861046</v>
      </c>
      <c r="M35" s="153">
        <f t="shared" si="8"/>
        <v>0.60501424501424517</v>
      </c>
      <c r="N35" s="184">
        <f t="shared" si="8"/>
        <v>0.56995471313319135</v>
      </c>
      <c r="O35" s="153">
        <f t="shared" si="8"/>
        <v>0.56792975970425152</v>
      </c>
      <c r="P35" s="153">
        <f t="shared" si="8"/>
        <v>0.5420978106960026</v>
      </c>
      <c r="Q35" s="153">
        <f t="shared" si="8"/>
        <v>0.57935082045753983</v>
      </c>
      <c r="R35" s="153">
        <f t="shared" si="8"/>
        <v>0.61381221850098167</v>
      </c>
      <c r="S35" s="184">
        <f t="shared" si="8"/>
        <v>0.57526187401348827</v>
      </c>
      <c r="T35" s="153">
        <f t="shared" si="8"/>
        <v>0.62357554221296407</v>
      </c>
      <c r="U35" s="153">
        <f t="shared" si="8"/>
        <v>0.5543115512972332</v>
      </c>
      <c r="V35" s="153">
        <f t="shared" si="8"/>
        <v>0.55391996510740382</v>
      </c>
      <c r="W35" s="153">
        <f t="shared" si="8"/>
        <v>0.58220995648020391</v>
      </c>
      <c r="X35" s="184">
        <f t="shared" si="8"/>
        <v>0.57718772543144115</v>
      </c>
      <c r="Y35" s="153">
        <f t="shared" ref="Y35:AR35" si="9">Y33/Y$25</f>
        <v>0.53906890894175552</v>
      </c>
      <c r="Z35" s="153">
        <f t="shared" si="9"/>
        <v>0.53143428285857075</v>
      </c>
      <c r="AA35" s="153">
        <f t="shared" si="9"/>
        <v>0.55922476244237462</v>
      </c>
      <c r="AB35" s="153">
        <f t="shared" si="9"/>
        <v>0.58206778206778209</v>
      </c>
      <c r="AC35" s="184">
        <f t="shared" si="9"/>
        <v>0.55426845222520871</v>
      </c>
      <c r="AD35" s="153">
        <f t="shared" si="9"/>
        <v>0.55098961569184335</v>
      </c>
      <c r="AE35" s="153">
        <f t="shared" si="9"/>
        <v>0.5307633392902732</v>
      </c>
      <c r="AF35" s="69">
        <f t="shared" si="9"/>
        <v>0.55588452997779425</v>
      </c>
      <c r="AG35" s="69">
        <f t="shared" si="9"/>
        <v>0.58164324120366007</v>
      </c>
      <c r="AH35" s="184">
        <f t="shared" si="9"/>
        <v>0.554145001913251</v>
      </c>
      <c r="AI35" s="153">
        <f t="shared" si="9"/>
        <v>0.57604412923561876</v>
      </c>
      <c r="AJ35" s="153">
        <f t="shared" si="9"/>
        <v>0.53543177323665114</v>
      </c>
      <c r="AK35" s="69">
        <f t="shared" si="9"/>
        <v>0.53446191051995162</v>
      </c>
      <c r="AL35" s="69">
        <f t="shared" si="9"/>
        <v>0.57664233576642332</v>
      </c>
      <c r="AM35" s="184">
        <f t="shared" si="9"/>
        <v>0.55530936801126474</v>
      </c>
      <c r="AN35" s="153">
        <f t="shared" si="9"/>
        <v>0.52713178294573648</v>
      </c>
      <c r="AO35" s="153">
        <f t="shared" si="9"/>
        <v>0.49198606271777001</v>
      </c>
      <c r="AP35" s="69">
        <f t="shared" si="9"/>
        <v>0.49705014749262538</v>
      </c>
      <c r="AQ35" s="69">
        <f t="shared" si="9"/>
        <v>0.61937984496124032</v>
      </c>
      <c r="AR35" s="184">
        <f t="shared" si="9"/>
        <v>0.53230310929063485</v>
      </c>
      <c r="AS35" s="153">
        <f t="shared" ref="AS35:BQ35" si="10">AS33/AS$25</f>
        <v>0.45500000000000002</v>
      </c>
      <c r="AT35" s="153">
        <f t="shared" si="10"/>
        <v>0.4739214423696072</v>
      </c>
      <c r="AU35" s="153">
        <f t="shared" si="10"/>
        <v>0.54587155963302747</v>
      </c>
      <c r="AV35" s="69">
        <f t="shared" si="10"/>
        <v>0.64457439896036384</v>
      </c>
      <c r="AW35" s="184">
        <f t="shared" si="10"/>
        <v>0.52894821486008359</v>
      </c>
      <c r="AX35" s="153">
        <f t="shared" si="10"/>
        <v>0.54730617608409982</v>
      </c>
      <c r="AY35" s="153">
        <f t="shared" si="10"/>
        <v>0.58291093410572048</v>
      </c>
      <c r="AZ35" s="153">
        <f t="shared" si="10"/>
        <v>0.64549019607843139</v>
      </c>
      <c r="BA35" s="69">
        <f t="shared" si="10"/>
        <v>0.66744186046511633</v>
      </c>
      <c r="BB35" s="184">
        <f t="shared" si="10"/>
        <v>0.60753474762253112</v>
      </c>
      <c r="BC35" s="153">
        <f t="shared" si="10"/>
        <v>0.58639455782312921</v>
      </c>
      <c r="BD35" s="153">
        <f t="shared" si="10"/>
        <v>0.59638554216867468</v>
      </c>
      <c r="BE35" s="153">
        <f>BE33/BE$25</f>
        <v>0.58763586956521741</v>
      </c>
      <c r="BF35" s="69">
        <f t="shared" si="10"/>
        <v>0.60810810810810811</v>
      </c>
      <c r="BG35" s="184">
        <f t="shared" si="10"/>
        <v>0.59465855307640303</v>
      </c>
      <c r="BH35" s="153">
        <f t="shared" si="10"/>
        <v>0.5207166853303471</v>
      </c>
      <c r="BI35" s="153">
        <f t="shared" si="10"/>
        <v>0.53274628508530542</v>
      </c>
      <c r="BJ35" s="153">
        <f>BJ33/BJ$25</f>
        <v>0.54991726420297848</v>
      </c>
      <c r="BK35" s="69">
        <f>BK33/BK$25</f>
        <v>0.59270334928229662</v>
      </c>
      <c r="BL35" s="184">
        <f t="shared" si="10"/>
        <v>0.54825056433408581</v>
      </c>
      <c r="BM35" s="153">
        <f t="shared" si="10"/>
        <v>0.51039501039501034</v>
      </c>
      <c r="BN35" s="153">
        <f t="shared" si="10"/>
        <v>0.51896733403582718</v>
      </c>
      <c r="BO35" s="69">
        <f t="shared" si="10"/>
        <v>0.50058403568903476</v>
      </c>
      <c r="BP35" s="69">
        <f t="shared" si="10"/>
        <v>0.54660883726193588</v>
      </c>
      <c r="BQ35" s="184">
        <f t="shared" si="10"/>
        <v>0.51867375692962847</v>
      </c>
      <c r="BR35" s="153">
        <f t="shared" ref="BR35:CA35" si="11">BR33/BR$25</f>
        <v>0.49534001508399073</v>
      </c>
      <c r="BS35" s="153">
        <f t="shared" si="11"/>
        <v>0.50207899204557827</v>
      </c>
      <c r="BT35" s="69">
        <f t="shared" si="11"/>
        <v>0.49621457894123139</v>
      </c>
      <c r="BU35" s="69">
        <f t="shared" si="11"/>
        <v>0.54052708674690775</v>
      </c>
      <c r="BV35" s="184">
        <f t="shared" si="11"/>
        <v>0.50806406697534356</v>
      </c>
      <c r="BW35" s="153">
        <f t="shared" si="11"/>
        <v>0.48411622152760259</v>
      </c>
      <c r="BX35" s="153">
        <f t="shared" si="11"/>
        <v>0.49073884359379505</v>
      </c>
      <c r="BY35" s="69">
        <f t="shared" si="11"/>
        <v>0.48613038386305213</v>
      </c>
      <c r="BZ35" s="69">
        <f t="shared" si="11"/>
        <v>0.5298736962921422</v>
      </c>
      <c r="CA35" s="184">
        <f t="shared" si="11"/>
        <v>0.49724715590621055</v>
      </c>
    </row>
    <row r="36" spans="1:79" s="242" customFormat="1" ht="12.75" customHeight="1" x14ac:dyDescent="0.35">
      <c r="A36" s="41"/>
      <c r="B36" s="42" t="s">
        <v>194</v>
      </c>
      <c r="C36" s="58"/>
      <c r="D36" s="58"/>
      <c r="E36" s="58"/>
      <c r="F36" s="58"/>
      <c r="G36" s="147"/>
      <c r="H36" s="147"/>
      <c r="I36" s="293"/>
      <c r="J36" s="365"/>
      <c r="K36" s="365"/>
      <c r="L36" s="365"/>
      <c r="M36" s="365"/>
      <c r="N36" s="293"/>
      <c r="O36" s="365"/>
      <c r="P36" s="365"/>
      <c r="Q36" s="365"/>
      <c r="R36" s="365"/>
      <c r="S36" s="293"/>
      <c r="T36" s="365"/>
      <c r="U36" s="365"/>
      <c r="V36" s="365"/>
      <c r="W36" s="365"/>
      <c r="X36" s="295">
        <v>98.7</v>
      </c>
      <c r="Y36" s="294">
        <v>32.5</v>
      </c>
      <c r="Z36" s="294">
        <v>28.7</v>
      </c>
      <c r="AA36" s="294">
        <v>31.8</v>
      </c>
      <c r="AB36" s="294">
        <v>29.900000000000006</v>
      </c>
      <c r="AC36" s="295">
        <v>122.9</v>
      </c>
      <c r="AD36" s="294">
        <v>35.1</v>
      </c>
      <c r="AE36" s="294">
        <v>34.4</v>
      </c>
      <c r="AF36" s="294">
        <v>30.5</v>
      </c>
      <c r="AG36" s="294">
        <v>30.300000000000011</v>
      </c>
      <c r="AH36" s="295">
        <v>130.30000000000001</v>
      </c>
      <c r="AI36" s="294">
        <v>35.700000000000003</v>
      </c>
      <c r="AJ36" s="294">
        <v>34</v>
      </c>
      <c r="AK36" s="294">
        <v>31</v>
      </c>
      <c r="AL36" s="294">
        <v>30.300000000000011</v>
      </c>
      <c r="AM36" s="383">
        <f>SUM(AI36:AL36)</f>
        <v>131</v>
      </c>
      <c r="AN36" s="536">
        <f>'BS &amp; CFS'!AA45</f>
        <v>37</v>
      </c>
      <c r="AO36" s="536">
        <f>'BS &amp; CFS'!AB45</f>
        <v>35</v>
      </c>
      <c r="AP36" s="536">
        <f>'BS &amp; CFS'!AC45</f>
        <v>38</v>
      </c>
      <c r="AQ36" s="536">
        <f>'BS &amp; CFS'!AD45</f>
        <v>44</v>
      </c>
      <c r="AR36" s="383">
        <f>SUM(AN36:AQ36)</f>
        <v>154</v>
      </c>
      <c r="AS36" s="536">
        <f>'BS &amp; CFS'!AF45</f>
        <v>45</v>
      </c>
      <c r="AT36" s="536">
        <f>'BS &amp; CFS'!AG45</f>
        <v>41</v>
      </c>
      <c r="AU36" s="536">
        <f>'BS &amp; CFS'!AH45</f>
        <v>41</v>
      </c>
      <c r="AV36" s="536">
        <f>'BS &amp; CFS'!AI45</f>
        <v>48</v>
      </c>
      <c r="AW36" s="383">
        <f>SUM(AS36:AV36)</f>
        <v>175</v>
      </c>
      <c r="AX36" s="536">
        <f>'BS &amp; CFS'!AK45</f>
        <v>46</v>
      </c>
      <c r="AY36" s="536">
        <f>'BS &amp; CFS'!AL45</f>
        <v>38</v>
      </c>
      <c r="AZ36" s="536">
        <f>'BS &amp; CFS'!AM45</f>
        <v>46</v>
      </c>
      <c r="BA36" s="536">
        <f>'BS &amp; CFS'!AN45</f>
        <v>39</v>
      </c>
      <c r="BB36" s="383">
        <f>SUM(AX36:BA36)</f>
        <v>169</v>
      </c>
      <c r="BC36" s="536">
        <f>'BS &amp; CFS'!AP45</f>
        <v>47</v>
      </c>
      <c r="BD36" s="536">
        <f>'BS &amp; CFS'!AQ45</f>
        <v>50</v>
      </c>
      <c r="BE36" s="536">
        <f>'BS &amp; CFS'!AR45</f>
        <v>46</v>
      </c>
      <c r="BF36" s="536">
        <f>'BS &amp; CFS'!AS45</f>
        <v>50</v>
      </c>
      <c r="BG36" s="383">
        <f>SUM(BC36:BF36)</f>
        <v>193</v>
      </c>
      <c r="BH36" s="536">
        <f>'BS &amp; CFS'!AU45</f>
        <v>53</v>
      </c>
      <c r="BI36" s="536">
        <f>'BS &amp; CFS'!AV45</f>
        <v>56</v>
      </c>
      <c r="BJ36" s="536">
        <f>'BS &amp; CFS'!AW45</f>
        <v>7</v>
      </c>
      <c r="BK36" s="536">
        <f>'BS &amp; CFS'!AX45</f>
        <v>104</v>
      </c>
      <c r="BL36" s="383">
        <f>SUM(BH36:BK36)</f>
        <v>220</v>
      </c>
      <c r="BM36" s="536">
        <f>'BS &amp; CFS'!AZ45</f>
        <v>56</v>
      </c>
      <c r="BN36" s="536">
        <f>'BS &amp; CFS'!BA45</f>
        <v>61</v>
      </c>
      <c r="BO36" s="536">
        <f>'BS &amp; CFS'!BB45</f>
        <v>8</v>
      </c>
      <c r="BP36" s="536">
        <f>'BS &amp; CFS'!BC45</f>
        <v>50</v>
      </c>
      <c r="BQ36" s="383">
        <f>SUM(BM36:BP36)</f>
        <v>175</v>
      </c>
      <c r="BR36" s="536">
        <f>'BS &amp; CFS'!BE45</f>
        <v>57</v>
      </c>
      <c r="BS36" s="536">
        <f>'BS &amp; CFS'!BF45</f>
        <v>62</v>
      </c>
      <c r="BT36" s="536">
        <f>'BS &amp; CFS'!BG45</f>
        <v>9</v>
      </c>
      <c r="BU36" s="536">
        <f>'BS &amp; CFS'!BH45</f>
        <v>51</v>
      </c>
      <c r="BV36" s="383">
        <f>SUM(BR36:BU36)</f>
        <v>179</v>
      </c>
      <c r="BW36" s="536">
        <f>'BS &amp; CFS'!BJ45</f>
        <v>58</v>
      </c>
      <c r="BX36" s="536">
        <f>'BS &amp; CFS'!BK45</f>
        <v>63</v>
      </c>
      <c r="BY36" s="536">
        <f>'BS &amp; CFS'!BL45</f>
        <v>10</v>
      </c>
      <c r="BZ36" s="536">
        <f>'BS &amp; CFS'!BM45</f>
        <v>52</v>
      </c>
      <c r="CA36" s="383">
        <f>SUM(BW36:BZ36)</f>
        <v>183</v>
      </c>
    </row>
    <row r="37" spans="1:79" ht="12.75" customHeight="1" x14ac:dyDescent="0.35">
      <c r="B37" s="2" t="s">
        <v>44</v>
      </c>
      <c r="C37" s="24"/>
      <c r="D37" s="24"/>
      <c r="E37" s="24"/>
      <c r="F37" s="24"/>
      <c r="G37" s="238">
        <f>Segments!L43+Segments!L126</f>
        <v>23.4</v>
      </c>
      <c r="H37" s="238">
        <f>Segments!M43+Segments!M126</f>
        <v>23.299999999999997</v>
      </c>
      <c r="I37" s="384">
        <f>Segments!N43+Segments!N126</f>
        <v>93.4</v>
      </c>
      <c r="J37" s="238">
        <f>Segments!O43+Segments!O126</f>
        <v>23.1</v>
      </c>
      <c r="K37" s="226">
        <f>Segments!P43+Segments!P126</f>
        <v>22.3</v>
      </c>
      <c r="L37" s="226">
        <f>Segments!Q43+Segments!Q126</f>
        <v>23.2</v>
      </c>
      <c r="M37" s="226">
        <f>Segments!R43+Segments!R126</f>
        <v>27</v>
      </c>
      <c r="N37" s="219">
        <f>SUM(J37:M37)</f>
        <v>95.600000000000009</v>
      </c>
      <c r="O37" s="238">
        <f>Segments!T43+Segments!T126</f>
        <v>28.6</v>
      </c>
      <c r="P37" s="226">
        <f>Segments!U43+Segments!U126</f>
        <v>27.9</v>
      </c>
      <c r="Q37" s="226">
        <f>Segments!V43+Segments!V126</f>
        <v>22.8</v>
      </c>
      <c r="R37" s="226">
        <f>Segments!W43+Segments!W126</f>
        <v>28.700000000000003</v>
      </c>
      <c r="S37" s="219">
        <f>SUM(O37:R37)</f>
        <v>108</v>
      </c>
      <c r="T37" s="238">
        <f>Segments!Y43+Segments!Y126</f>
        <v>29.9</v>
      </c>
      <c r="U37" s="226">
        <f>Segments!Z43+Segments!Z126</f>
        <v>31.2</v>
      </c>
      <c r="V37" s="226">
        <f>Segments!AA43+Segments!AA126</f>
        <v>32.700000000000003</v>
      </c>
      <c r="W37" s="226">
        <f>Segments!AB43+Segments!AB126</f>
        <v>32.9</v>
      </c>
      <c r="X37" s="219">
        <f>SUM(T37:W37)</f>
        <v>126.69999999999999</v>
      </c>
      <c r="Y37" s="238">
        <f>Segments!AD43+Segments!AD126</f>
        <v>32.5</v>
      </c>
      <c r="Z37" s="226">
        <f>Segments!AE43+Segments!AE126</f>
        <v>32.9</v>
      </c>
      <c r="AA37" s="226">
        <f>Segments!AF43+Segments!AF126</f>
        <v>43</v>
      </c>
      <c r="AB37" s="226">
        <f>Segments!AG43+Segments!AG126</f>
        <v>49.900000000000006</v>
      </c>
      <c r="AC37" s="219">
        <f>SUM(Y37:AB37)</f>
        <v>158.30000000000001</v>
      </c>
      <c r="AD37" s="238">
        <f>Segments!AI43+Segments!AI126</f>
        <v>49.099999999999994</v>
      </c>
      <c r="AE37" s="238">
        <f>Segments!AJ43+Segments!AJ126</f>
        <v>48.4</v>
      </c>
      <c r="AF37" s="226">
        <f>Segments!AK43+Segments!AK126</f>
        <v>46.1</v>
      </c>
      <c r="AG37" s="226">
        <f>Segments!AL43+Segments!AL126</f>
        <v>48.300000000000004</v>
      </c>
      <c r="AH37" s="219">
        <f>SUM(AD37:AG37)</f>
        <v>191.9</v>
      </c>
      <c r="AI37" s="238">
        <f>Segments!AN43+Segments!AN126</f>
        <v>50.3</v>
      </c>
      <c r="AJ37" s="238">
        <f>Segments!AO43+Segments!AO126</f>
        <v>51</v>
      </c>
      <c r="AK37" s="226">
        <f>Segments!AP43+Segments!AP126</f>
        <v>48.6</v>
      </c>
      <c r="AL37" s="226">
        <f>Segments!AQ43+Segments!AQ126</f>
        <v>50</v>
      </c>
      <c r="AM37" s="219">
        <f>SUM(AI37:AL37)</f>
        <v>199.9</v>
      </c>
      <c r="AN37" s="238">
        <f>Segments!AS43+Segments!AS126</f>
        <v>49</v>
      </c>
      <c r="AO37" s="238">
        <f>Segments!AT43+Segments!AT126</f>
        <v>58</v>
      </c>
      <c r="AP37" s="226">
        <f>Segments!AU43+Segments!AU126</f>
        <v>56</v>
      </c>
      <c r="AQ37" s="226">
        <f>Segments!AV43+Segments!AV126</f>
        <v>57</v>
      </c>
      <c r="AR37" s="219">
        <f>SUM(AN37:AQ37)</f>
        <v>220</v>
      </c>
      <c r="AS37" s="238">
        <f>Segments!AX43+Segments!AX126</f>
        <v>59</v>
      </c>
      <c r="AT37" s="238">
        <f>Segments!AY43+Segments!AY126</f>
        <v>60</v>
      </c>
      <c r="AU37" s="238">
        <f>Segments!AZ43+Segments!AZ126</f>
        <v>61</v>
      </c>
      <c r="AV37" s="226">
        <f>Segments!BA43+Segments!BA126</f>
        <v>77</v>
      </c>
      <c r="AW37" s="219">
        <f>SUM(AS37:AV37)</f>
        <v>257</v>
      </c>
      <c r="AX37" s="238">
        <f>Segments!BC43+Segments!BC126</f>
        <v>78</v>
      </c>
      <c r="AY37" s="238">
        <f>Segments!BD43+Segments!BD126</f>
        <v>81</v>
      </c>
      <c r="AZ37" s="238">
        <f>Segments!BE43+Segments!BE126</f>
        <v>83</v>
      </c>
      <c r="BA37" s="226">
        <f>Segments!BF43+Segments!BF126</f>
        <v>89</v>
      </c>
      <c r="BB37" s="219">
        <f>SUM(AX37:BA37)</f>
        <v>331</v>
      </c>
      <c r="BC37" s="238">
        <f>Segments!BH43+Segments!BH126</f>
        <v>88</v>
      </c>
      <c r="BD37" s="238">
        <f>Segments!BI43+Segments!BI126</f>
        <v>93</v>
      </c>
      <c r="BE37" s="238">
        <f>Segments!BJ43+Segments!BJ126</f>
        <v>95</v>
      </c>
      <c r="BF37" s="238">
        <f>Segments!BK43+Segments!BK126</f>
        <v>97</v>
      </c>
      <c r="BG37" s="219">
        <f>SUM(BC37:BF37)</f>
        <v>373</v>
      </c>
      <c r="BH37" s="238">
        <f>Segments!BM43+Segments!BM126</f>
        <v>100</v>
      </c>
      <c r="BI37" s="238">
        <f>Segments!BN43+Segments!BN126</f>
        <v>110</v>
      </c>
      <c r="BJ37" s="238">
        <f>Segments!BO43+Segments!BO126</f>
        <v>108</v>
      </c>
      <c r="BK37" s="226">
        <f>Segments!BP43+Segments!BP126</f>
        <v>113</v>
      </c>
      <c r="BL37" s="219">
        <f>SUM(BH37:BK37)</f>
        <v>431</v>
      </c>
      <c r="BM37" s="238">
        <f>Segments!BR43+Segments!BR126</f>
        <v>113</v>
      </c>
      <c r="BN37" s="238">
        <f>Segments!BS43+Segments!BS126</f>
        <v>120</v>
      </c>
      <c r="BO37" s="226">
        <f>Segments!BT43+Segments!BT126</f>
        <v>118.25992779783394</v>
      </c>
      <c r="BP37" s="226">
        <f>Segments!BU43+Segments!BU126</f>
        <v>124.31757290721819</v>
      </c>
      <c r="BQ37" s="219">
        <f>SUM(BM37:BP37)</f>
        <v>475.5775007050521</v>
      </c>
      <c r="BR37" s="238">
        <f>Segments!BW43+Segments!BW126</f>
        <v>123.65774743550783</v>
      </c>
      <c r="BS37" s="238">
        <f>Segments!BX43+Segments!BX126</f>
        <v>128.5312197949757</v>
      </c>
      <c r="BT37" s="226">
        <f>Segments!BY43+Segments!BY126</f>
        <v>126.08826209762682</v>
      </c>
      <c r="BU37" s="226">
        <f>Segments!BZ43+Segments!BZ126</f>
        <v>133.04266887841536</v>
      </c>
      <c r="BV37" s="219">
        <f>SUM(BR37:BU37)</f>
        <v>511.31989820652575</v>
      </c>
      <c r="BW37" s="238">
        <f>Segments!CB43+Segments!CB126</f>
        <v>134.47246189546391</v>
      </c>
      <c r="BX37" s="238">
        <f>Segments!CC43+Segments!CC126</f>
        <v>135.40084001555778</v>
      </c>
      <c r="BY37" s="226">
        <f>Segments!CD43+Segments!CD126</f>
        <v>134.93681595623246</v>
      </c>
      <c r="BZ37" s="226">
        <f>Segments!CE43+Segments!CE126</f>
        <v>142.50080775543029</v>
      </c>
      <c r="CA37" s="219">
        <f>SUM(BW37:BZ37)</f>
        <v>547.31092562268441</v>
      </c>
    </row>
    <row r="38" spans="1:79" ht="12.75" customHeight="1" x14ac:dyDescent="0.35">
      <c r="B38" s="42" t="s">
        <v>56</v>
      </c>
      <c r="C38" s="24"/>
      <c r="D38" s="24"/>
      <c r="E38" s="24"/>
      <c r="F38" s="24"/>
      <c r="G38" s="153" t="str">
        <f t="shared" ref="G38:X38" si="12">IFERROR(G37/B37-1,"NA")</f>
        <v>NA</v>
      </c>
      <c r="H38" s="153" t="str">
        <f t="shared" si="12"/>
        <v>NA</v>
      </c>
      <c r="I38" s="184" t="str">
        <f t="shared" si="12"/>
        <v>NA</v>
      </c>
      <c r="J38" s="153" t="str">
        <f t="shared" si="12"/>
        <v>NA</v>
      </c>
      <c r="K38" s="153" t="str">
        <f t="shared" si="12"/>
        <v>NA</v>
      </c>
      <c r="L38" s="153">
        <f t="shared" si="12"/>
        <v>-8.5470085470085166E-3</v>
      </c>
      <c r="M38" s="153">
        <f t="shared" si="12"/>
        <v>0.15879828326180268</v>
      </c>
      <c r="N38" s="184">
        <f t="shared" si="12"/>
        <v>2.3554603854389677E-2</v>
      </c>
      <c r="O38" s="153">
        <f t="shared" si="12"/>
        <v>0.23809523809523814</v>
      </c>
      <c r="P38" s="153">
        <f t="shared" si="12"/>
        <v>0.25112107623318369</v>
      </c>
      <c r="Q38" s="153">
        <f t="shared" si="12"/>
        <v>-1.7241379310344751E-2</v>
      </c>
      <c r="R38" s="153">
        <f t="shared" si="12"/>
        <v>6.2962962962963109E-2</v>
      </c>
      <c r="S38" s="184">
        <f t="shared" si="12"/>
        <v>0.12970711297071125</v>
      </c>
      <c r="T38" s="153">
        <f t="shared" si="12"/>
        <v>4.5454545454545414E-2</v>
      </c>
      <c r="U38" s="153">
        <f t="shared" si="12"/>
        <v>0.11827956989247324</v>
      </c>
      <c r="V38" s="153">
        <f t="shared" si="12"/>
        <v>0.4342105263157896</v>
      </c>
      <c r="W38" s="153">
        <f t="shared" si="12"/>
        <v>0.14634146341463405</v>
      </c>
      <c r="X38" s="184">
        <f t="shared" si="12"/>
        <v>0.17314814814814805</v>
      </c>
      <c r="Y38" s="153">
        <f t="shared" ref="Y38:AR38" si="13">IFERROR(Y37/T37-1,"NA")</f>
        <v>8.6956521739130377E-2</v>
      </c>
      <c r="Z38" s="153">
        <f t="shared" si="13"/>
        <v>5.4487179487179516E-2</v>
      </c>
      <c r="AA38" s="153">
        <f t="shared" si="13"/>
        <v>0.31498470948012214</v>
      </c>
      <c r="AB38" s="153">
        <f t="shared" si="13"/>
        <v>0.51671732522796376</v>
      </c>
      <c r="AC38" s="184">
        <f t="shared" si="13"/>
        <v>0.24940805051302317</v>
      </c>
      <c r="AD38" s="153">
        <f t="shared" si="13"/>
        <v>0.51076923076923064</v>
      </c>
      <c r="AE38" s="153">
        <f t="shared" si="13"/>
        <v>0.47112462006079037</v>
      </c>
      <c r="AF38" s="69">
        <f t="shared" si="13"/>
        <v>7.2093023255813904E-2</v>
      </c>
      <c r="AG38" s="69">
        <f t="shared" si="13"/>
        <v>-3.2064128256513058E-2</v>
      </c>
      <c r="AH38" s="184">
        <f t="shared" si="13"/>
        <v>0.2122552116234997</v>
      </c>
      <c r="AI38" s="153">
        <f t="shared" si="13"/>
        <v>2.4439918533605054E-2</v>
      </c>
      <c r="AJ38" s="153">
        <f t="shared" si="13"/>
        <v>5.3719008264462742E-2</v>
      </c>
      <c r="AK38" s="69">
        <f t="shared" si="13"/>
        <v>5.4229934924078016E-2</v>
      </c>
      <c r="AL38" s="69">
        <f t="shared" si="13"/>
        <v>3.5196687370600221E-2</v>
      </c>
      <c r="AM38" s="184">
        <f t="shared" si="13"/>
        <v>4.1688379364252182E-2</v>
      </c>
      <c r="AN38" s="153">
        <f t="shared" si="13"/>
        <v>-2.5844930417495027E-2</v>
      </c>
      <c r="AO38" s="153">
        <f t="shared" si="13"/>
        <v>0.13725490196078427</v>
      </c>
      <c r="AP38" s="69">
        <f t="shared" si="13"/>
        <v>0.15226337448559657</v>
      </c>
      <c r="AQ38" s="69">
        <f t="shared" si="13"/>
        <v>0.1399999999999999</v>
      </c>
      <c r="AR38" s="184">
        <f t="shared" si="13"/>
        <v>0.10055027513756865</v>
      </c>
      <c r="AS38" s="153">
        <f t="shared" ref="AS38:BQ38" si="14">IFERROR(AS37/AN37-1,"NA")</f>
        <v>0.20408163265306123</v>
      </c>
      <c r="AT38" s="153">
        <f t="shared" si="14"/>
        <v>3.4482758620689724E-2</v>
      </c>
      <c r="AU38" s="153">
        <f t="shared" si="14"/>
        <v>8.9285714285714191E-2</v>
      </c>
      <c r="AV38" s="69">
        <f t="shared" si="14"/>
        <v>0.35087719298245612</v>
      </c>
      <c r="AW38" s="184">
        <f t="shared" si="14"/>
        <v>0.16818181818181821</v>
      </c>
      <c r="AX38" s="153">
        <f t="shared" si="14"/>
        <v>0.32203389830508478</v>
      </c>
      <c r="AY38" s="153">
        <f t="shared" si="14"/>
        <v>0.35000000000000009</v>
      </c>
      <c r="AZ38" s="153">
        <f t="shared" si="14"/>
        <v>0.36065573770491799</v>
      </c>
      <c r="BA38" s="69">
        <f t="shared" si="14"/>
        <v>0.1558441558441559</v>
      </c>
      <c r="BB38" s="184">
        <f t="shared" si="14"/>
        <v>0.28793774319066157</v>
      </c>
      <c r="BC38" s="153">
        <f t="shared" si="14"/>
        <v>0.12820512820512819</v>
      </c>
      <c r="BD38" s="153">
        <f t="shared" si="14"/>
        <v>0.14814814814814814</v>
      </c>
      <c r="BE38" s="153">
        <f t="shared" si="14"/>
        <v>0.14457831325301207</v>
      </c>
      <c r="BF38" s="69">
        <f t="shared" si="14"/>
        <v>8.98876404494382E-2</v>
      </c>
      <c r="BG38" s="184">
        <f t="shared" si="14"/>
        <v>0.12688821752265866</v>
      </c>
      <c r="BH38" s="153">
        <f t="shared" si="14"/>
        <v>0.13636363636363646</v>
      </c>
      <c r="BI38" s="153">
        <f t="shared" si="14"/>
        <v>0.18279569892473124</v>
      </c>
      <c r="BJ38" s="153">
        <f t="shared" si="14"/>
        <v>0.13684210526315788</v>
      </c>
      <c r="BK38" s="69">
        <f>IFERROR(BK37/BF37-1,"NA")</f>
        <v>0.1649484536082475</v>
      </c>
      <c r="BL38" s="184">
        <f t="shared" si="14"/>
        <v>0.15549597855227892</v>
      </c>
      <c r="BM38" s="153">
        <f t="shared" si="14"/>
        <v>0.12999999999999989</v>
      </c>
      <c r="BN38" s="153">
        <f t="shared" si="14"/>
        <v>9.0909090909090828E-2</v>
      </c>
      <c r="BO38" s="69">
        <f t="shared" si="14"/>
        <v>9.4999331461425252E-2</v>
      </c>
      <c r="BP38" s="69">
        <f t="shared" si="14"/>
        <v>0.10015551245325827</v>
      </c>
      <c r="BQ38" s="184">
        <f t="shared" si="14"/>
        <v>0.10342807588179137</v>
      </c>
      <c r="BR38" s="153">
        <f t="shared" ref="BR38:CA38" si="15">IFERROR(BR37/BM37-1,"NA")</f>
        <v>9.4316348986794862E-2</v>
      </c>
      <c r="BS38" s="153">
        <f t="shared" si="15"/>
        <v>7.1093498291464163E-2</v>
      </c>
      <c r="BT38" s="69">
        <f t="shared" si="15"/>
        <v>6.6196001008688832E-2</v>
      </c>
      <c r="BU38" s="69">
        <f t="shared" si="15"/>
        <v>7.0183931098051211E-2</v>
      </c>
      <c r="BV38" s="184">
        <f t="shared" si="15"/>
        <v>7.5155778918230887E-2</v>
      </c>
      <c r="BW38" s="153">
        <f t="shared" si="15"/>
        <v>8.7456828902664263E-2</v>
      </c>
      <c r="BX38" s="153">
        <f t="shared" si="15"/>
        <v>5.3447094266591666E-2</v>
      </c>
      <c r="BY38" s="69">
        <f t="shared" si="15"/>
        <v>7.0177459117918728E-2</v>
      </c>
      <c r="BZ38" s="69">
        <f t="shared" si="15"/>
        <v>7.1091018819372298E-2</v>
      </c>
      <c r="CA38" s="184">
        <f t="shared" si="15"/>
        <v>7.038847410867155E-2</v>
      </c>
    </row>
    <row r="39" spans="1:79" ht="12.75" customHeight="1" x14ac:dyDescent="0.35">
      <c r="B39" s="42" t="s">
        <v>30</v>
      </c>
      <c r="C39" s="24"/>
      <c r="D39" s="24"/>
      <c r="E39" s="24"/>
      <c r="F39" s="24"/>
      <c r="G39" s="153">
        <f t="shared" ref="G39:X39" si="16">G37/G$25</f>
        <v>3.3167965981573351E-2</v>
      </c>
      <c r="H39" s="153">
        <f t="shared" si="16"/>
        <v>2.9902464065708415E-2</v>
      </c>
      <c r="I39" s="184">
        <f t="shared" si="16"/>
        <v>3.1483322940016517E-2</v>
      </c>
      <c r="J39" s="153">
        <f t="shared" si="16"/>
        <v>3.0109489051094892E-2</v>
      </c>
      <c r="K39" s="153">
        <f t="shared" si="16"/>
        <v>2.5529479107040641E-2</v>
      </c>
      <c r="L39" s="153">
        <f t="shared" si="16"/>
        <v>2.8427888739125107E-2</v>
      </c>
      <c r="M39" s="153">
        <f t="shared" si="16"/>
        <v>3.0769230769230774E-2</v>
      </c>
      <c r="N39" s="184">
        <f t="shared" si="16"/>
        <v>2.8671685211288728E-2</v>
      </c>
      <c r="O39" s="153">
        <f t="shared" si="16"/>
        <v>3.3040665434380778E-2</v>
      </c>
      <c r="P39" s="153">
        <f t="shared" si="16"/>
        <v>3.0388846530878987E-2</v>
      </c>
      <c r="Q39" s="153">
        <f t="shared" si="16"/>
        <v>2.7308659719726913E-2</v>
      </c>
      <c r="R39" s="153">
        <f t="shared" si="16"/>
        <v>3.3144704931285372E-2</v>
      </c>
      <c r="S39" s="184">
        <f t="shared" si="16"/>
        <v>3.0994403788204908E-2</v>
      </c>
      <c r="T39" s="153">
        <f t="shared" si="16"/>
        <v>3.6637666952579341E-2</v>
      </c>
      <c r="U39" s="153">
        <f t="shared" si="16"/>
        <v>3.3588114974701253E-2</v>
      </c>
      <c r="V39" s="153">
        <f t="shared" si="16"/>
        <v>3.5655871769708872E-2</v>
      </c>
      <c r="W39" s="153">
        <f t="shared" si="16"/>
        <v>3.4921982804373211E-2</v>
      </c>
      <c r="X39" s="184">
        <f t="shared" si="16"/>
        <v>3.5153432106986286E-2</v>
      </c>
      <c r="Y39" s="153">
        <f t="shared" ref="Y39:AR39" si="17">Y37/Y$25</f>
        <v>3.332649712879409E-2</v>
      </c>
      <c r="Z39" s="153">
        <f t="shared" si="17"/>
        <v>3.2883558220889557E-2</v>
      </c>
      <c r="AA39" s="153">
        <f t="shared" si="17"/>
        <v>4.0455357982877034E-2</v>
      </c>
      <c r="AB39" s="153">
        <f t="shared" si="17"/>
        <v>4.2814242814242821E-2</v>
      </c>
      <c r="AC39" s="184">
        <f t="shared" si="17"/>
        <v>3.7653718988606359E-2</v>
      </c>
      <c r="AD39" s="153">
        <f t="shared" si="17"/>
        <v>4.3578592349338773E-2</v>
      </c>
      <c r="AE39" s="153">
        <f t="shared" si="17"/>
        <v>4.1187984001361588E-2</v>
      </c>
      <c r="AF39" s="69">
        <f t="shared" si="17"/>
        <v>4.2653589933382682E-2</v>
      </c>
      <c r="AG39" s="69">
        <f t="shared" si="17"/>
        <v>4.5561739458541653E-2</v>
      </c>
      <c r="AH39" s="184">
        <f t="shared" si="17"/>
        <v>4.3194453823125582E-2</v>
      </c>
      <c r="AI39" s="153">
        <f t="shared" si="17"/>
        <v>4.4041677611417564E-2</v>
      </c>
      <c r="AJ39" s="153">
        <f t="shared" si="17"/>
        <v>4.2023731048121286E-2</v>
      </c>
      <c r="AK39" s="69">
        <f t="shared" si="17"/>
        <v>3.9177750906892385E-2</v>
      </c>
      <c r="AL39" s="69">
        <f t="shared" si="17"/>
        <v>4.0551500405515001E-2</v>
      </c>
      <c r="AM39" s="184">
        <f t="shared" si="17"/>
        <v>4.1394019713410092E-2</v>
      </c>
      <c r="AN39" s="153">
        <f t="shared" si="17"/>
        <v>3.7984496124031007E-2</v>
      </c>
      <c r="AO39" s="153">
        <f t="shared" si="17"/>
        <v>4.0418118466898953E-2</v>
      </c>
      <c r="AP39" s="69">
        <f t="shared" si="17"/>
        <v>4.1297935103244837E-2</v>
      </c>
      <c r="AQ39" s="69">
        <f t="shared" si="17"/>
        <v>4.4186046511627906E-2</v>
      </c>
      <c r="AR39" s="184">
        <f t="shared" si="17"/>
        <v>4.0960714950660955E-2</v>
      </c>
      <c r="AS39" s="153">
        <f t="shared" ref="AS39:BQ39" si="18">AS37/AS$25</f>
        <v>3.6874999999999998E-2</v>
      </c>
      <c r="AT39" s="153">
        <f t="shared" si="18"/>
        <v>3.8634900193174504E-2</v>
      </c>
      <c r="AU39" s="153">
        <f t="shared" si="18"/>
        <v>3.9973787680209698E-2</v>
      </c>
      <c r="AV39" s="69">
        <f t="shared" si="18"/>
        <v>5.0032488628979854E-2</v>
      </c>
      <c r="AW39" s="184">
        <f t="shared" si="18"/>
        <v>4.1331617883563848E-2</v>
      </c>
      <c r="AX39" s="153">
        <f t="shared" si="18"/>
        <v>5.1248357424441525E-2</v>
      </c>
      <c r="AY39" s="153">
        <f t="shared" si="18"/>
        <v>5.8653149891383052E-2</v>
      </c>
      <c r="AZ39" s="153">
        <f t="shared" si="18"/>
        <v>6.5098039215686271E-2</v>
      </c>
      <c r="BA39" s="69">
        <f t="shared" si="18"/>
        <v>6.899224806201551E-2</v>
      </c>
      <c r="BB39" s="184">
        <f t="shared" si="18"/>
        <v>6.0534016093635699E-2</v>
      </c>
      <c r="BC39" s="153">
        <f t="shared" si="18"/>
        <v>5.9863945578231291E-2</v>
      </c>
      <c r="BD39" s="153">
        <f t="shared" si="18"/>
        <v>6.224899598393574E-2</v>
      </c>
      <c r="BE39" s="153">
        <f>BE37/BE$25</f>
        <v>6.4538043478260865E-2</v>
      </c>
      <c r="BF39" s="69">
        <f t="shared" si="18"/>
        <v>6.5540540540540537E-2</v>
      </c>
      <c r="BG39" s="184">
        <f t="shared" si="18"/>
        <v>6.304935767410412E-2</v>
      </c>
      <c r="BH39" s="153">
        <f t="shared" si="18"/>
        <v>5.5991041433370664E-2</v>
      </c>
      <c r="BI39" s="153">
        <f t="shared" si="18"/>
        <v>6.0539350577875621E-2</v>
      </c>
      <c r="BJ39" s="153">
        <f>BJ37/BJ$25</f>
        <v>5.9569773855488138E-2</v>
      </c>
      <c r="BK39" s="69">
        <f>BK37/BK$25</f>
        <v>6.7583732057416274E-2</v>
      </c>
      <c r="BL39" s="184">
        <f t="shared" si="18"/>
        <v>6.0806997742663654E-2</v>
      </c>
      <c r="BM39" s="153">
        <f t="shared" si="18"/>
        <v>5.8731808731808735E-2</v>
      </c>
      <c r="BN39" s="153">
        <f t="shared" si="18"/>
        <v>6.3224446786090627E-2</v>
      </c>
      <c r="BO39" s="69">
        <f>BO37/BO$25</f>
        <v>5.8999280492625802E-2</v>
      </c>
      <c r="BP39" s="69">
        <f t="shared" si="18"/>
        <v>6.7262748771907702E-2</v>
      </c>
      <c r="BQ39" s="184">
        <f t="shared" si="18"/>
        <v>6.1967175183086941E-2</v>
      </c>
      <c r="BR39" s="153">
        <f t="shared" ref="BR39:CA39" si="19">BR37/BR$25</f>
        <v>5.8686215915168198E-2</v>
      </c>
      <c r="BS39" s="153">
        <f t="shared" si="19"/>
        <v>6.2521248320092648E-2</v>
      </c>
      <c r="BT39" s="69">
        <f t="shared" si="19"/>
        <v>5.8444121124382901E-2</v>
      </c>
      <c r="BU39" s="69">
        <f t="shared" si="19"/>
        <v>6.6775156595191495E-2</v>
      </c>
      <c r="BV39" s="184">
        <f t="shared" si="19"/>
        <v>6.1510582148778865E-2</v>
      </c>
      <c r="BW39" s="153">
        <f t="shared" si="19"/>
        <v>5.9303045129489716E-2</v>
      </c>
      <c r="BX39" s="153">
        <f t="shared" si="19"/>
        <v>6.1211349801234383E-2</v>
      </c>
      <c r="BY39" s="69">
        <f t="shared" si="19"/>
        <v>5.8116696604063219E-2</v>
      </c>
      <c r="BZ39" s="69">
        <f t="shared" si="19"/>
        <v>6.6435065741508814E-2</v>
      </c>
      <c r="CA39" s="184">
        <f t="shared" si="19"/>
        <v>6.1176952129037628E-2</v>
      </c>
    </row>
    <row r="40" spans="1:79" ht="12.75" customHeight="1" x14ac:dyDescent="0.35">
      <c r="B40" s="2" t="s">
        <v>128</v>
      </c>
      <c r="C40" s="24"/>
      <c r="D40" s="24"/>
      <c r="E40" s="24"/>
      <c r="F40" s="24"/>
      <c r="G40" s="238">
        <f>Segments!L46+Segments!L129</f>
        <v>0</v>
      </c>
      <c r="H40" s="238">
        <f>Segments!M46+Segments!M129</f>
        <v>0</v>
      </c>
      <c r="I40" s="384">
        <f>Segments!N46+Segments!N129</f>
        <v>0</v>
      </c>
      <c r="J40" s="238">
        <f>Segments!O46+Segments!O129</f>
        <v>0</v>
      </c>
      <c r="K40" s="226">
        <f>Segments!P46+Segments!P129</f>
        <v>0</v>
      </c>
      <c r="L40" s="226">
        <f>Segments!Q46+Segments!Q129</f>
        <v>0</v>
      </c>
      <c r="M40" s="226">
        <f>Segments!R46+Segments!R129</f>
        <v>0</v>
      </c>
      <c r="N40" s="219">
        <f>SUM(J40:M40)</f>
        <v>0</v>
      </c>
      <c r="O40" s="238">
        <f>Segments!T46+Segments!T129</f>
        <v>0</v>
      </c>
      <c r="P40" s="226">
        <f>Segments!U46+Segments!U129</f>
        <v>0</v>
      </c>
      <c r="Q40" s="226">
        <f>Segments!V46+Segments!V129</f>
        <v>0</v>
      </c>
      <c r="R40" s="226">
        <f>Segments!W46+Segments!W129</f>
        <v>0</v>
      </c>
      <c r="S40" s="219">
        <f>SUM(O40:R40)</f>
        <v>0</v>
      </c>
      <c r="T40" s="238">
        <f>Segments!Y46+Segments!Y129</f>
        <v>0</v>
      </c>
      <c r="U40" s="226">
        <f>Segments!Z46+Segments!Z129</f>
        <v>0</v>
      </c>
      <c r="V40" s="226">
        <f>Segments!AA46+Segments!AA129</f>
        <v>8.4</v>
      </c>
      <c r="W40" s="226">
        <f>Segments!AB46+Segments!AB129</f>
        <v>863.8</v>
      </c>
      <c r="X40" s="219">
        <f>SUM(T40:W40)</f>
        <v>872.19999999999993</v>
      </c>
      <c r="Y40" s="238">
        <f>Segments!AD46+Segments!AD129</f>
        <v>0</v>
      </c>
      <c r="Z40" s="226">
        <f>Segments!AE46+Segments!AE129</f>
        <v>6.6</v>
      </c>
      <c r="AA40" s="226">
        <f>Segments!AF46+Segments!AF129</f>
        <v>10.1</v>
      </c>
      <c r="AB40" s="226">
        <f>Segments!AG46+Segments!AG129</f>
        <v>5.8</v>
      </c>
      <c r="AC40" s="219">
        <f>SUM(Y40:AB40)</f>
        <v>22.5</v>
      </c>
      <c r="AD40" s="238">
        <f>Segments!AI46+Segments!AI129</f>
        <v>0.8</v>
      </c>
      <c r="AE40" s="238">
        <f>Segments!AJ46+Segments!AJ129</f>
        <v>2</v>
      </c>
      <c r="AF40" s="226">
        <f>Segments!AK46+Segments!AK129</f>
        <v>1.3</v>
      </c>
      <c r="AG40" s="226">
        <f>Segments!AL46+Segments!AL129</f>
        <v>52.900000000000006</v>
      </c>
      <c r="AH40" s="219">
        <f>SUM(AD40:AG40)</f>
        <v>57.000000000000007</v>
      </c>
      <c r="AI40" s="238">
        <f>Segments!AN46+Segments!AN129</f>
        <v>6.8999999999999995</v>
      </c>
      <c r="AJ40" s="238">
        <f>Segments!AO46+Segments!AO129+8.7</f>
        <v>64.5</v>
      </c>
      <c r="AK40" s="226">
        <f>Segments!AP46+Segments!AP129</f>
        <v>16.5</v>
      </c>
      <c r="AL40" s="226">
        <f>Segments!AQ46+Segments!AQ129</f>
        <v>5</v>
      </c>
      <c r="AM40" s="219">
        <f>SUM(AI40:AL40)</f>
        <v>92.9</v>
      </c>
      <c r="AN40" s="238">
        <f>Segments!AS46+Segments!AS129</f>
        <v>8</v>
      </c>
      <c r="AO40" s="238">
        <f>Segments!AT46+Segments!AT129</f>
        <v>-2</v>
      </c>
      <c r="AP40" s="226">
        <f>Segments!AU46+Segments!AU129</f>
        <v>23</v>
      </c>
      <c r="AQ40" s="226">
        <f>Segments!AV46+Segments!AV129</f>
        <v>30</v>
      </c>
      <c r="AR40" s="219">
        <f>SUM(AN40:AQ40)</f>
        <v>59</v>
      </c>
      <c r="AS40" s="238">
        <f>Segments!AX46+Segments!AX129</f>
        <v>2</v>
      </c>
      <c r="AT40" s="238">
        <f>Segments!AY46+Segments!AY129</f>
        <v>0</v>
      </c>
      <c r="AU40" s="238">
        <f>Segments!AZ46+Segments!AZ129</f>
        <v>0</v>
      </c>
      <c r="AV40" s="226">
        <f>Segments!BA46+Segments!BA129</f>
        <v>-2</v>
      </c>
      <c r="AW40" s="219">
        <f>SUM(AS40:AV40)</f>
        <v>0</v>
      </c>
      <c r="AX40" s="238">
        <f>Segments!BC46+Segments!BC129</f>
        <v>0</v>
      </c>
      <c r="AY40" s="238">
        <f>Segments!BD46+Segments!BD129</f>
        <v>31</v>
      </c>
      <c r="AZ40" s="238">
        <f>Segments!BE46+Segments!BE129</f>
        <v>1</v>
      </c>
      <c r="BA40" s="226">
        <f>Segments!BF46+Segments!BF129</f>
        <v>82</v>
      </c>
      <c r="BB40" s="219">
        <f>SUM(AX40:BA40)</f>
        <v>114</v>
      </c>
      <c r="BC40" s="238">
        <f>Segments!BH46+Segments!BH129</f>
        <v>14</v>
      </c>
      <c r="BD40" s="238">
        <f>Segments!BI46+Segments!BI129</f>
        <v>10</v>
      </c>
      <c r="BE40" s="238">
        <f>Segments!BJ46+Segments!BJ129</f>
        <v>27</v>
      </c>
      <c r="BF40" s="238">
        <f>Segments!BK46+Segments!BK129</f>
        <v>36</v>
      </c>
      <c r="BG40" s="219">
        <f>SUM(BC40:BF40)</f>
        <v>87</v>
      </c>
      <c r="BH40" s="238">
        <f>Segments!BM46+Segments!BM129</f>
        <v>5</v>
      </c>
      <c r="BI40" s="238">
        <f>Segments!BN46+Segments!BN129</f>
        <v>17</v>
      </c>
      <c r="BJ40" s="238">
        <f>Segments!BO46+Segments!BO129</f>
        <v>21</v>
      </c>
      <c r="BK40" s="226">
        <f>Segments!BP46+Segments!BP129</f>
        <v>59</v>
      </c>
      <c r="BL40" s="219">
        <f>SUM(BH40:BK40)</f>
        <v>102</v>
      </c>
      <c r="BM40" s="238">
        <f>Segments!BR46+Segments!BR129</f>
        <v>35</v>
      </c>
      <c r="BN40" s="238">
        <f>Segments!BS46+Segments!BS129</f>
        <v>28</v>
      </c>
      <c r="BO40" s="226">
        <f>Segments!BT46+Segments!BT129</f>
        <v>14</v>
      </c>
      <c r="BP40" s="226">
        <f>Segments!BU46+Segments!BU129</f>
        <v>14</v>
      </c>
      <c r="BQ40" s="219">
        <f>SUM(BM40:BP40)</f>
        <v>91</v>
      </c>
      <c r="BR40" s="238">
        <f>Segments!BW46+Segments!BW129</f>
        <v>21</v>
      </c>
      <c r="BS40" s="238">
        <f>Segments!BX46+Segments!BX129</f>
        <v>21</v>
      </c>
      <c r="BT40" s="226">
        <f>Segments!BY46+Segments!BY129</f>
        <v>21</v>
      </c>
      <c r="BU40" s="226">
        <f>Segments!BZ46+Segments!BZ129</f>
        <v>21</v>
      </c>
      <c r="BV40" s="219">
        <f>SUM(BR40:BU40)</f>
        <v>84</v>
      </c>
      <c r="BW40" s="238">
        <f>Segments!CB46+Segments!CB129</f>
        <v>0</v>
      </c>
      <c r="BX40" s="238">
        <f>Segments!CC46+Segments!CC129</f>
        <v>0</v>
      </c>
      <c r="BY40" s="226">
        <f>Segments!CD46+Segments!CD129</f>
        <v>0</v>
      </c>
      <c r="BZ40" s="226">
        <f>Segments!CE46+Segments!CE129</f>
        <v>0</v>
      </c>
      <c r="CA40" s="219">
        <f>SUM(BW40:BZ40)</f>
        <v>0</v>
      </c>
    </row>
    <row r="41" spans="1:79" ht="12.75" customHeight="1" x14ac:dyDescent="0.35">
      <c r="B41" s="42" t="s">
        <v>30</v>
      </c>
      <c r="C41" s="24"/>
      <c r="D41" s="24"/>
      <c r="E41" s="24"/>
      <c r="F41" s="24"/>
      <c r="G41" s="153">
        <f t="shared" ref="G41:X41" si="20">G40/G$25</f>
        <v>0</v>
      </c>
      <c r="H41" s="153">
        <f t="shared" si="20"/>
        <v>0</v>
      </c>
      <c r="I41" s="184">
        <f t="shared" si="20"/>
        <v>0</v>
      </c>
      <c r="J41" s="153">
        <f t="shared" si="20"/>
        <v>0</v>
      </c>
      <c r="K41" s="153">
        <f t="shared" si="20"/>
        <v>0</v>
      </c>
      <c r="L41" s="153">
        <f t="shared" si="20"/>
        <v>0</v>
      </c>
      <c r="M41" s="153">
        <f t="shared" si="20"/>
        <v>0</v>
      </c>
      <c r="N41" s="184">
        <f t="shared" si="20"/>
        <v>0</v>
      </c>
      <c r="O41" s="153">
        <f t="shared" si="20"/>
        <v>0</v>
      </c>
      <c r="P41" s="153">
        <f t="shared" si="20"/>
        <v>0</v>
      </c>
      <c r="Q41" s="153">
        <f t="shared" si="20"/>
        <v>0</v>
      </c>
      <c r="R41" s="153">
        <f t="shared" si="20"/>
        <v>0</v>
      </c>
      <c r="S41" s="184">
        <f t="shared" si="20"/>
        <v>0</v>
      </c>
      <c r="T41" s="153">
        <f t="shared" si="20"/>
        <v>0</v>
      </c>
      <c r="U41" s="153">
        <f t="shared" si="20"/>
        <v>0</v>
      </c>
      <c r="V41" s="153">
        <f t="shared" si="20"/>
        <v>9.1593065096499844E-3</v>
      </c>
      <c r="W41" s="153">
        <f t="shared" si="20"/>
        <v>0.91688780384247959</v>
      </c>
      <c r="X41" s="184">
        <f t="shared" si="20"/>
        <v>0.24199544975306583</v>
      </c>
      <c r="Y41" s="153">
        <f t="shared" ref="Y41:AR41" si="21">Y40/Y$25</f>
        <v>0</v>
      </c>
      <c r="Z41" s="153">
        <f t="shared" si="21"/>
        <v>6.5967016491754122E-3</v>
      </c>
      <c r="AA41" s="153">
        <f t="shared" si="21"/>
        <v>9.5023050145827438E-3</v>
      </c>
      <c r="AB41" s="153">
        <f t="shared" si="21"/>
        <v>4.9764049764049762E-3</v>
      </c>
      <c r="AC41" s="184">
        <f t="shared" si="21"/>
        <v>5.3519183654051989E-3</v>
      </c>
      <c r="AD41" s="153">
        <f t="shared" si="21"/>
        <v>7.1003816455134463E-4</v>
      </c>
      <c r="AE41" s="153">
        <f t="shared" si="21"/>
        <v>1.7019828099736193E-3</v>
      </c>
      <c r="AF41" s="69">
        <f t="shared" si="21"/>
        <v>1.2028127313101406E-3</v>
      </c>
      <c r="AG41" s="69">
        <f t="shared" si="21"/>
        <v>4.9900952740307529E-2</v>
      </c>
      <c r="AH41" s="184">
        <f t="shared" si="21"/>
        <v>1.2830035789047203E-2</v>
      </c>
      <c r="AI41" s="153">
        <f t="shared" si="21"/>
        <v>6.0415024954032044E-3</v>
      </c>
      <c r="AJ41" s="153">
        <f t="shared" si="21"/>
        <v>5.3147659854976922E-2</v>
      </c>
      <c r="AK41" s="69">
        <f t="shared" si="21"/>
        <v>1.3301088270858524E-2</v>
      </c>
      <c r="AL41" s="69">
        <f t="shared" si="21"/>
        <v>4.0551500405515001E-3</v>
      </c>
      <c r="AM41" s="184">
        <f t="shared" si="21"/>
        <v>1.923714072724261E-2</v>
      </c>
      <c r="AN41" s="153">
        <f t="shared" si="21"/>
        <v>6.2015503875968991E-3</v>
      </c>
      <c r="AO41" s="153">
        <f t="shared" si="21"/>
        <v>-1.3937282229965157E-3</v>
      </c>
      <c r="AP41" s="69">
        <f t="shared" si="21"/>
        <v>1.696165191740413E-2</v>
      </c>
      <c r="AQ41" s="69">
        <f t="shared" si="21"/>
        <v>2.3255813953488372E-2</v>
      </c>
      <c r="AR41" s="184">
        <f t="shared" si="21"/>
        <v>1.0984919009495438E-2</v>
      </c>
      <c r="AS41" s="153">
        <f t="shared" ref="AS41:BQ41" si="22">AS40/AS$25</f>
        <v>1.25E-3</v>
      </c>
      <c r="AT41" s="153">
        <f t="shared" si="22"/>
        <v>0</v>
      </c>
      <c r="AU41" s="153">
        <f t="shared" si="22"/>
        <v>0</v>
      </c>
      <c r="AV41" s="69">
        <f t="shared" si="22"/>
        <v>-1.2995451591942819E-3</v>
      </c>
      <c r="AW41" s="184">
        <f t="shared" si="22"/>
        <v>0</v>
      </c>
      <c r="AX41" s="153">
        <f t="shared" si="22"/>
        <v>0</v>
      </c>
      <c r="AY41" s="153">
        <f t="shared" si="22"/>
        <v>2.2447501810282405E-2</v>
      </c>
      <c r="AZ41" s="153">
        <f t="shared" si="22"/>
        <v>7.8431372549019605E-4</v>
      </c>
      <c r="BA41" s="69">
        <f t="shared" si="22"/>
        <v>6.3565891472868216E-2</v>
      </c>
      <c r="BB41" s="184">
        <f t="shared" si="22"/>
        <v>2.0848573518653987E-2</v>
      </c>
      <c r="BC41" s="153">
        <f t="shared" si="22"/>
        <v>9.5238095238095247E-3</v>
      </c>
      <c r="BD41" s="153">
        <f t="shared" si="22"/>
        <v>6.6934404283801874E-3</v>
      </c>
      <c r="BE41" s="153">
        <f>BE40/BE$25</f>
        <v>1.8342391304347828E-2</v>
      </c>
      <c r="BF41" s="69">
        <f t="shared" si="22"/>
        <v>2.4324324324324326E-2</v>
      </c>
      <c r="BG41" s="184">
        <f t="shared" si="22"/>
        <v>1.4705882352941176E-2</v>
      </c>
      <c r="BH41" s="153">
        <f t="shared" si="22"/>
        <v>2.7995520716685329E-3</v>
      </c>
      <c r="BI41" s="153">
        <f>BI40/BI$25</f>
        <v>9.3560814529444133E-3</v>
      </c>
      <c r="BJ41" s="153">
        <f>BJ40/BJ$25</f>
        <v>1.1583011583011582E-2</v>
      </c>
      <c r="BK41" s="69">
        <f t="shared" si="22"/>
        <v>3.5287081339712915E-2</v>
      </c>
      <c r="BL41" s="184">
        <f t="shared" si="22"/>
        <v>1.4390519187358916E-2</v>
      </c>
      <c r="BM41" s="153">
        <f t="shared" si="22"/>
        <v>1.8191268191268192E-2</v>
      </c>
      <c r="BN41" s="153">
        <f t="shared" si="22"/>
        <v>1.4752370916754479E-2</v>
      </c>
      <c r="BO41" s="69">
        <f t="shared" si="22"/>
        <v>6.9845292676721064E-3</v>
      </c>
      <c r="BP41" s="69">
        <f t="shared" si="22"/>
        <v>7.5747817527736794E-3</v>
      </c>
      <c r="BQ41" s="184">
        <f t="shared" si="22"/>
        <v>1.1857190328181999E-2</v>
      </c>
      <c r="BR41" s="153">
        <f t="shared" ref="BR41:CA41" si="23">BR40/BR$25</f>
        <v>9.9663026359208158E-3</v>
      </c>
      <c r="BS41" s="153">
        <f t="shared" si="23"/>
        <v>1.0214998479095339E-2</v>
      </c>
      <c r="BT41" s="69">
        <f t="shared" si="23"/>
        <v>9.7338683489963107E-3</v>
      </c>
      <c r="BU41" s="69">
        <f t="shared" si="23"/>
        <v>1.0540064329140385E-2</v>
      </c>
      <c r="BV41" s="184">
        <f t="shared" si="23"/>
        <v>1.0105002599391275E-2</v>
      </c>
      <c r="BW41" s="153">
        <f t="shared" si="23"/>
        <v>0</v>
      </c>
      <c r="BX41" s="153">
        <f t="shared" si="23"/>
        <v>0</v>
      </c>
      <c r="BY41" s="69">
        <f t="shared" si="23"/>
        <v>0</v>
      </c>
      <c r="BZ41" s="69">
        <f t="shared" si="23"/>
        <v>0</v>
      </c>
      <c r="CA41" s="184">
        <f t="shared" si="23"/>
        <v>0</v>
      </c>
    </row>
    <row r="42" spans="1:79" ht="12.75" customHeight="1" x14ac:dyDescent="0.35">
      <c r="B42" s="2" t="s">
        <v>162</v>
      </c>
      <c r="G42" s="238">
        <f>Segments!L142+Segments!L59</f>
        <v>22.6</v>
      </c>
      <c r="H42" s="238">
        <f>Segments!M142+Segments!M59</f>
        <v>24.3</v>
      </c>
      <c r="I42" s="606">
        <f>Segments!N142+Segments!N59</f>
        <v>91</v>
      </c>
      <c r="J42" s="238">
        <f>Segments!O142+Segments!O59</f>
        <v>24.8</v>
      </c>
      <c r="K42" s="238">
        <f>Segments!P142+Segments!P59</f>
        <v>25.2</v>
      </c>
      <c r="L42" s="238">
        <f>Segments!Q142+Segments!Q59</f>
        <v>25.7</v>
      </c>
      <c r="M42" s="238">
        <f>Segments!R142+Segments!R59</f>
        <v>25.099999999999998</v>
      </c>
      <c r="N42" s="174">
        <f>SUM(J42:M42)</f>
        <v>100.8</v>
      </c>
      <c r="O42" s="238">
        <f>Segments!T142+Segments!T59</f>
        <v>25.6</v>
      </c>
      <c r="P42" s="238">
        <f>Segments!U142+Segments!U59</f>
        <v>26.8</v>
      </c>
      <c r="Q42" s="238">
        <f>Segments!V142+Segments!V59</f>
        <v>26.8</v>
      </c>
      <c r="R42" s="238">
        <f>Segments!W142+Segments!W59</f>
        <v>27.4</v>
      </c>
      <c r="S42" s="174">
        <f>SUM(O42:R42)</f>
        <v>106.6</v>
      </c>
      <c r="T42" s="238">
        <f>Segments!Y142+Segments!Y59</f>
        <v>26.8</v>
      </c>
      <c r="U42" s="238">
        <f>Segments!Z142+Segments!Z59</f>
        <v>27.400000000000002</v>
      </c>
      <c r="V42" s="238">
        <f>Segments!AA142+Segments!AA59</f>
        <v>27.7</v>
      </c>
      <c r="W42" s="238">
        <f>Segments!AB142+Segments!AB59</f>
        <v>30</v>
      </c>
      <c r="X42" s="174">
        <f>SUM(T42:W42)</f>
        <v>111.9</v>
      </c>
      <c r="Y42" s="238">
        <f>Segments!AD142+Segments!AD59</f>
        <v>29.7</v>
      </c>
      <c r="Z42" s="238">
        <f>Segments!AE142+Segments!AE59</f>
        <v>30.8</v>
      </c>
      <c r="AA42" s="238">
        <f>Segments!AF142+Segments!AF59</f>
        <v>33.1</v>
      </c>
      <c r="AB42" s="238">
        <f>Segments!AG142+Segments!AG59</f>
        <v>34.1</v>
      </c>
      <c r="AC42" s="174">
        <f>SUM(Y42:AB42)</f>
        <v>127.69999999999999</v>
      </c>
      <c r="AD42" s="238">
        <f>Segments!AI142+Segments!AI59</f>
        <v>34.799999999999997</v>
      </c>
      <c r="AE42" s="238">
        <f>Segments!AJ142+Segments!AJ59</f>
        <v>33</v>
      </c>
      <c r="AF42" s="238">
        <f>Segments!AK142+Segments!AK59</f>
        <v>34.200000000000003</v>
      </c>
      <c r="AG42" s="238">
        <f>Segments!AL142+Segments!AL59</f>
        <v>34.299999999999997</v>
      </c>
      <c r="AH42" s="174">
        <f>SUM(AD42:AG42)</f>
        <v>136.30000000000001</v>
      </c>
      <c r="AI42" s="238">
        <f>Segments!AN142+Segments!AN59</f>
        <v>34.699999999999996</v>
      </c>
      <c r="AJ42" s="238">
        <f>Segments!AO142+Segments!AO59</f>
        <v>35.200000000000003</v>
      </c>
      <c r="AK42" s="238">
        <f>Segments!AP142+Segments!AP59</f>
        <v>36.4</v>
      </c>
      <c r="AL42" s="238">
        <f>Segments!AQ142+Segments!AQ59</f>
        <v>37</v>
      </c>
      <c r="AM42" s="174">
        <f>SUM(AI42:AL42)</f>
        <v>143.30000000000001</v>
      </c>
      <c r="AN42" s="238">
        <f>Segments!AS142+Segments!AS59</f>
        <v>39</v>
      </c>
      <c r="AO42" s="238">
        <f>Segments!AT142+Segments!AT59</f>
        <v>37</v>
      </c>
      <c r="AP42" s="238">
        <f>Segments!AU142+Segments!AU59</f>
        <v>39</v>
      </c>
      <c r="AQ42" s="238">
        <f>Segments!AV142+Segments!AV59</f>
        <v>40</v>
      </c>
      <c r="AR42" s="174">
        <f>SUM(AN42:AQ42)</f>
        <v>155</v>
      </c>
      <c r="AS42" s="238">
        <f>Segments!AX142+Segments!AX59</f>
        <v>42</v>
      </c>
      <c r="AT42" s="238">
        <f>Segments!AY142+Segments!AY59</f>
        <v>44</v>
      </c>
      <c r="AU42" s="238">
        <f>Segments!AZ142+Segments!AZ59</f>
        <v>44</v>
      </c>
      <c r="AV42" s="238">
        <f>Segments!BA142+Segments!BA59</f>
        <v>42</v>
      </c>
      <c r="AW42" s="174">
        <f>SUM(AS42:AV42)</f>
        <v>172</v>
      </c>
      <c r="AX42" s="238">
        <f>Segments!BC142+Segments!BC59</f>
        <v>45</v>
      </c>
      <c r="AY42" s="238">
        <f>Segments!BD142+Segments!BD59</f>
        <v>44</v>
      </c>
      <c r="AZ42" s="238">
        <f>Segments!BE142+Segments!BE59</f>
        <v>45</v>
      </c>
      <c r="BA42" s="238">
        <f>Segments!BF142+Segments!BF59</f>
        <v>48</v>
      </c>
      <c r="BB42" s="174">
        <f>SUM(AX42:BA42)</f>
        <v>182</v>
      </c>
      <c r="BC42" s="238">
        <f>Segments!BH142+Segments!BH59</f>
        <v>48</v>
      </c>
      <c r="BD42" s="238">
        <f>Segments!BI142+Segments!BI59</f>
        <v>50</v>
      </c>
      <c r="BE42" s="238">
        <f>Segments!BJ142+Segments!BJ59</f>
        <v>50</v>
      </c>
      <c r="BF42" s="238">
        <f>Segments!BK142+Segments!BK59</f>
        <v>51</v>
      </c>
      <c r="BG42" s="174">
        <f>SUM(BC42:BF42)</f>
        <v>199</v>
      </c>
      <c r="BH42" s="238">
        <f>Segments!BM142+Segments!BM59</f>
        <v>50</v>
      </c>
      <c r="BI42" s="238">
        <f>Segments!BN142+Segments!BN59</f>
        <v>53</v>
      </c>
      <c r="BJ42" s="238">
        <f>Segments!BO142+Segments!BO59</f>
        <v>51</v>
      </c>
      <c r="BK42" s="238">
        <f>Segments!BP142+Segments!BP59</f>
        <v>52</v>
      </c>
      <c r="BL42" s="174">
        <f>SUM(BH42:BK42)</f>
        <v>206</v>
      </c>
      <c r="BM42" s="238">
        <f>Segments!BR142+Segments!BR59</f>
        <v>52</v>
      </c>
      <c r="BN42" s="238">
        <f>Segments!BS142+Segments!BS59</f>
        <v>53</v>
      </c>
      <c r="BO42" s="238">
        <f>Segments!BT142+Segments!BT59</f>
        <v>52</v>
      </c>
      <c r="BP42" s="238">
        <f>Segments!BU142+Segments!BU59</f>
        <v>53</v>
      </c>
      <c r="BQ42" s="174">
        <f>SUM(BM42:BP42)</f>
        <v>210</v>
      </c>
      <c r="BR42" s="238">
        <f>Segments!BW142+Segments!BW59</f>
        <v>53</v>
      </c>
      <c r="BS42" s="238">
        <f>Segments!BX142+Segments!BX59</f>
        <v>54</v>
      </c>
      <c r="BT42" s="238">
        <f>Segments!BY142+Segments!BY59</f>
        <v>53</v>
      </c>
      <c r="BU42" s="238">
        <f>Segments!BZ142+Segments!BZ59</f>
        <v>54</v>
      </c>
      <c r="BV42" s="174">
        <f>SUM(BR42:BU42)</f>
        <v>214</v>
      </c>
      <c r="BW42" s="238">
        <f>Segments!CB142+Segments!CB59</f>
        <v>54</v>
      </c>
      <c r="BX42" s="238">
        <f>Segments!CC142+Segments!CC59</f>
        <v>55</v>
      </c>
      <c r="BY42" s="238">
        <f>Segments!CD142+Segments!CD59</f>
        <v>54</v>
      </c>
      <c r="BZ42" s="238">
        <f>Segments!CE142+Segments!CE59</f>
        <v>55</v>
      </c>
      <c r="CA42" s="174">
        <f>SUM(BW42:BZ42)</f>
        <v>218</v>
      </c>
    </row>
    <row r="43" spans="1:79" s="132" customFormat="1" ht="12.75" customHeight="1" x14ac:dyDescent="0.35">
      <c r="A43" s="24"/>
      <c r="B43" s="24" t="s">
        <v>127</v>
      </c>
      <c r="C43" s="24"/>
      <c r="D43" s="58"/>
      <c r="E43" s="58"/>
      <c r="F43" s="58"/>
      <c r="G43" s="163">
        <f t="shared" ref="G43:M43" si="24">G40+G37+G33-G42</f>
        <v>413.99999999999994</v>
      </c>
      <c r="H43" s="163">
        <f t="shared" si="24"/>
        <v>467.29999999999995</v>
      </c>
      <c r="I43" s="178">
        <f t="shared" si="24"/>
        <v>1737.9</v>
      </c>
      <c r="J43" s="163">
        <f t="shared" si="24"/>
        <v>434.2</v>
      </c>
      <c r="K43" s="163">
        <f t="shared" si="24"/>
        <v>461.8</v>
      </c>
      <c r="L43" s="163">
        <f t="shared" si="24"/>
        <v>466.4</v>
      </c>
      <c r="M43" s="163">
        <f t="shared" si="24"/>
        <v>532.80000000000007</v>
      </c>
      <c r="N43" s="178">
        <f>SUM(J43:M43)</f>
        <v>1895.2000000000003</v>
      </c>
      <c r="O43" s="163">
        <f>O40+O37+O33-O42</f>
        <v>494.6</v>
      </c>
      <c r="P43" s="163">
        <f>P40+P37+P33-P42</f>
        <v>498.8</v>
      </c>
      <c r="Q43" s="163">
        <f>Q40+Q37+Q33-Q42</f>
        <v>479.70000000000005</v>
      </c>
      <c r="R43" s="163">
        <f>R40+R37+R33-R42</f>
        <v>532.80000000000007</v>
      </c>
      <c r="S43" s="178">
        <f>SUM(O43:R43)</f>
        <v>2005.9</v>
      </c>
      <c r="T43" s="163">
        <f>T40+T37+T33-T42</f>
        <v>512.00000000000011</v>
      </c>
      <c r="U43" s="163">
        <f>U40+U37+U33-U42</f>
        <v>518.70000000000005</v>
      </c>
      <c r="V43" s="163">
        <f>V40+V37+V33-V42</f>
        <v>521.4</v>
      </c>
      <c r="W43" s="163">
        <f>W40+W37+W33-W42</f>
        <v>1415.1999999999998</v>
      </c>
      <c r="X43" s="178">
        <f>SUM(T43:W43)</f>
        <v>2967.3</v>
      </c>
      <c r="Y43" s="163">
        <f>Y40+Y37+Y33-Y42</f>
        <v>528.5</v>
      </c>
      <c r="Z43" s="163">
        <f>Z40+Z37+Z33-Z42</f>
        <v>540.40000000000009</v>
      </c>
      <c r="AA43" s="163">
        <f>AA40+AA37+AA33-AA42</f>
        <v>614.40000000000009</v>
      </c>
      <c r="AB43" s="163">
        <f>AB40+AB37+AB33-AB42</f>
        <v>700.00000000000011</v>
      </c>
      <c r="AC43" s="178">
        <f>SUM(Y43:AB43)</f>
        <v>2383.3000000000002</v>
      </c>
      <c r="AD43" s="163">
        <f>AD40+AD37+AD33-AD42</f>
        <v>635.9</v>
      </c>
      <c r="AE43" s="163">
        <f>AE40+AE37+AE33-AE42</f>
        <v>641.1</v>
      </c>
      <c r="AF43" s="163">
        <f>AF40+AF37+AF33-AF42</f>
        <v>613.99999999999989</v>
      </c>
      <c r="AG43" s="163">
        <f>AG40+AG37+AG33-AG42</f>
        <v>683.50000000000011</v>
      </c>
      <c r="AH43" s="178">
        <f>SUM(AD43:AG43)</f>
        <v>2574.5</v>
      </c>
      <c r="AI43" s="163">
        <f>AI40+AI37+AI33-AI42</f>
        <v>680.40000000000009</v>
      </c>
      <c r="AJ43" s="163">
        <f>AJ40+AJ37+AJ33-AJ42</f>
        <v>730.09999999999991</v>
      </c>
      <c r="AK43" s="163">
        <f>AK40+AK37+AK33-AK42</f>
        <v>691.7</v>
      </c>
      <c r="AL43" s="163">
        <f>AL40+AL37+AL33-AL42</f>
        <v>729</v>
      </c>
      <c r="AM43" s="178">
        <f>SUM(AI43:AL43)</f>
        <v>2831.2</v>
      </c>
      <c r="AN43" s="163">
        <f>AN40+AN37+AN33-AN42</f>
        <v>698</v>
      </c>
      <c r="AO43" s="163">
        <f>AO40+AO37+AO33-AO42</f>
        <v>725</v>
      </c>
      <c r="AP43" s="163">
        <f>AP40+AP37+AP33-AP42</f>
        <v>714</v>
      </c>
      <c r="AQ43" s="163">
        <f>AQ40+AQ37+AQ33-AQ42</f>
        <v>846</v>
      </c>
      <c r="AR43" s="178">
        <f>SUM(AN43:AQ43)</f>
        <v>2983</v>
      </c>
      <c r="AS43" s="163">
        <f>AS40+AS37+AS33-AS42</f>
        <v>747</v>
      </c>
      <c r="AT43" s="163">
        <f>AT40+AT37+AT33-AT42</f>
        <v>752</v>
      </c>
      <c r="AU43" s="163">
        <f>AU40+AU37+AU33-AU42</f>
        <v>850</v>
      </c>
      <c r="AV43" s="163">
        <f>AV40+AV37+AV33-AV42</f>
        <v>1025</v>
      </c>
      <c r="AW43" s="178">
        <f>SUM(AS43:AV43)</f>
        <v>3374</v>
      </c>
      <c r="AX43" s="163">
        <f>AX40+AX37+AX33-AX42</f>
        <v>866</v>
      </c>
      <c r="AY43" s="163">
        <f>AY40+AY37+AY33-AY42</f>
        <v>873</v>
      </c>
      <c r="AZ43" s="163">
        <f>AZ40+AZ37+AZ33-AZ42</f>
        <v>862</v>
      </c>
      <c r="BA43" s="163">
        <f>BA40+BA37+BA33-BA42</f>
        <v>984</v>
      </c>
      <c r="BB43" s="178">
        <f>SUM(AX43:BA43)</f>
        <v>3585</v>
      </c>
      <c r="BC43" s="163">
        <f>BC40+BC37+BC33-BC42</f>
        <v>916</v>
      </c>
      <c r="BD43" s="163">
        <f>BD40+BD37+BD33-BD42</f>
        <v>944</v>
      </c>
      <c r="BE43" s="163">
        <f>BE40+BE37+BE33-BE42</f>
        <v>937</v>
      </c>
      <c r="BF43" s="163">
        <f>BF40+BF37+BF33-BF42</f>
        <v>982</v>
      </c>
      <c r="BG43" s="178">
        <f>SUM(BC43:BF43)</f>
        <v>3779</v>
      </c>
      <c r="BH43" s="163">
        <f>BH40+BH37+BH33-BH42</f>
        <v>985</v>
      </c>
      <c r="BI43" s="163">
        <f>BI40+BI37+BI33-BI42</f>
        <v>1042</v>
      </c>
      <c r="BJ43" s="163">
        <f>BJ40+BJ37+BJ33-BJ42</f>
        <v>1075</v>
      </c>
      <c r="BK43" s="163">
        <f>BK40+BK37+BK33-BK42</f>
        <v>1111</v>
      </c>
      <c r="BL43" s="178">
        <f>SUM(BH43:BK43)</f>
        <v>4213</v>
      </c>
      <c r="BM43" s="163">
        <f>BM40+BM37+BM33-BM42</f>
        <v>1078</v>
      </c>
      <c r="BN43" s="163">
        <f>BN40+BN37+BN33-BN42</f>
        <v>1080</v>
      </c>
      <c r="BO43" s="163">
        <f>BO40+BO37+BO33-BO42</f>
        <v>1083.645586454006</v>
      </c>
      <c r="BP43" s="163">
        <f>BP40+BP37+BP33-BP42</f>
        <v>1095.5808347978932</v>
      </c>
      <c r="BQ43" s="178">
        <f>SUM(BM43:BP43)</f>
        <v>4337.2264212518985</v>
      </c>
      <c r="BR43" s="163">
        <f>BR40+BR37+BR33-BR42</f>
        <v>1135.3888779023002</v>
      </c>
      <c r="BS43" s="163">
        <f>BS40+BS37+BS33-BS42</f>
        <v>1127.7055127754784</v>
      </c>
      <c r="BT43" s="163">
        <f>BT40+BT37+BT33-BT42</f>
        <v>1164.6293649922791</v>
      </c>
      <c r="BU43" s="163">
        <f>BU40+BU37+BU33-BU42</f>
        <v>1176.9875970324563</v>
      </c>
      <c r="BV43" s="178">
        <f>SUM(BR43:BU43)</f>
        <v>4604.711352702514</v>
      </c>
      <c r="BW43" s="163">
        <f>BW40+BW37+BW33-BW42</f>
        <v>1178.2289094808846</v>
      </c>
      <c r="BX43" s="163">
        <f>BX40+BX37+BX33-BX42</f>
        <v>1165.9258589316303</v>
      </c>
      <c r="BY43" s="163">
        <f>BY40+BY37+BY33-BY42</f>
        <v>1209.6466355276896</v>
      </c>
      <c r="BZ43" s="163">
        <f>BZ40+BZ37+BZ33-BZ42</f>
        <v>1224.0606784685342</v>
      </c>
      <c r="CA43" s="178">
        <f>SUM(BW43:BZ43)</f>
        <v>4777.8620824087384</v>
      </c>
    </row>
    <row r="44" spans="1:79" ht="12.75" customHeight="1" x14ac:dyDescent="0.35">
      <c r="B44" s="42" t="s">
        <v>56</v>
      </c>
      <c r="C44" s="24"/>
      <c r="D44" s="58"/>
      <c r="E44" s="58"/>
      <c r="F44" s="58"/>
      <c r="G44" s="153" t="str">
        <f t="shared" ref="G44:X44" si="25">IFERROR(G43/B43-1, "NA")</f>
        <v>NA</v>
      </c>
      <c r="H44" s="153" t="str">
        <f t="shared" si="25"/>
        <v>NA</v>
      </c>
      <c r="I44" s="184" t="str">
        <f t="shared" si="25"/>
        <v>NA</v>
      </c>
      <c r="J44" s="153" t="str">
        <f t="shared" si="25"/>
        <v>NA</v>
      </c>
      <c r="K44" s="153" t="str">
        <f t="shared" si="25"/>
        <v>NA</v>
      </c>
      <c r="L44" s="153">
        <f t="shared" si="25"/>
        <v>0.12657004830917895</v>
      </c>
      <c r="M44" s="153">
        <f t="shared" si="25"/>
        <v>0.14016691632784095</v>
      </c>
      <c r="N44" s="184">
        <f t="shared" si="25"/>
        <v>9.0511536912365687E-2</v>
      </c>
      <c r="O44" s="153">
        <f t="shared" si="25"/>
        <v>0.13910640257945661</v>
      </c>
      <c r="P44" s="153">
        <f t="shared" si="25"/>
        <v>8.0121264616717092E-2</v>
      </c>
      <c r="Q44" s="153">
        <f t="shared" si="25"/>
        <v>2.8516295025729166E-2</v>
      </c>
      <c r="R44" s="153">
        <f t="shared" si="25"/>
        <v>0</v>
      </c>
      <c r="S44" s="184">
        <f t="shared" si="25"/>
        <v>5.8410721823554113E-2</v>
      </c>
      <c r="T44" s="153">
        <f t="shared" si="25"/>
        <v>3.517994338859709E-2</v>
      </c>
      <c r="U44" s="153">
        <f t="shared" si="25"/>
        <v>3.9895749799518931E-2</v>
      </c>
      <c r="V44" s="153">
        <f t="shared" si="25"/>
        <v>8.6929330831769791E-2</v>
      </c>
      <c r="W44" s="153">
        <f t="shared" si="25"/>
        <v>1.6561561561561553</v>
      </c>
      <c r="X44" s="184">
        <f t="shared" si="25"/>
        <v>0.47928610598733745</v>
      </c>
      <c r="Y44" s="153">
        <f t="shared" ref="Y44:AH44" si="26">IFERROR(Y43/T43-1, "NA")</f>
        <v>3.2226562499999778E-2</v>
      </c>
      <c r="Z44" s="153">
        <f t="shared" si="26"/>
        <v>4.1835357624831371E-2</v>
      </c>
      <c r="AA44" s="153">
        <f t="shared" si="26"/>
        <v>0.17836593785960897</v>
      </c>
      <c r="AB44" s="153">
        <f t="shared" si="26"/>
        <v>-0.50537026568682863</v>
      </c>
      <c r="AC44" s="184">
        <f t="shared" si="26"/>
        <v>-0.19681191655713948</v>
      </c>
      <c r="AD44" s="153">
        <f t="shared" si="26"/>
        <v>0.20321665089877006</v>
      </c>
      <c r="AE44" s="153">
        <f t="shared" si="26"/>
        <v>0.18634344929681701</v>
      </c>
      <c r="AF44" s="153">
        <f t="shared" si="26"/>
        <v>-6.5104166666696273E-4</v>
      </c>
      <c r="AG44" s="153">
        <f t="shared" si="26"/>
        <v>-2.3571428571428577E-2</v>
      </c>
      <c r="AH44" s="184">
        <f t="shared" si="26"/>
        <v>8.0224898250325083E-2</v>
      </c>
      <c r="AI44" s="153">
        <f t="shared" ref="AI44:AR44" si="27">IFERROR(AI43/AD43-1, "NA")</f>
        <v>6.9979556534046417E-2</v>
      </c>
      <c r="AJ44" s="153">
        <f t="shared" si="27"/>
        <v>0.13882389642801418</v>
      </c>
      <c r="AK44" s="153">
        <f t="shared" si="27"/>
        <v>0.12654723127035861</v>
      </c>
      <c r="AL44" s="153">
        <f t="shared" si="27"/>
        <v>6.6569129480614331E-2</v>
      </c>
      <c r="AM44" s="184">
        <f t="shared" si="27"/>
        <v>9.9708681297339119E-2</v>
      </c>
      <c r="AN44" s="153">
        <f t="shared" si="27"/>
        <v>2.586713697824794E-2</v>
      </c>
      <c r="AO44" s="153">
        <f t="shared" si="27"/>
        <v>-6.9853444733597447E-3</v>
      </c>
      <c r="AP44" s="153">
        <f t="shared" si="27"/>
        <v>3.2239410148908521E-2</v>
      </c>
      <c r="AQ44" s="153">
        <f t="shared" si="27"/>
        <v>0.16049382716049387</v>
      </c>
      <c r="AR44" s="184">
        <f t="shared" si="27"/>
        <v>5.3616840915512887E-2</v>
      </c>
      <c r="AS44" s="153">
        <f t="shared" ref="AS44:BQ44" si="28">IFERROR(AS43/AN43-1, "NA")</f>
        <v>7.020057306590255E-2</v>
      </c>
      <c r="AT44" s="153">
        <f t="shared" si="28"/>
        <v>3.7241379310344769E-2</v>
      </c>
      <c r="AU44" s="153">
        <f t="shared" si="28"/>
        <v>0.19047619047619047</v>
      </c>
      <c r="AV44" s="153">
        <f t="shared" si="28"/>
        <v>0.21158392434988182</v>
      </c>
      <c r="AW44" s="184">
        <f t="shared" si="28"/>
        <v>0.13107609788803209</v>
      </c>
      <c r="AX44" s="153">
        <f t="shared" si="28"/>
        <v>0.15930388219544844</v>
      </c>
      <c r="AY44" s="153">
        <f t="shared" si="28"/>
        <v>0.16090425531914887</v>
      </c>
      <c r="AZ44" s="153">
        <f t="shared" si="28"/>
        <v>1.4117647058823568E-2</v>
      </c>
      <c r="BA44" s="153">
        <f t="shared" si="28"/>
        <v>-4.0000000000000036E-2</v>
      </c>
      <c r="BB44" s="184">
        <f t="shared" si="28"/>
        <v>6.2537048014226437E-2</v>
      </c>
      <c r="BC44" s="153">
        <f t="shared" si="28"/>
        <v>5.773672055427248E-2</v>
      </c>
      <c r="BD44" s="153">
        <f t="shared" si="28"/>
        <v>8.1328751431844148E-2</v>
      </c>
      <c r="BE44" s="153">
        <f t="shared" si="28"/>
        <v>8.7006960556844648E-2</v>
      </c>
      <c r="BF44" s="153">
        <f t="shared" si="28"/>
        <v>-2.0325203252032908E-3</v>
      </c>
      <c r="BG44" s="184">
        <f t="shared" si="28"/>
        <v>5.4114365411436438E-2</v>
      </c>
      <c r="BH44" s="153">
        <f>IFERROR(BH43/BC43-1, "NA")</f>
        <v>7.5327510917030605E-2</v>
      </c>
      <c r="BI44" s="153">
        <f>IFERROR(BI43/BD43-1, "NA")</f>
        <v>0.10381355932203395</v>
      </c>
      <c r="BJ44" s="153">
        <f>IFERROR(BJ43/BE43-1, "NA")</f>
        <v>0.14727854855923161</v>
      </c>
      <c r="BK44" s="153">
        <f t="shared" si="28"/>
        <v>0.1313645621181263</v>
      </c>
      <c r="BL44" s="184">
        <f t="shared" si="28"/>
        <v>0.11484519714210117</v>
      </c>
      <c r="BM44" s="153">
        <f t="shared" si="28"/>
        <v>9.4416243654822374E-2</v>
      </c>
      <c r="BN44" s="153">
        <f t="shared" si="28"/>
        <v>3.6468330134356908E-2</v>
      </c>
      <c r="BO44" s="153">
        <f t="shared" si="28"/>
        <v>8.042406003726521E-3</v>
      </c>
      <c r="BP44" s="153">
        <f t="shared" si="28"/>
        <v>-1.387863654555066E-2</v>
      </c>
      <c r="BQ44" s="184">
        <f t="shared" si="28"/>
        <v>2.9486451756918663E-2</v>
      </c>
      <c r="BR44" s="153">
        <f t="shared" ref="BR44:CA44" si="29">IFERROR(BR43/BM43-1, "NA")</f>
        <v>5.3236435901948376E-2</v>
      </c>
      <c r="BS44" s="153">
        <f t="shared" si="29"/>
        <v>4.4171771088405976E-2</v>
      </c>
      <c r="BT44" s="153">
        <f t="shared" si="29"/>
        <v>7.4732716628574947E-2</v>
      </c>
      <c r="BU44" s="153">
        <f t="shared" si="29"/>
        <v>7.4304660732387173E-2</v>
      </c>
      <c r="BV44" s="184">
        <f t="shared" si="29"/>
        <v>6.1671885548785443E-2</v>
      </c>
      <c r="BW44" s="153">
        <f t="shared" si="29"/>
        <v>3.7731593476354908E-2</v>
      </c>
      <c r="BX44" s="153">
        <f t="shared" si="29"/>
        <v>3.3892133826751492E-2</v>
      </c>
      <c r="BY44" s="153">
        <f t="shared" si="29"/>
        <v>3.8653731297346283E-2</v>
      </c>
      <c r="BZ44" s="153">
        <f t="shared" si="29"/>
        <v>3.9994543319541664E-2</v>
      </c>
      <c r="CA44" s="184">
        <f t="shared" si="29"/>
        <v>3.7602949771129879E-2</v>
      </c>
    </row>
    <row r="45" spans="1:79" ht="12.75" customHeight="1" x14ac:dyDescent="0.35">
      <c r="B45" s="42" t="s">
        <v>30</v>
      </c>
      <c r="C45" s="42"/>
      <c r="D45" s="58"/>
      <c r="E45" s="58"/>
      <c r="F45" s="58"/>
      <c r="G45" s="153">
        <f t="shared" ref="G45:AR45" si="30">G43/G25</f>
        <v>0.58681785967399003</v>
      </c>
      <c r="H45" s="153">
        <f t="shared" si="30"/>
        <v>0.59971765913757691</v>
      </c>
      <c r="I45" s="40">
        <f t="shared" si="30"/>
        <v>0.58581227984426876</v>
      </c>
      <c r="J45" s="153">
        <f t="shared" si="30"/>
        <v>0.56595411887382685</v>
      </c>
      <c r="K45" s="69">
        <f t="shared" si="30"/>
        <v>0.52867773325701206</v>
      </c>
      <c r="L45" s="69">
        <f t="shared" si="30"/>
        <v>0.57149859085896337</v>
      </c>
      <c r="M45" s="69">
        <f t="shared" si="30"/>
        <v>0.60717948717948733</v>
      </c>
      <c r="N45" s="40">
        <f t="shared" si="30"/>
        <v>0.5683951654020335</v>
      </c>
      <c r="O45" s="153">
        <f t="shared" si="30"/>
        <v>0.57139556377079492</v>
      </c>
      <c r="P45" s="69">
        <f t="shared" si="30"/>
        <v>0.54329593726173619</v>
      </c>
      <c r="Q45" s="69">
        <f t="shared" si="30"/>
        <v>0.57455982752425439</v>
      </c>
      <c r="R45" s="69">
        <f t="shared" si="30"/>
        <v>0.61531354659891457</v>
      </c>
      <c r="S45" s="40">
        <f t="shared" si="30"/>
        <v>0.57566365332185399</v>
      </c>
      <c r="T45" s="153">
        <f t="shared" si="30"/>
        <v>0.62737409631172658</v>
      </c>
      <c r="U45" s="69">
        <f t="shared" si="30"/>
        <v>0.55840241145440839</v>
      </c>
      <c r="V45" s="69">
        <f t="shared" si="30"/>
        <v>0.5685312397775597</v>
      </c>
      <c r="W45" s="69">
        <f t="shared" si="30"/>
        <v>1.5021759898099989</v>
      </c>
      <c r="X45" s="40">
        <f t="shared" si="30"/>
        <v>0.82328949558848008</v>
      </c>
      <c r="Y45" s="153">
        <f t="shared" si="30"/>
        <v>0.54194011484823623</v>
      </c>
      <c r="Z45" s="69">
        <f t="shared" si="30"/>
        <v>0.54012993503248385</v>
      </c>
      <c r="AA45" s="69">
        <f t="shared" si="30"/>
        <v>0.57804120801580583</v>
      </c>
      <c r="AB45" s="69">
        <f t="shared" si="30"/>
        <v>0.60060060060060072</v>
      </c>
      <c r="AC45" s="40">
        <f t="shared" si="30"/>
        <v>0.56689897956756496</v>
      </c>
      <c r="AD45" s="153">
        <f t="shared" si="30"/>
        <v>0.56439158604774997</v>
      </c>
      <c r="AE45" s="153">
        <f t="shared" si="30"/>
        <v>0.54557058973704375</v>
      </c>
      <c r="AF45" s="69">
        <f t="shared" si="30"/>
        <v>0.56809770540340476</v>
      </c>
      <c r="AG45" s="69">
        <f t="shared" si="30"/>
        <v>0.64475049523629857</v>
      </c>
      <c r="AH45" s="40">
        <f t="shared" si="30"/>
        <v>0.57948994980529855</v>
      </c>
      <c r="AI45" s="153">
        <f t="shared" si="30"/>
        <v>0.59574468085106391</v>
      </c>
      <c r="AJ45" s="153">
        <f t="shared" si="30"/>
        <v>0.60159854976928129</v>
      </c>
      <c r="AK45" s="69">
        <f t="shared" si="30"/>
        <v>0.5575977428456268</v>
      </c>
      <c r="AL45" s="69">
        <f t="shared" si="30"/>
        <v>0.59124087591240881</v>
      </c>
      <c r="AM45" s="40">
        <f t="shared" si="30"/>
        <v>0.58626687650128384</v>
      </c>
      <c r="AN45" s="153">
        <f t="shared" si="30"/>
        <v>0.54108527131782946</v>
      </c>
      <c r="AO45" s="153">
        <f t="shared" si="30"/>
        <v>0.50522648083623689</v>
      </c>
      <c r="AP45" s="69">
        <f t="shared" si="30"/>
        <v>0.52654867256637172</v>
      </c>
      <c r="AQ45" s="69">
        <f t="shared" si="30"/>
        <v>0.65581395348837213</v>
      </c>
      <c r="AR45" s="40">
        <f t="shared" si="30"/>
        <v>0.55539005771737104</v>
      </c>
      <c r="AS45" s="153">
        <f t="shared" ref="AS45:BQ45" si="31">AS43/AS25</f>
        <v>0.46687499999999998</v>
      </c>
      <c r="AT45" s="153">
        <f t="shared" si="31"/>
        <v>0.48422408242112042</v>
      </c>
      <c r="AU45" s="153">
        <f t="shared" si="31"/>
        <v>0.55701179554390567</v>
      </c>
      <c r="AV45" s="153">
        <f t="shared" si="31"/>
        <v>0.66601689408706954</v>
      </c>
      <c r="AW45" s="40">
        <f t="shared" si="31"/>
        <v>0.54261820521067872</v>
      </c>
      <c r="AX45" s="153">
        <f t="shared" si="31"/>
        <v>0.56898817345597896</v>
      </c>
      <c r="AY45" s="153">
        <f t="shared" si="31"/>
        <v>0.63215061549601737</v>
      </c>
      <c r="AZ45" s="153">
        <f t="shared" si="31"/>
        <v>0.67607843137254897</v>
      </c>
      <c r="BA45" s="69">
        <f t="shared" si="31"/>
        <v>0.76279069767441865</v>
      </c>
      <c r="BB45" s="40">
        <f t="shared" si="31"/>
        <v>0.65563277249451357</v>
      </c>
      <c r="BC45" s="153">
        <f t="shared" si="31"/>
        <v>0.62312925170068023</v>
      </c>
      <c r="BD45" s="153">
        <f t="shared" si="31"/>
        <v>0.63186077643908967</v>
      </c>
      <c r="BE45" s="153">
        <f>BE43/BE25</f>
        <v>0.63654891304347827</v>
      </c>
      <c r="BF45" s="69">
        <f t="shared" si="31"/>
        <v>0.66351351351351351</v>
      </c>
      <c r="BG45" s="40">
        <f t="shared" si="31"/>
        <v>0.63877620013522651</v>
      </c>
      <c r="BH45" s="153">
        <f>BH43/BH25</f>
        <v>0.55151175811870101</v>
      </c>
      <c r="BI45" s="153">
        <f>BI43/BI25</f>
        <v>0.57347275729224001</v>
      </c>
      <c r="BJ45" s="153">
        <f>BJ43/BJ25</f>
        <v>0.59293987865416442</v>
      </c>
      <c r="BK45" s="69">
        <f t="shared" si="31"/>
        <v>0.66447368421052633</v>
      </c>
      <c r="BL45" s="40">
        <f t="shared" si="31"/>
        <v>0.59438487584650113</v>
      </c>
      <c r="BM45" s="153">
        <f t="shared" si="31"/>
        <v>0.56029106029106024</v>
      </c>
      <c r="BN45" s="153">
        <f>BN43/BN25</f>
        <v>0.56902002107481564</v>
      </c>
      <c r="BO45" s="69">
        <f t="shared" si="31"/>
        <v>0.54062530816940768</v>
      </c>
      <c r="BP45" s="69">
        <f t="shared" si="31"/>
        <v>0.59277040829397398</v>
      </c>
      <c r="BQ45" s="40">
        <f t="shared" si="31"/>
        <v>0.56513537552970816</v>
      </c>
      <c r="BR45" s="153">
        <f t="shared" ref="BR45:CA45" si="32">BR43/BR25</f>
        <v>0.53883948412537486</v>
      </c>
      <c r="BS45" s="153">
        <f t="shared" si="32"/>
        <v>0.54854809989852105</v>
      </c>
      <c r="BT45" s="69">
        <f t="shared" si="32"/>
        <v>0.53982613877190555</v>
      </c>
      <c r="BU45" s="69">
        <f t="shared" si="32"/>
        <v>0.59073928511059282</v>
      </c>
      <c r="BV45" s="40">
        <f t="shared" si="32"/>
        <v>0.55393595462506451</v>
      </c>
      <c r="BW45" s="153">
        <f t="shared" si="32"/>
        <v>0.51960498980179171</v>
      </c>
      <c r="BX45" s="153">
        <f t="shared" si="32"/>
        <v>0.52708606228121169</v>
      </c>
      <c r="BY45" s="69">
        <f t="shared" si="32"/>
        <v>0.52098951658894188</v>
      </c>
      <c r="BZ45" s="69">
        <f t="shared" si="32"/>
        <v>0.57066730305992996</v>
      </c>
      <c r="CA45" s="40">
        <f t="shared" si="32"/>
        <v>0.53405665081893738</v>
      </c>
    </row>
    <row r="46" spans="1:79" ht="12.75" customHeight="1" x14ac:dyDescent="0.35">
      <c r="B46" s="42"/>
      <c r="C46" s="42"/>
      <c r="D46" s="58"/>
      <c r="E46" s="58"/>
      <c r="F46" s="58"/>
      <c r="G46" s="147"/>
      <c r="H46" s="147"/>
      <c r="I46" s="285"/>
      <c r="J46" s="147"/>
      <c r="K46" s="260"/>
      <c r="L46" s="260"/>
      <c r="M46" s="260"/>
      <c r="N46" s="261"/>
      <c r="O46" s="147"/>
      <c r="P46" s="260"/>
      <c r="Q46" s="260"/>
      <c r="R46" s="260"/>
      <c r="S46" s="261"/>
      <c r="T46" s="147"/>
      <c r="U46" s="260"/>
      <c r="V46" s="260"/>
      <c r="W46" s="260"/>
      <c r="X46" s="261"/>
      <c r="Y46" s="147"/>
      <c r="Z46" s="260"/>
      <c r="AA46" s="260"/>
      <c r="AB46" s="260"/>
      <c r="AC46" s="261"/>
      <c r="AD46" s="147"/>
      <c r="AE46" s="147"/>
      <c r="AF46" s="260"/>
      <c r="AG46" s="260"/>
      <c r="AH46" s="261"/>
      <c r="AI46" s="147"/>
      <c r="AJ46" s="147"/>
      <c r="AK46" s="260"/>
      <c r="AL46" s="260"/>
      <c r="AM46" s="261"/>
      <c r="AN46" s="147"/>
      <c r="AO46" s="147"/>
      <c r="AP46" s="260"/>
      <c r="AQ46" s="260"/>
      <c r="AR46" s="261"/>
      <c r="AS46" s="147"/>
      <c r="AT46" s="147"/>
      <c r="AU46" s="147"/>
      <c r="AV46" s="260"/>
      <c r="AW46" s="261"/>
      <c r="AX46" s="147"/>
      <c r="AY46" s="533"/>
      <c r="AZ46" s="533"/>
      <c r="BA46" s="533"/>
      <c r="BB46" s="261"/>
      <c r="BC46" s="147"/>
      <c r="BD46" s="147"/>
      <c r="BE46" s="260"/>
      <c r="BF46" s="260"/>
      <c r="BG46" s="261" t="s">
        <v>490</v>
      </c>
      <c r="BH46" s="147"/>
      <c r="BI46" s="147"/>
      <c r="BJ46" s="260"/>
      <c r="BK46" s="260"/>
      <c r="BL46" s="261"/>
      <c r="BM46" s="147"/>
      <c r="BN46" s="147"/>
      <c r="BO46" s="260"/>
      <c r="BP46" s="499"/>
      <c r="BQ46" s="261"/>
      <c r="BR46" s="147"/>
      <c r="BS46" s="147"/>
      <c r="BT46" s="260"/>
      <c r="BU46" s="260"/>
      <c r="BV46" s="261"/>
      <c r="BW46" s="147"/>
      <c r="BX46" s="147"/>
      <c r="BY46" s="260"/>
      <c r="BZ46" s="260"/>
      <c r="CA46" s="261"/>
    </row>
    <row r="47" spans="1:79" ht="12.75" customHeight="1" x14ac:dyDescent="0.35">
      <c r="B47" s="591" t="s">
        <v>132</v>
      </c>
      <c r="C47" s="591"/>
      <c r="D47" s="592"/>
      <c r="E47" s="592"/>
      <c r="F47" s="592"/>
      <c r="G47" s="593">
        <f t="shared" ref="G47:X47" si="33">G25-G43</f>
        <v>291.50000000000006</v>
      </c>
      <c r="H47" s="593">
        <f t="shared" si="33"/>
        <v>311.90000000000009</v>
      </c>
      <c r="I47" s="594">
        <f t="shared" si="33"/>
        <v>1228.75</v>
      </c>
      <c r="J47" s="593">
        <f t="shared" si="33"/>
        <v>333.00000000000006</v>
      </c>
      <c r="K47" s="595">
        <f t="shared" si="33"/>
        <v>411.7</v>
      </c>
      <c r="L47" s="595">
        <f t="shared" si="33"/>
        <v>349.70000000000005</v>
      </c>
      <c r="M47" s="595">
        <f t="shared" si="33"/>
        <v>344.69999999999982</v>
      </c>
      <c r="N47" s="596">
        <f t="shared" si="33"/>
        <v>1439.1</v>
      </c>
      <c r="O47" s="593">
        <f t="shared" si="33"/>
        <v>370.99999999999989</v>
      </c>
      <c r="P47" s="595">
        <f t="shared" si="33"/>
        <v>419.3</v>
      </c>
      <c r="Q47" s="595">
        <f t="shared" si="33"/>
        <v>355.20000000000005</v>
      </c>
      <c r="R47" s="595">
        <f t="shared" si="33"/>
        <v>333.09999999999991</v>
      </c>
      <c r="S47" s="596">
        <f t="shared" si="33"/>
        <v>1478.6</v>
      </c>
      <c r="T47" s="593">
        <f t="shared" si="33"/>
        <v>304.09999999999991</v>
      </c>
      <c r="U47" s="595">
        <f t="shared" si="33"/>
        <v>410.20000000000005</v>
      </c>
      <c r="V47" s="595">
        <f t="shared" si="33"/>
        <v>395.69999999999993</v>
      </c>
      <c r="W47" s="595">
        <f t="shared" si="33"/>
        <v>-473.09999999999991</v>
      </c>
      <c r="X47" s="596">
        <f t="shared" si="33"/>
        <v>636.90000000000009</v>
      </c>
      <c r="Y47" s="593">
        <f t="shared" ref="Y47:AR47" si="34">Y25-Y43</f>
        <v>446.70000000000005</v>
      </c>
      <c r="Z47" s="595">
        <f t="shared" si="34"/>
        <v>460.09999999999991</v>
      </c>
      <c r="AA47" s="595">
        <f t="shared" si="34"/>
        <v>448.5</v>
      </c>
      <c r="AB47" s="595">
        <f t="shared" si="34"/>
        <v>465.49999999999989</v>
      </c>
      <c r="AC47" s="596">
        <f t="shared" si="34"/>
        <v>1820.8000000000002</v>
      </c>
      <c r="AD47" s="593">
        <f t="shared" si="34"/>
        <v>490.80000000000007</v>
      </c>
      <c r="AE47" s="593">
        <f t="shared" si="34"/>
        <v>533.99999999999989</v>
      </c>
      <c r="AF47" s="595">
        <f t="shared" si="34"/>
        <v>466.80000000000007</v>
      </c>
      <c r="AG47" s="595">
        <f t="shared" si="34"/>
        <v>376.5999999999998</v>
      </c>
      <c r="AH47" s="596">
        <f t="shared" si="34"/>
        <v>1868.1999999999998</v>
      </c>
      <c r="AI47" s="593">
        <f t="shared" si="34"/>
        <v>461.69999999999982</v>
      </c>
      <c r="AJ47" s="593">
        <f t="shared" si="34"/>
        <v>483.50000000000023</v>
      </c>
      <c r="AK47" s="595">
        <f t="shared" si="34"/>
        <v>548.79999999999995</v>
      </c>
      <c r="AL47" s="595">
        <f t="shared" si="34"/>
        <v>504</v>
      </c>
      <c r="AM47" s="596">
        <f t="shared" si="34"/>
        <v>1998</v>
      </c>
      <c r="AN47" s="593">
        <f t="shared" si="34"/>
        <v>592</v>
      </c>
      <c r="AO47" s="593">
        <f t="shared" si="34"/>
        <v>710</v>
      </c>
      <c r="AP47" s="595">
        <f t="shared" si="34"/>
        <v>642</v>
      </c>
      <c r="AQ47" s="595">
        <f t="shared" si="34"/>
        <v>444</v>
      </c>
      <c r="AR47" s="596">
        <f t="shared" si="34"/>
        <v>2388</v>
      </c>
      <c r="AS47" s="593">
        <f t="shared" ref="AS47:BQ47" si="35">AS25-AS43</f>
        <v>853</v>
      </c>
      <c r="AT47" s="593">
        <f t="shared" si="35"/>
        <v>801</v>
      </c>
      <c r="AU47" s="593">
        <f t="shared" si="35"/>
        <v>676</v>
      </c>
      <c r="AV47" s="595">
        <f t="shared" si="35"/>
        <v>514</v>
      </c>
      <c r="AW47" s="596">
        <f t="shared" si="35"/>
        <v>2844</v>
      </c>
      <c r="AX47" s="593">
        <f t="shared" si="35"/>
        <v>656</v>
      </c>
      <c r="AY47" s="593">
        <f t="shared" si="35"/>
        <v>508</v>
      </c>
      <c r="AZ47" s="595">
        <f t="shared" si="35"/>
        <v>413</v>
      </c>
      <c r="BA47" s="595">
        <f t="shared" si="35"/>
        <v>306</v>
      </c>
      <c r="BB47" s="596">
        <f t="shared" si="35"/>
        <v>1883</v>
      </c>
      <c r="BC47" s="593">
        <f t="shared" si="35"/>
        <v>554</v>
      </c>
      <c r="BD47" s="593">
        <f t="shared" si="35"/>
        <v>550</v>
      </c>
      <c r="BE47" s="593">
        <f t="shared" si="35"/>
        <v>535</v>
      </c>
      <c r="BF47" s="595">
        <f t="shared" si="35"/>
        <v>498</v>
      </c>
      <c r="BG47" s="596">
        <f t="shared" si="35"/>
        <v>2137</v>
      </c>
      <c r="BH47" s="593">
        <f t="shared" si="35"/>
        <v>801</v>
      </c>
      <c r="BI47" s="593">
        <f t="shared" si="35"/>
        <v>775</v>
      </c>
      <c r="BJ47" s="593">
        <f>BJ25-BJ43</f>
        <v>738</v>
      </c>
      <c r="BK47" s="595">
        <f t="shared" si="35"/>
        <v>561</v>
      </c>
      <c r="BL47" s="596">
        <f t="shared" si="35"/>
        <v>2875</v>
      </c>
      <c r="BM47" s="593">
        <f t="shared" si="35"/>
        <v>846</v>
      </c>
      <c r="BN47" s="593">
        <f t="shared" si="35"/>
        <v>818</v>
      </c>
      <c r="BO47" s="595">
        <f t="shared" si="35"/>
        <v>920.78441354599408</v>
      </c>
      <c r="BP47" s="595">
        <f t="shared" si="35"/>
        <v>752.65723422285191</v>
      </c>
      <c r="BQ47" s="596">
        <f t="shared" si="35"/>
        <v>3337.4416477688465</v>
      </c>
      <c r="BR47" s="593">
        <f t="shared" ref="BR47:CA47" si="36">BR25-BR43</f>
        <v>971.71149493920234</v>
      </c>
      <c r="BS47" s="593">
        <f t="shared" si="36"/>
        <v>928.09508699708294</v>
      </c>
      <c r="BT47" s="595">
        <f t="shared" si="36"/>
        <v>992.78629413417457</v>
      </c>
      <c r="BU47" s="595">
        <f t="shared" si="36"/>
        <v>815.41010987154846</v>
      </c>
      <c r="BV47" s="596">
        <f t="shared" si="36"/>
        <v>3708.0029859420065</v>
      </c>
      <c r="BW47" s="593">
        <f t="shared" si="36"/>
        <v>1089.3184247553229</v>
      </c>
      <c r="BX47" s="593">
        <f t="shared" si="36"/>
        <v>1046.0959385819299</v>
      </c>
      <c r="BY47" s="595">
        <f t="shared" si="36"/>
        <v>1112.1786546385513</v>
      </c>
      <c r="BZ47" s="595">
        <f t="shared" si="36"/>
        <v>920.90307169744756</v>
      </c>
      <c r="CA47" s="596">
        <f t="shared" si="36"/>
        <v>4168.4960896732509</v>
      </c>
    </row>
    <row r="48" spans="1:79" ht="12.75" customHeight="1" x14ac:dyDescent="0.35">
      <c r="B48" s="42" t="s">
        <v>56</v>
      </c>
      <c r="C48" s="124"/>
      <c r="D48" s="125"/>
      <c r="E48" s="125"/>
      <c r="F48" s="125"/>
      <c r="G48" s="153" t="str">
        <f t="shared" ref="G48:X48" si="37">IFERROR(G47/B47-1, "NA")</f>
        <v>NA</v>
      </c>
      <c r="H48" s="153" t="str">
        <f t="shared" si="37"/>
        <v>NA</v>
      </c>
      <c r="I48" s="282" t="str">
        <f t="shared" si="37"/>
        <v>NA</v>
      </c>
      <c r="J48" s="153" t="str">
        <f t="shared" si="37"/>
        <v>NA</v>
      </c>
      <c r="K48" s="153" t="str">
        <f t="shared" si="37"/>
        <v>NA</v>
      </c>
      <c r="L48" s="153">
        <f t="shared" si="37"/>
        <v>0.19965694682675816</v>
      </c>
      <c r="M48" s="153">
        <f t="shared" si="37"/>
        <v>0.10516191086886728</v>
      </c>
      <c r="N48" s="184">
        <f t="shared" si="37"/>
        <v>0.17119023397761945</v>
      </c>
      <c r="O48" s="153">
        <f t="shared" si="37"/>
        <v>0.11411411411411354</v>
      </c>
      <c r="P48" s="153">
        <f t="shared" si="37"/>
        <v>1.8460043721156172E-2</v>
      </c>
      <c r="Q48" s="153">
        <f t="shared" si="37"/>
        <v>1.5727766657134712E-2</v>
      </c>
      <c r="R48" s="153">
        <f t="shared" si="37"/>
        <v>-3.3652451407020334E-2</v>
      </c>
      <c r="S48" s="184">
        <f t="shared" si="37"/>
        <v>2.7447710374539636E-2</v>
      </c>
      <c r="T48" s="153">
        <f t="shared" si="37"/>
        <v>-0.18032345013477091</v>
      </c>
      <c r="U48" s="153">
        <f t="shared" si="37"/>
        <v>-2.1702838063438978E-2</v>
      </c>
      <c r="V48" s="153">
        <f t="shared" si="37"/>
        <v>0.11402027027026995</v>
      </c>
      <c r="W48" s="153">
        <f t="shared" si="37"/>
        <v>-2.420294205944161</v>
      </c>
      <c r="X48" s="184">
        <f t="shared" si="37"/>
        <v>-0.56925470039226278</v>
      </c>
      <c r="Y48" s="153">
        <f t="shared" ref="Y48:AR48" si="38">IFERROR(Y47/T47-1, "NA")</f>
        <v>0.46892469582374274</v>
      </c>
      <c r="Z48" s="153">
        <f t="shared" si="38"/>
        <v>0.12164797659678173</v>
      </c>
      <c r="AA48" s="153">
        <f t="shared" si="38"/>
        <v>0.13343442001516315</v>
      </c>
      <c r="AB48" s="153">
        <f t="shared" si="38"/>
        <v>-1.9839357429718874</v>
      </c>
      <c r="AC48" s="184">
        <f t="shared" si="38"/>
        <v>1.8588475427853663</v>
      </c>
      <c r="AD48" s="153">
        <f t="shared" si="38"/>
        <v>9.8723975822699872E-2</v>
      </c>
      <c r="AE48" s="153">
        <f t="shared" si="38"/>
        <v>0.16061725711801778</v>
      </c>
      <c r="AF48" s="153">
        <f t="shared" si="38"/>
        <v>4.0802675585284387E-2</v>
      </c>
      <c r="AG48" s="153">
        <f t="shared" si="38"/>
        <v>-0.1909774436090228</v>
      </c>
      <c r="AH48" s="184">
        <f t="shared" si="38"/>
        <v>2.6032513181019068E-2</v>
      </c>
      <c r="AI48" s="153">
        <f t="shared" si="38"/>
        <v>-5.9290953545232727E-2</v>
      </c>
      <c r="AJ48" s="153">
        <f t="shared" si="38"/>
        <v>-9.4569288389512507E-2</v>
      </c>
      <c r="AK48" s="153">
        <f t="shared" si="38"/>
        <v>0.17566409597257904</v>
      </c>
      <c r="AL48" s="153">
        <f t="shared" si="38"/>
        <v>0.33828996282527957</v>
      </c>
      <c r="AM48" s="184">
        <f t="shared" si="38"/>
        <v>6.9478642543624902E-2</v>
      </c>
      <c r="AN48" s="153">
        <f t="shared" si="38"/>
        <v>0.28221789040502543</v>
      </c>
      <c r="AO48" s="153">
        <f t="shared" si="38"/>
        <v>0.46845915201654531</v>
      </c>
      <c r="AP48" s="153">
        <f t="shared" si="38"/>
        <v>0.16982507288629756</v>
      </c>
      <c r="AQ48" s="153">
        <f t="shared" si="38"/>
        <v>-0.11904761904761907</v>
      </c>
      <c r="AR48" s="184">
        <f t="shared" si="38"/>
        <v>0.19519519519519513</v>
      </c>
      <c r="AS48" s="153">
        <f t="shared" ref="AS48:BQ48" si="39">IFERROR(AS47/AN47-1, "NA")</f>
        <v>0.44087837837837829</v>
      </c>
      <c r="AT48" s="153">
        <f t="shared" si="39"/>
        <v>0.12816901408450709</v>
      </c>
      <c r="AU48" s="153">
        <f t="shared" si="39"/>
        <v>5.2959501557632294E-2</v>
      </c>
      <c r="AV48" s="153">
        <f t="shared" si="39"/>
        <v>0.1576576576576576</v>
      </c>
      <c r="AW48" s="184">
        <f t="shared" si="39"/>
        <v>0.19095477386934667</v>
      </c>
      <c r="AX48" s="153">
        <f t="shared" si="39"/>
        <v>-0.23094958968347012</v>
      </c>
      <c r="AY48" s="153">
        <f t="shared" si="39"/>
        <v>-0.36579275905118602</v>
      </c>
      <c r="AZ48" s="153">
        <f t="shared" si="39"/>
        <v>-0.38905325443786987</v>
      </c>
      <c r="BA48" s="153">
        <f t="shared" si="39"/>
        <v>-0.40466926070038911</v>
      </c>
      <c r="BB48" s="184">
        <f t="shared" si="39"/>
        <v>-0.33790436005625879</v>
      </c>
      <c r="BC48" s="153">
        <f t="shared" si="39"/>
        <v>-0.15548780487804881</v>
      </c>
      <c r="BD48" s="153">
        <f t="shared" si="39"/>
        <v>8.2677165354330784E-2</v>
      </c>
      <c r="BE48" s="153">
        <f t="shared" si="39"/>
        <v>0.29539951573849876</v>
      </c>
      <c r="BF48" s="153">
        <f t="shared" si="39"/>
        <v>0.62745098039215685</v>
      </c>
      <c r="BG48" s="184">
        <f t="shared" si="39"/>
        <v>0.13489113117365914</v>
      </c>
      <c r="BH48" s="153">
        <f t="shared" si="39"/>
        <v>0.44584837545126343</v>
      </c>
      <c r="BI48" s="153">
        <f>IFERROR(BI47/BD47-1, "NA")</f>
        <v>0.40909090909090917</v>
      </c>
      <c r="BJ48" s="153">
        <f>IFERROR(BJ47/BE47-1, "NA")</f>
        <v>0.37943925233644871</v>
      </c>
      <c r="BK48" s="153">
        <f t="shared" si="39"/>
        <v>0.12650602409638556</v>
      </c>
      <c r="BL48" s="184">
        <f t="shared" si="39"/>
        <v>0.34534394010294811</v>
      </c>
      <c r="BM48" s="153">
        <f t="shared" si="39"/>
        <v>5.6179775280898792E-2</v>
      </c>
      <c r="BN48" s="153">
        <f t="shared" si="39"/>
        <v>5.5483870967741877E-2</v>
      </c>
      <c r="BO48" s="153">
        <f t="shared" si="39"/>
        <v>0.24767535710839317</v>
      </c>
      <c r="BP48" s="153">
        <f t="shared" si="39"/>
        <v>0.34163499861470936</v>
      </c>
      <c r="BQ48" s="184">
        <f t="shared" si="39"/>
        <v>0.16084926878916406</v>
      </c>
      <c r="BR48" s="153">
        <f t="shared" ref="BR48:CA48" si="40">IFERROR(BR47/BM47-1, "NA")</f>
        <v>0.14859514768227222</v>
      </c>
      <c r="BS48" s="153">
        <f t="shared" si="40"/>
        <v>0.13459057090107929</v>
      </c>
      <c r="BT48" s="153">
        <f t="shared" si="40"/>
        <v>7.8196241735779548E-2</v>
      </c>
      <c r="BU48" s="153">
        <f t="shared" si="40"/>
        <v>8.3375104623144125E-2</v>
      </c>
      <c r="BV48" s="184">
        <f t="shared" si="40"/>
        <v>0.11103155568903755</v>
      </c>
      <c r="BW48" s="153">
        <f t="shared" si="40"/>
        <v>0.12103070760059187</v>
      </c>
      <c r="BX48" s="153">
        <f t="shared" si="40"/>
        <v>0.12714306242763018</v>
      </c>
      <c r="BY48" s="153">
        <f t="shared" si="40"/>
        <v>0.12025987990547438</v>
      </c>
      <c r="BZ48" s="153">
        <f t="shared" si="40"/>
        <v>0.12937411561222545</v>
      </c>
      <c r="CA48" s="184">
        <f t="shared" si="40"/>
        <v>0.1241889786704844</v>
      </c>
    </row>
    <row r="49" spans="1:79" ht="12.75" customHeight="1" x14ac:dyDescent="0.35">
      <c r="B49" s="42" t="s">
        <v>31</v>
      </c>
      <c r="C49" s="124"/>
      <c r="D49" s="125"/>
      <c r="E49" s="125"/>
      <c r="F49" s="125"/>
      <c r="G49" s="153">
        <f t="shared" ref="G49:X49" si="41">IFERROR(G47/G25,"NA")</f>
        <v>0.41318214032601003</v>
      </c>
      <c r="H49" s="153">
        <f t="shared" si="41"/>
        <v>0.40028234086242309</v>
      </c>
      <c r="I49" s="282">
        <f t="shared" si="41"/>
        <v>0.41418772015573119</v>
      </c>
      <c r="J49" s="153">
        <f t="shared" si="41"/>
        <v>0.43404588112617315</v>
      </c>
      <c r="K49" s="153">
        <f t="shared" si="41"/>
        <v>0.47132226674298794</v>
      </c>
      <c r="L49" s="153">
        <f t="shared" si="41"/>
        <v>0.42850140914103668</v>
      </c>
      <c r="M49" s="153">
        <f t="shared" si="41"/>
        <v>0.39282051282051267</v>
      </c>
      <c r="N49" s="184">
        <f t="shared" si="41"/>
        <v>0.43160483459796656</v>
      </c>
      <c r="O49" s="153">
        <f t="shared" si="41"/>
        <v>0.42860443622920508</v>
      </c>
      <c r="P49" s="153">
        <f t="shared" si="41"/>
        <v>0.45670406273826381</v>
      </c>
      <c r="Q49" s="153">
        <f t="shared" si="41"/>
        <v>0.42544017247574561</v>
      </c>
      <c r="R49" s="153">
        <f t="shared" si="41"/>
        <v>0.38468645340108548</v>
      </c>
      <c r="S49" s="184">
        <f t="shared" si="41"/>
        <v>0.42433634667814607</v>
      </c>
      <c r="T49" s="153">
        <f t="shared" si="41"/>
        <v>0.37262590368827336</v>
      </c>
      <c r="U49" s="153">
        <f t="shared" si="41"/>
        <v>0.44159758854559156</v>
      </c>
      <c r="V49" s="153">
        <f t="shared" si="41"/>
        <v>0.4314687602224403</v>
      </c>
      <c r="W49" s="153">
        <f t="shared" si="41"/>
        <v>-0.50217598980999889</v>
      </c>
      <c r="X49" s="184">
        <f t="shared" si="41"/>
        <v>0.17671050441151989</v>
      </c>
      <c r="Y49" s="153">
        <f t="shared" ref="Y49:AL49" si="42">IFERROR(Y47/Y25,"NA")</f>
        <v>0.45805988515176377</v>
      </c>
      <c r="Z49" s="153">
        <f t="shared" si="42"/>
        <v>0.45987006496751615</v>
      </c>
      <c r="AA49" s="153">
        <f t="shared" si="42"/>
        <v>0.42195879198419417</v>
      </c>
      <c r="AB49" s="153">
        <f t="shared" si="42"/>
        <v>0.39939939939939928</v>
      </c>
      <c r="AC49" s="184">
        <f t="shared" si="42"/>
        <v>0.43310102043243504</v>
      </c>
      <c r="AD49" s="153">
        <f t="shared" si="42"/>
        <v>0.43560841395224997</v>
      </c>
      <c r="AE49" s="153">
        <f t="shared" si="42"/>
        <v>0.4544294102629563</v>
      </c>
      <c r="AF49" s="153">
        <f t="shared" si="42"/>
        <v>0.43190229459659518</v>
      </c>
      <c r="AG49" s="153">
        <f t="shared" si="42"/>
        <v>0.35524950476370137</v>
      </c>
      <c r="AH49" s="184">
        <f t="shared" si="42"/>
        <v>0.42051005019470139</v>
      </c>
      <c r="AI49" s="153">
        <f t="shared" si="42"/>
        <v>0.40425531914893603</v>
      </c>
      <c r="AJ49" s="153">
        <f t="shared" si="42"/>
        <v>0.39840145023071866</v>
      </c>
      <c r="AK49" s="153">
        <f t="shared" si="42"/>
        <v>0.4424022571543732</v>
      </c>
      <c r="AL49" s="153">
        <f t="shared" si="42"/>
        <v>0.40875912408759124</v>
      </c>
      <c r="AM49" s="184">
        <f t="shared" ref="AM49:AR49" si="43">IFERROR(AM47/AM25,"NA")</f>
        <v>0.41373312349871616</v>
      </c>
      <c r="AN49" s="153">
        <f t="shared" si="43"/>
        <v>0.45891472868217054</v>
      </c>
      <c r="AO49" s="153">
        <f t="shared" si="43"/>
        <v>0.49477351916376305</v>
      </c>
      <c r="AP49" s="153">
        <f t="shared" si="43"/>
        <v>0.47345132743362833</v>
      </c>
      <c r="AQ49" s="153">
        <f t="shared" si="43"/>
        <v>0.34418604651162793</v>
      </c>
      <c r="AR49" s="184">
        <f t="shared" si="43"/>
        <v>0.44460994228262896</v>
      </c>
      <c r="AS49" s="153">
        <f t="shared" ref="AS49:BQ49" si="44">IFERROR(AS47/AS25,"NA")</f>
        <v>0.53312499999999996</v>
      </c>
      <c r="AT49" s="153">
        <f t="shared" si="44"/>
        <v>0.51577591757887964</v>
      </c>
      <c r="AU49" s="153">
        <f t="shared" si="44"/>
        <v>0.44298820445609438</v>
      </c>
      <c r="AV49" s="153">
        <f t="shared" si="44"/>
        <v>0.33398310591293046</v>
      </c>
      <c r="AW49" s="184">
        <f t="shared" si="44"/>
        <v>0.45738179478932134</v>
      </c>
      <c r="AX49" s="153">
        <f t="shared" si="44"/>
        <v>0.43101182654402104</v>
      </c>
      <c r="AY49" s="153">
        <f t="shared" si="44"/>
        <v>0.36784938450398263</v>
      </c>
      <c r="AZ49" s="153">
        <f t="shared" si="44"/>
        <v>0.32392156862745097</v>
      </c>
      <c r="BA49" s="153">
        <f t="shared" si="44"/>
        <v>0.23720930232558141</v>
      </c>
      <c r="BB49" s="184">
        <f t="shared" si="44"/>
        <v>0.34436722750548648</v>
      </c>
      <c r="BC49" s="153">
        <f t="shared" si="44"/>
        <v>0.37687074829931971</v>
      </c>
      <c r="BD49" s="153">
        <f t="shared" si="44"/>
        <v>0.36813922356091033</v>
      </c>
      <c r="BE49" s="153">
        <f t="shared" si="44"/>
        <v>0.36345108695652173</v>
      </c>
      <c r="BF49" s="153">
        <f>IFERROR(BF47/BF25,"NA")</f>
        <v>0.33648648648648649</v>
      </c>
      <c r="BG49" s="184">
        <f t="shared" si="44"/>
        <v>0.36122379986477349</v>
      </c>
      <c r="BH49" s="153">
        <f t="shared" si="44"/>
        <v>0.44848824188129899</v>
      </c>
      <c r="BI49" s="153">
        <f>IFERROR(BI47/BI25,"NA")</f>
        <v>0.42652724270776005</v>
      </c>
      <c r="BJ49" s="153">
        <f>IFERROR(BJ47/BJ25,"NA")</f>
        <v>0.40706012134583563</v>
      </c>
      <c r="BK49" s="153">
        <f t="shared" si="44"/>
        <v>0.33552631578947367</v>
      </c>
      <c r="BL49" s="184">
        <f t="shared" si="44"/>
        <v>0.40561512415349887</v>
      </c>
      <c r="BM49" s="153">
        <f t="shared" si="44"/>
        <v>0.43970893970893971</v>
      </c>
      <c r="BN49" s="153">
        <f t="shared" si="44"/>
        <v>0.43097997892518441</v>
      </c>
      <c r="BO49" s="153">
        <f t="shared" si="44"/>
        <v>0.45937469183059226</v>
      </c>
      <c r="BP49" s="153">
        <f t="shared" si="44"/>
        <v>0.40722959170602596</v>
      </c>
      <c r="BQ49" s="184">
        <f t="shared" si="44"/>
        <v>0.43486462447029189</v>
      </c>
      <c r="BR49" s="153">
        <f t="shared" ref="BR49:CA49" si="45">IFERROR(BR47/BR25,"NA")</f>
        <v>0.46116051587462514</v>
      </c>
      <c r="BS49" s="153">
        <f t="shared" si="45"/>
        <v>0.45145190010147901</v>
      </c>
      <c r="BT49" s="153">
        <f t="shared" si="45"/>
        <v>0.46017386122809445</v>
      </c>
      <c r="BU49" s="153">
        <f t="shared" si="45"/>
        <v>0.40926071488940713</v>
      </c>
      <c r="BV49" s="184">
        <f t="shared" si="45"/>
        <v>0.44606404537493555</v>
      </c>
      <c r="BW49" s="153">
        <f t="shared" si="45"/>
        <v>0.48039501019820829</v>
      </c>
      <c r="BX49" s="153">
        <f t="shared" si="45"/>
        <v>0.47291393771878826</v>
      </c>
      <c r="BY49" s="153">
        <f t="shared" si="45"/>
        <v>0.47901048341105812</v>
      </c>
      <c r="BZ49" s="153">
        <f t="shared" si="45"/>
        <v>0.42933269694007004</v>
      </c>
      <c r="CA49" s="184">
        <f t="shared" si="45"/>
        <v>0.46594334918106256</v>
      </c>
    </row>
    <row r="50" spans="1:79" ht="12.75" customHeight="1" x14ac:dyDescent="0.35">
      <c r="B50" s="42" t="s">
        <v>60</v>
      </c>
      <c r="C50" s="124"/>
      <c r="D50" s="125"/>
      <c r="E50" s="125"/>
      <c r="F50" s="125"/>
      <c r="G50" s="148"/>
      <c r="H50" s="148"/>
      <c r="I50" s="283">
        <f t="shared" ref="I50:X50" si="46">IFERROR((I49-D49)*10000,"NA")</f>
        <v>4141.8772015573122</v>
      </c>
      <c r="J50" s="385">
        <f t="shared" si="46"/>
        <v>4340.4588112617312</v>
      </c>
      <c r="K50" s="385">
        <f t="shared" si="46"/>
        <v>4713.222667429879</v>
      </c>
      <c r="L50" s="385">
        <f t="shared" si="46"/>
        <v>153.19268815026655</v>
      </c>
      <c r="M50" s="385">
        <f t="shared" si="46"/>
        <v>-74.618280419104238</v>
      </c>
      <c r="N50" s="386">
        <f t="shared" si="46"/>
        <v>174.17114442235371</v>
      </c>
      <c r="O50" s="385">
        <f t="shared" si="46"/>
        <v>-54.414448969680727</v>
      </c>
      <c r="P50" s="385">
        <f t="shared" si="46"/>
        <v>-146.18204004724134</v>
      </c>
      <c r="Q50" s="385">
        <f t="shared" si="46"/>
        <v>-30.612366652910673</v>
      </c>
      <c r="R50" s="385">
        <f t="shared" si="46"/>
        <v>-81.340594194271858</v>
      </c>
      <c r="S50" s="386">
        <f t="shared" si="46"/>
        <v>-72.684879198204882</v>
      </c>
      <c r="T50" s="385">
        <f t="shared" si="46"/>
        <v>-559.78532540931712</v>
      </c>
      <c r="U50" s="385">
        <f t="shared" si="46"/>
        <v>-151.06474192672249</v>
      </c>
      <c r="V50" s="385">
        <f t="shared" si="46"/>
        <v>60.2858774669468</v>
      </c>
      <c r="W50" s="385">
        <f t="shared" si="46"/>
        <v>-8868.6244321108425</v>
      </c>
      <c r="X50" s="386">
        <f t="shared" si="46"/>
        <v>-2476.2584226662616</v>
      </c>
      <c r="Y50" s="385">
        <f t="shared" ref="Y50:AR50" si="47">IFERROR((Y49-T49)*10000,"NA")</f>
        <v>854.33981463490409</v>
      </c>
      <c r="Z50" s="385">
        <f t="shared" si="47"/>
        <v>182.72476421924588</v>
      </c>
      <c r="AA50" s="385">
        <f t="shared" si="47"/>
        <v>-95.099682382461253</v>
      </c>
      <c r="AB50" s="385">
        <f t="shared" si="47"/>
        <v>9015.7538920939824</v>
      </c>
      <c r="AC50" s="386">
        <f t="shared" si="47"/>
        <v>2563.9051602091513</v>
      </c>
      <c r="AD50" s="385">
        <f t="shared" si="47"/>
        <v>-224.51471199513796</v>
      </c>
      <c r="AE50" s="385">
        <f t="shared" si="47"/>
        <v>-54.406547045598444</v>
      </c>
      <c r="AF50" s="385">
        <f t="shared" si="47"/>
        <v>99.435026124010122</v>
      </c>
      <c r="AG50" s="385">
        <f t="shared" si="47"/>
        <v>-441.49894635697905</v>
      </c>
      <c r="AH50" s="386">
        <f t="shared" si="47"/>
        <v>-125.90970237733646</v>
      </c>
      <c r="AI50" s="385">
        <f t="shared" si="47"/>
        <v>-313.5309480331394</v>
      </c>
      <c r="AJ50" s="385">
        <f t="shared" si="47"/>
        <v>-560.2796003223765</v>
      </c>
      <c r="AK50" s="385">
        <f t="shared" si="47"/>
        <v>104.99962557778019</v>
      </c>
      <c r="AL50" s="385">
        <f t="shared" si="47"/>
        <v>535.09619323889865</v>
      </c>
      <c r="AM50" s="386">
        <f t="shared" si="47"/>
        <v>-67.769266959852303</v>
      </c>
      <c r="AN50" s="385">
        <f t="shared" si="47"/>
        <v>546.59409533234509</v>
      </c>
      <c r="AO50" s="385">
        <f t="shared" si="47"/>
        <v>963.72068933044397</v>
      </c>
      <c r="AP50" s="385">
        <f t="shared" si="47"/>
        <v>310.4907027925513</v>
      </c>
      <c r="AQ50" s="385">
        <f t="shared" si="47"/>
        <v>-645.73077575963316</v>
      </c>
      <c r="AR50" s="386">
        <f t="shared" si="47"/>
        <v>308.76818783912796</v>
      </c>
      <c r="AS50" s="385">
        <f t="shared" ref="AS50:BQ50" si="48">IFERROR((AS49-AN49)*10000,"NA")</f>
        <v>742.10271317829427</v>
      </c>
      <c r="AT50" s="385">
        <f t="shared" si="48"/>
        <v>210.02398415116585</v>
      </c>
      <c r="AU50" s="385">
        <f t="shared" si="48"/>
        <v>-304.63122977533953</v>
      </c>
      <c r="AV50" s="385">
        <f t="shared" si="48"/>
        <v>-102.02940598697474</v>
      </c>
      <c r="AW50" s="386">
        <f t="shared" si="48"/>
        <v>127.71852506692383</v>
      </c>
      <c r="AX50" s="385">
        <f t="shared" si="48"/>
        <v>-1021.1317345597893</v>
      </c>
      <c r="AY50" s="385">
        <f t="shared" si="48"/>
        <v>-1479.26533074897</v>
      </c>
      <c r="AZ50" s="385">
        <f t="shared" si="48"/>
        <v>-1190.6663582864342</v>
      </c>
      <c r="BA50" s="385">
        <f t="shared" si="48"/>
        <v>-967.7380358734905</v>
      </c>
      <c r="BB50" s="386">
        <f t="shared" si="48"/>
        <v>-1130.1456728383484</v>
      </c>
      <c r="BC50" s="385">
        <f t="shared" si="48"/>
        <v>-541.41078244701328</v>
      </c>
      <c r="BD50" s="385">
        <f t="shared" si="48"/>
        <v>2.8983905692769873</v>
      </c>
      <c r="BE50" s="385">
        <f t="shared" si="48"/>
        <v>395.29518329070754</v>
      </c>
      <c r="BF50" s="385">
        <f t="shared" si="48"/>
        <v>992.77184160905085</v>
      </c>
      <c r="BG50" s="386">
        <f t="shared" si="48"/>
        <v>168.56572359287003</v>
      </c>
      <c r="BH50" s="385">
        <f t="shared" si="48"/>
        <v>716.17493581979272</v>
      </c>
      <c r="BI50" s="385">
        <f>IFERROR((BI49-BD49)*10000,"NA")</f>
        <v>583.88019146849717</v>
      </c>
      <c r="BJ50" s="385">
        <f>IFERROR((BJ49-BE49)*10000,"NA")</f>
        <v>436.09034389313905</v>
      </c>
      <c r="BK50" s="385">
        <f t="shared" si="48"/>
        <v>-9.6017069701281876</v>
      </c>
      <c r="BL50" s="386">
        <f t="shared" si="48"/>
        <v>443.91324288725389</v>
      </c>
      <c r="BM50" s="385">
        <f t="shared" si="48"/>
        <v>-87.79302172359283</v>
      </c>
      <c r="BN50" s="385">
        <f t="shared" si="48"/>
        <v>44.527362174243692</v>
      </c>
      <c r="BO50" s="385">
        <f t="shared" si="48"/>
        <v>523.14570484756632</v>
      </c>
      <c r="BP50" s="385">
        <f t="shared" si="48"/>
        <v>717.03275916552286</v>
      </c>
      <c r="BQ50" s="386">
        <f t="shared" si="48"/>
        <v>292.49500316793018</v>
      </c>
      <c r="BR50" s="385">
        <f t="shared" ref="BR50:CA50" si="49">IFERROR((BR49-BM49)*10000,"NA")</f>
        <v>214.51576165685438</v>
      </c>
      <c r="BS50" s="385">
        <f t="shared" si="49"/>
        <v>204.71921176294595</v>
      </c>
      <c r="BT50" s="385">
        <f t="shared" si="49"/>
        <v>7.991693975021863</v>
      </c>
      <c r="BU50" s="385">
        <f t="shared" si="49"/>
        <v>20.311231833811672</v>
      </c>
      <c r="BV50" s="386">
        <f t="shared" si="49"/>
        <v>111.99420904643654</v>
      </c>
      <c r="BW50" s="385">
        <f t="shared" si="49"/>
        <v>192.34494323583152</v>
      </c>
      <c r="BX50" s="385">
        <f t="shared" si="49"/>
        <v>214.6203761730925</v>
      </c>
      <c r="BY50" s="385">
        <f t="shared" si="49"/>
        <v>188.36622182963669</v>
      </c>
      <c r="BZ50" s="385">
        <f t="shared" si="49"/>
        <v>200.71982050662908</v>
      </c>
      <c r="CA50" s="386">
        <f t="shared" si="49"/>
        <v>198.79303806127012</v>
      </c>
    </row>
    <row r="51" spans="1:79" ht="12.75" customHeight="1" x14ac:dyDescent="0.35">
      <c r="B51" s="42" t="s">
        <v>61</v>
      </c>
      <c r="C51" s="124"/>
      <c r="D51" s="125"/>
      <c r="E51" s="125"/>
      <c r="F51" s="125"/>
      <c r="G51" s="367"/>
      <c r="H51" s="367"/>
      <c r="I51" s="284">
        <f>IFERROR((I49-H49)*10000,"NA")</f>
        <v>139.05379293308096</v>
      </c>
      <c r="J51" s="387">
        <f>IFERROR((J49-H49)*10000,"NA")</f>
        <v>337.63540263750059</v>
      </c>
      <c r="K51" s="387">
        <f>IFERROR((K49-J49)*10000,"NA")</f>
        <v>372.76385616814787</v>
      </c>
      <c r="L51" s="387">
        <f>IFERROR((L49-K49)*10000,"NA")</f>
        <v>-428.20857601951258</v>
      </c>
      <c r="M51" s="387">
        <f>IFERROR((M49-L49)*10000,"NA")</f>
        <v>-356.80896320524016</v>
      </c>
      <c r="N51" s="368"/>
      <c r="O51" s="387">
        <f>IFERROR((O49-M49)*10000,"NA")</f>
        <v>357.83923408692408</v>
      </c>
      <c r="P51" s="387">
        <f>IFERROR((P49-O49)*10000,"NA")</f>
        <v>280.99626509058726</v>
      </c>
      <c r="Q51" s="387">
        <f>IFERROR((Q49-P49)*10000,"NA")</f>
        <v>-312.63890262518191</v>
      </c>
      <c r="R51" s="387">
        <f>IFERROR((R49-Q49)*10000,"NA")</f>
        <v>-407.53719074660131</v>
      </c>
      <c r="S51" s="368"/>
      <c r="T51" s="387">
        <f>IFERROR((T49-R49)*10000,"NA")</f>
        <v>-120.60549712812119</v>
      </c>
      <c r="U51" s="387">
        <f>IFERROR((U49-T49)*10000,"NA")</f>
        <v>689.71684857318189</v>
      </c>
      <c r="V51" s="387">
        <f>IFERROR((V49-U49)*10000,"NA")</f>
        <v>-101.28828323151262</v>
      </c>
      <c r="W51" s="387">
        <f>IFERROR((W49-V49)*10000,"NA")</f>
        <v>-9336.4475003243915</v>
      </c>
      <c r="X51" s="368"/>
      <c r="Y51" s="387">
        <f>IFERROR((Y49-W49)*10000,"NA")</f>
        <v>9602.358749617626</v>
      </c>
      <c r="Z51" s="387">
        <f>IFERROR((Z49-Y49)*10000,"NA")</f>
        <v>18.101798157523774</v>
      </c>
      <c r="AA51" s="387">
        <f>IFERROR((AA49-Z49)*10000,"NA")</f>
        <v>-379.11272983321976</v>
      </c>
      <c r="AB51" s="387">
        <f>IFERROR((AB49-AA49)*10000,"NA")</f>
        <v>-225.5939258479489</v>
      </c>
      <c r="AC51" s="368"/>
      <c r="AD51" s="387">
        <f>IFERROR((AD49-AB49)*10000,"NA")</f>
        <v>362.09014552850692</v>
      </c>
      <c r="AE51" s="387">
        <f>IFERROR((AE49-AD49)*10000,"NA")</f>
        <v>188.20996310706329</v>
      </c>
      <c r="AF51" s="387">
        <f>IFERROR((AF49-AE49)*10000,"NA")</f>
        <v>-225.27115666361118</v>
      </c>
      <c r="AG51" s="387">
        <f>IFERROR((AG49-AF49)*10000,"NA")</f>
        <v>-766.52789832893814</v>
      </c>
      <c r="AH51" s="368"/>
      <c r="AI51" s="387">
        <f>IFERROR((AI49-AG49)*10000,"NA")</f>
        <v>490.05814385234657</v>
      </c>
      <c r="AJ51" s="387">
        <f>IFERROR((AJ49-AI49)*10000,"NA")</f>
        <v>-58.538689182173755</v>
      </c>
      <c r="AK51" s="387">
        <f>IFERROR((AK49-AJ49)*10000,"NA")</f>
        <v>440.00806923654545</v>
      </c>
      <c r="AL51" s="387">
        <f>IFERROR((AL49-AK49)*10000,"NA")</f>
        <v>-336.43133066781962</v>
      </c>
      <c r="AM51" s="368"/>
      <c r="AN51" s="387">
        <f>IFERROR((AN49-AL49)*10000,"NA")</f>
        <v>501.55604594579296</v>
      </c>
      <c r="AO51" s="387">
        <f>IFERROR((AO49-AN49)*10000,"NA")</f>
        <v>358.58790481592519</v>
      </c>
      <c r="AP51" s="387">
        <f>IFERROR((AP49-AO49)*10000,"NA")</f>
        <v>-213.22191730134722</v>
      </c>
      <c r="AQ51" s="387">
        <f>IFERROR((AQ49-AP49)*10000,"NA")</f>
        <v>-1292.652809220004</v>
      </c>
      <c r="AR51" s="368"/>
      <c r="AS51" s="387">
        <f>IFERROR((AS49-AQ49)*10000,"NA")</f>
        <v>1889.3895348837202</v>
      </c>
      <c r="AT51" s="387">
        <f>IFERROR((AT49-AS49)*10000,"NA")</f>
        <v>-173.4908242112032</v>
      </c>
      <c r="AU51" s="387">
        <f>IFERROR((AU49-AT49)*10000,"NA")</f>
        <v>-727.8771312278526</v>
      </c>
      <c r="AV51" s="387">
        <f>IFERROR((AV49-AU49)*10000,"NA")</f>
        <v>-1090.0509854316392</v>
      </c>
      <c r="AW51" s="368"/>
      <c r="AX51" s="387">
        <f>IFERROR((AX49-AV49)*10000,"NA")</f>
        <v>970.28720631090584</v>
      </c>
      <c r="AY51" s="387">
        <f>IFERROR((AY49-AX49)*10000,"NA")</f>
        <v>-631.624420400384</v>
      </c>
      <c r="AZ51" s="387">
        <f>IFERROR((AZ49-AY49)*10000,"NA")</f>
        <v>-439.27815876531662</v>
      </c>
      <c r="BA51" s="387">
        <f>IFERROR((BA49-AZ49)*10000,"NA")</f>
        <v>-867.12266301869568</v>
      </c>
      <c r="BB51" s="368"/>
      <c r="BC51" s="387">
        <f>IFERROR((BC49-BA49)*10000,"NA")</f>
        <v>1396.6144597373832</v>
      </c>
      <c r="BD51" s="387">
        <f>IFERROR((BD49-BC49)*10000,"NA")</f>
        <v>-87.315247384093794</v>
      </c>
      <c r="BE51" s="387">
        <f>IFERROR((BE49-BD49)*10000,"NA")</f>
        <v>-46.88136604388604</v>
      </c>
      <c r="BF51" s="387">
        <f>IFERROR((BF49-BE49)*10000,"NA")</f>
        <v>-269.64600470035236</v>
      </c>
      <c r="BG51" s="368"/>
      <c r="BH51" s="387">
        <f>IFERROR((BH49-BF49)*10000,"NA")</f>
        <v>1120.0175539481249</v>
      </c>
      <c r="BI51" s="387">
        <f>IFERROR((BI49-BH49)*10000,"NA")</f>
        <v>-219.60999173538943</v>
      </c>
      <c r="BJ51" s="387">
        <f>IFERROR((BJ49-BI49)*10000,"NA")</f>
        <v>-194.6712136192441</v>
      </c>
      <c r="BK51" s="387">
        <f>IFERROR((BK49-BJ49)*10000,"NA")</f>
        <v>-715.3380555636196</v>
      </c>
      <c r="BL51" s="368"/>
      <c r="BM51" s="387">
        <f>IFERROR((BM49-BK49)*10000,"NA")</f>
        <v>1041.8262391946603</v>
      </c>
      <c r="BN51" s="387">
        <f>IFERROR((BN49-BM49)*10000,"NA")</f>
        <v>-87.289607837552907</v>
      </c>
      <c r="BO51" s="387">
        <f>IFERROR((BO49-BN49)*10000,"NA")</f>
        <v>283.94712905407846</v>
      </c>
      <c r="BP51" s="387">
        <f>IFERROR((BP49-BO49)*10000,"NA")</f>
        <v>-521.45100124566306</v>
      </c>
      <c r="BQ51" s="368"/>
      <c r="BR51" s="387">
        <f>IFERROR((BR49-BP49)*10000,"NA")</f>
        <v>539.30924168599176</v>
      </c>
      <c r="BS51" s="387">
        <f>IFERROR((BS49-BR49)*10000,"NA")</f>
        <v>-97.086157731461341</v>
      </c>
      <c r="BT51" s="387">
        <f>IFERROR((BT49-BS49)*10000,"NA")</f>
        <v>87.219611266154402</v>
      </c>
      <c r="BU51" s="387">
        <f>IFERROR((BU49-BT49)*10000,"NA")</f>
        <v>-509.13146338687318</v>
      </c>
      <c r="BV51" s="368"/>
      <c r="BW51" s="387">
        <f>IFERROR((BW49-BU49)*10000,"NA")</f>
        <v>711.34295308801165</v>
      </c>
      <c r="BX51" s="387">
        <f>IFERROR((BX49-BW49)*10000,"NA")</f>
        <v>-74.810724794200368</v>
      </c>
      <c r="BY51" s="387">
        <f>IFERROR((BY49-BX49)*10000,"NA")</f>
        <v>60.965456922698614</v>
      </c>
      <c r="BZ51" s="387">
        <f>IFERROR((BZ49-BY49)*10000,"NA")</f>
        <v>-496.77786470988082</v>
      </c>
      <c r="CA51" s="368"/>
    </row>
    <row r="52" spans="1:79" ht="12.75" customHeight="1" x14ac:dyDescent="0.35">
      <c r="B52" s="42"/>
      <c r="C52" s="58"/>
      <c r="D52" s="58"/>
      <c r="E52" s="58"/>
      <c r="F52" s="58"/>
      <c r="G52" s="58"/>
      <c r="H52" s="58"/>
      <c r="I52" s="66"/>
      <c r="J52" s="275"/>
      <c r="K52" s="275"/>
      <c r="L52" s="275"/>
      <c r="M52" s="275"/>
      <c r="N52" s="67"/>
      <c r="O52" s="271"/>
      <c r="P52" s="271"/>
      <c r="Q52" s="271"/>
      <c r="R52" s="271"/>
      <c r="S52" s="67"/>
      <c r="T52" s="56"/>
      <c r="U52" s="56"/>
      <c r="V52" s="56"/>
      <c r="W52" s="56"/>
      <c r="X52" s="67"/>
      <c r="Y52" s="56"/>
      <c r="Z52" s="56"/>
      <c r="AA52" s="56"/>
      <c r="AB52" s="56"/>
      <c r="AC52" s="67"/>
      <c r="AD52" s="56"/>
      <c r="AE52" s="56"/>
      <c r="AF52" s="56"/>
      <c r="AG52" s="56"/>
      <c r="AH52" s="67"/>
      <c r="AI52" s="56"/>
      <c r="AJ52" s="56"/>
      <c r="AK52" s="56"/>
      <c r="AL52" s="56"/>
      <c r="AM52" s="67"/>
      <c r="AN52" s="56"/>
      <c r="AO52" s="56"/>
      <c r="AP52" s="56"/>
      <c r="AQ52" s="56"/>
      <c r="AR52" s="66"/>
      <c r="AS52" s="56"/>
      <c r="AT52" s="56"/>
      <c r="AU52" s="56"/>
      <c r="AV52" s="56"/>
      <c r="AW52" s="66"/>
      <c r="AX52" s="56"/>
      <c r="AY52" s="56"/>
      <c r="AZ52" s="56"/>
      <c r="BA52" s="56"/>
      <c r="BB52" s="66"/>
      <c r="BC52" s="56"/>
      <c r="BD52" s="56"/>
      <c r="BE52" s="56"/>
      <c r="BF52" s="56"/>
      <c r="BG52" s="66"/>
      <c r="BH52" s="56"/>
      <c r="BI52" s="56"/>
      <c r="BJ52" s="56"/>
      <c r="BK52" s="56"/>
      <c r="BL52" s="66"/>
      <c r="BM52" s="56"/>
      <c r="BN52" s="56"/>
      <c r="BO52" s="56"/>
      <c r="BP52" s="56"/>
      <c r="BQ52" s="66"/>
      <c r="BR52" s="56"/>
      <c r="BS52" s="56"/>
      <c r="BT52" s="56"/>
      <c r="BU52" s="56"/>
      <c r="BV52" s="66"/>
      <c r="BW52" s="56"/>
      <c r="BX52" s="56"/>
      <c r="BY52" s="56"/>
      <c r="BZ52" s="56"/>
      <c r="CA52" s="66"/>
    </row>
    <row r="53" spans="1:79" ht="12.75" customHeight="1" x14ac:dyDescent="0.35">
      <c r="B53" s="2" t="s">
        <v>139</v>
      </c>
      <c r="C53" s="58"/>
      <c r="D53" s="58"/>
      <c r="E53" s="58"/>
      <c r="F53" s="58"/>
      <c r="G53" s="58"/>
      <c r="H53" s="58"/>
      <c r="I53" s="185"/>
      <c r="J53" s="276"/>
      <c r="K53" s="276"/>
      <c r="L53" s="276"/>
      <c r="M53" s="276"/>
      <c r="N53" s="187"/>
      <c r="O53" s="272"/>
      <c r="P53" s="272"/>
      <c r="Q53" s="272"/>
      <c r="R53" s="272"/>
      <c r="S53" s="187"/>
      <c r="T53" s="173">
        <v>0</v>
      </c>
      <c r="U53" s="173">
        <v>0</v>
      </c>
      <c r="V53" s="173">
        <v>1</v>
      </c>
      <c r="W53" s="173">
        <v>0</v>
      </c>
      <c r="X53" s="369"/>
      <c r="Y53" s="173">
        <v>-7.7</v>
      </c>
      <c r="Z53" s="173">
        <v>10.4</v>
      </c>
      <c r="AA53" s="173">
        <v>0.5</v>
      </c>
      <c r="AB53" s="173">
        <v>0.5</v>
      </c>
      <c r="AC53" s="174">
        <f>SUM(Y53:AB53)</f>
        <v>3.7</v>
      </c>
      <c r="AD53" s="173">
        <v>1</v>
      </c>
      <c r="AE53" s="173">
        <v>14.9</v>
      </c>
      <c r="AF53" s="173">
        <v>2.4</v>
      </c>
      <c r="AG53" s="160">
        <v>0.5</v>
      </c>
      <c r="AH53" s="174">
        <f>SUM(AD53:AG53)</f>
        <v>18.8</v>
      </c>
      <c r="AI53" s="173">
        <v>0</v>
      </c>
      <c r="AJ53" s="173">
        <v>0</v>
      </c>
      <c r="AK53" s="173">
        <v>0</v>
      </c>
      <c r="AL53" s="173">
        <v>0</v>
      </c>
      <c r="AM53" s="174">
        <f>SUM(AI53:AL53)</f>
        <v>0</v>
      </c>
      <c r="AN53" s="173">
        <v>0</v>
      </c>
      <c r="AO53" s="173">
        <v>0</v>
      </c>
      <c r="AP53" s="173">
        <v>0</v>
      </c>
      <c r="AQ53" s="173">
        <v>1</v>
      </c>
      <c r="AR53" s="174">
        <f>SUM(AN53:AQ53)</f>
        <v>1</v>
      </c>
      <c r="AS53" s="173">
        <v>0</v>
      </c>
      <c r="AT53" s="173">
        <v>0</v>
      </c>
      <c r="AU53" s="173">
        <v>0</v>
      </c>
      <c r="AV53" s="173">
        <v>0</v>
      </c>
      <c r="AW53" s="174">
        <f>SUM(AS53:AV53)</f>
        <v>0</v>
      </c>
      <c r="AX53" s="173">
        <v>0</v>
      </c>
      <c r="AY53" s="173">
        <v>0</v>
      </c>
      <c r="AZ53" s="173">
        <v>0</v>
      </c>
      <c r="BA53" s="173">
        <v>70</v>
      </c>
      <c r="BB53" s="174">
        <f>SUM(AX53:BA53)</f>
        <v>70</v>
      </c>
      <c r="BC53" s="173">
        <v>0</v>
      </c>
      <c r="BD53" s="173">
        <v>13</v>
      </c>
      <c r="BE53" s="173">
        <v>18</v>
      </c>
      <c r="BF53" s="173">
        <v>18</v>
      </c>
      <c r="BG53" s="174">
        <f>SUM(BC53:BF53)</f>
        <v>49</v>
      </c>
      <c r="BH53" s="173">
        <v>13</v>
      </c>
      <c r="BI53" s="173">
        <v>7</v>
      </c>
      <c r="BJ53" s="173">
        <v>25</v>
      </c>
      <c r="BK53" s="173">
        <v>16</v>
      </c>
      <c r="BL53" s="174">
        <f>SUM(BH53:BK53)</f>
        <v>61</v>
      </c>
      <c r="BM53" s="173">
        <v>19</v>
      </c>
      <c r="BN53" s="173">
        <v>15</v>
      </c>
      <c r="BO53" s="173">
        <v>15</v>
      </c>
      <c r="BP53" s="173">
        <v>8</v>
      </c>
      <c r="BQ53" s="174">
        <f>SUM(BM53:BP53)</f>
        <v>57</v>
      </c>
      <c r="BR53" s="173">
        <f>BM53+1</f>
        <v>20</v>
      </c>
      <c r="BS53" s="173">
        <f>BN53+1</f>
        <v>16</v>
      </c>
      <c r="BT53" s="173">
        <f>BO53+1</f>
        <v>16</v>
      </c>
      <c r="BU53" s="173">
        <f>BP53+1</f>
        <v>9</v>
      </c>
      <c r="BV53" s="174">
        <f>SUM(BR53:BU53)</f>
        <v>61</v>
      </c>
      <c r="BW53" s="173">
        <f>BR53+1</f>
        <v>21</v>
      </c>
      <c r="BX53" s="173">
        <f>BS53+1</f>
        <v>17</v>
      </c>
      <c r="BY53" s="173">
        <f>BT53+1</f>
        <v>17</v>
      </c>
      <c r="BZ53" s="173">
        <f>BU53+1</f>
        <v>10</v>
      </c>
      <c r="CA53" s="174">
        <f>SUM(BW53:BZ53)</f>
        <v>65</v>
      </c>
    </row>
    <row r="54" spans="1:79" ht="12.75" customHeight="1" x14ac:dyDescent="0.35">
      <c r="B54" s="2" t="s">
        <v>32</v>
      </c>
      <c r="C54" s="58"/>
      <c r="D54" s="58"/>
      <c r="E54" s="58"/>
      <c r="F54" s="58"/>
      <c r="G54" s="58"/>
      <c r="H54" s="58"/>
      <c r="I54" s="185"/>
      <c r="J54" s="276"/>
      <c r="K54" s="276"/>
      <c r="L54" s="276"/>
      <c r="M54" s="276"/>
      <c r="N54" s="187"/>
      <c r="O54" s="272"/>
      <c r="P54" s="272"/>
      <c r="Q54" s="272"/>
      <c r="R54" s="272"/>
      <c r="S54" s="187"/>
      <c r="T54" s="160">
        <v>40.4</v>
      </c>
      <c r="U54" s="160">
        <v>42.1</v>
      </c>
      <c r="V54" s="160">
        <v>39</v>
      </c>
      <c r="W54" s="160">
        <v>38</v>
      </c>
      <c r="X54" s="370"/>
      <c r="Y54" s="160">
        <v>-47.4</v>
      </c>
      <c r="Z54" s="160">
        <v>-49.7</v>
      </c>
      <c r="AA54" s="160">
        <v>-53.1</v>
      </c>
      <c r="AB54" s="160">
        <v>-58.3</v>
      </c>
      <c r="AC54" s="186">
        <f>SUM(Y54:AB54)</f>
        <v>-208.5</v>
      </c>
      <c r="AD54" s="160">
        <v>-50.7</v>
      </c>
      <c r="AE54" s="160">
        <v>-53.4</v>
      </c>
      <c r="AF54" s="160">
        <v>-56.4</v>
      </c>
      <c r="AG54" s="160">
        <v>-55.5</v>
      </c>
      <c r="AH54" s="186">
        <f>SUM(AD54:AG54)</f>
        <v>-216</v>
      </c>
      <c r="AI54" s="160">
        <v>-50.2</v>
      </c>
      <c r="AJ54" s="160">
        <v>-50.6</v>
      </c>
      <c r="AK54" s="160">
        <v>-45.9</v>
      </c>
      <c r="AL54" s="160">
        <v>-59</v>
      </c>
      <c r="AM54" s="186">
        <f>SUM(AI54:AL54)</f>
        <v>-205.70000000000002</v>
      </c>
      <c r="AN54" s="160">
        <v>-40</v>
      </c>
      <c r="AO54" s="160">
        <v>-60</v>
      </c>
      <c r="AP54" s="160">
        <v>-53</v>
      </c>
      <c r="AQ54" s="160">
        <v>-52</v>
      </c>
      <c r="AR54" s="186">
        <f>SUM(AN54:AQ54)</f>
        <v>-205</v>
      </c>
      <c r="AS54" s="160">
        <v>-7</v>
      </c>
      <c r="AT54" s="160">
        <v>-49</v>
      </c>
      <c r="AU54" s="160">
        <v>-53</v>
      </c>
      <c r="AV54" s="160">
        <v>-62</v>
      </c>
      <c r="AW54" s="186">
        <f>SUM(AS54:AV54)</f>
        <v>-171</v>
      </c>
      <c r="AX54" s="160">
        <v>-53</v>
      </c>
      <c r="AY54" s="160">
        <v>-55</v>
      </c>
      <c r="AZ54" s="160">
        <v>-58</v>
      </c>
      <c r="BA54" s="160">
        <v>-65</v>
      </c>
      <c r="BB54" s="186">
        <f>SUM(AX54:BA54)</f>
        <v>-231</v>
      </c>
      <c r="BC54" s="160">
        <v>-48</v>
      </c>
      <c r="BD54" s="160">
        <v>-71</v>
      </c>
      <c r="BE54" s="160">
        <v>-66</v>
      </c>
      <c r="BF54" s="160">
        <v>-66</v>
      </c>
      <c r="BG54" s="186">
        <f>SUM(BC54:BF54)</f>
        <v>-251</v>
      </c>
      <c r="BH54" s="160">
        <v>-62</v>
      </c>
      <c r="BI54" s="160">
        <v>-63</v>
      </c>
      <c r="BJ54" s="160">
        <v>-60</v>
      </c>
      <c r="BK54" s="160">
        <v>-52</v>
      </c>
      <c r="BL54" s="186">
        <f>SUM(BH54:BK54)</f>
        <v>-237</v>
      </c>
      <c r="BM54" s="160">
        <v>-61</v>
      </c>
      <c r="BN54" s="160">
        <v>-61</v>
      </c>
      <c r="BO54" s="315">
        <f ca="1">'BS &amp; CFS'!BB138</f>
        <v>-58.066523297491038</v>
      </c>
      <c r="BP54" s="315">
        <f ca="1">'BS &amp; CFS'!BC138</f>
        <v>-58.133122894104652</v>
      </c>
      <c r="BQ54" s="186">
        <f ca="1">SUM(BM54:BP54)</f>
        <v>-238.19964619159569</v>
      </c>
      <c r="BR54" s="315">
        <f ca="1">'BS &amp; CFS'!BE138</f>
        <v>-58.133122894104652</v>
      </c>
      <c r="BS54" s="315">
        <f ca="1">'BS &amp; CFS'!BF138</f>
        <v>-58.133122894104652</v>
      </c>
      <c r="BT54" s="315">
        <f ca="1">'BS &amp; CFS'!BG138</f>
        <v>-58.133122894104652</v>
      </c>
      <c r="BU54" s="315">
        <f ca="1">'BS &amp; CFS'!BH138</f>
        <v>-58.133122894104652</v>
      </c>
      <c r="BV54" s="186">
        <f ca="1">SUM(BR54:BU54)</f>
        <v>-232.53249157641861</v>
      </c>
      <c r="BW54" s="315">
        <f ca="1">'BS &amp; CFS'!BJ138</f>
        <v>-58.133122894104652</v>
      </c>
      <c r="BX54" s="315">
        <f ca="1">'BS &amp; CFS'!BK138</f>
        <v>-58.133122894104652</v>
      </c>
      <c r="BY54" s="315">
        <f ca="1">'BS &amp; CFS'!BL138</f>
        <v>-58.133122894104652</v>
      </c>
      <c r="BZ54" s="315">
        <f ca="1">'BS &amp; CFS'!BM138</f>
        <v>-58.133122894104652</v>
      </c>
      <c r="CA54" s="186">
        <f ca="1">SUM(BW54:BZ54)</f>
        <v>-232.53249157641861</v>
      </c>
    </row>
    <row r="55" spans="1:79" ht="12.75" customHeight="1" x14ac:dyDescent="0.35">
      <c r="B55" s="2" t="s">
        <v>37</v>
      </c>
      <c r="C55" s="58"/>
      <c r="D55" s="58"/>
      <c r="E55" s="58"/>
      <c r="F55" s="58"/>
      <c r="G55" s="58"/>
      <c r="H55" s="58"/>
      <c r="I55" s="185"/>
      <c r="J55" s="276"/>
      <c r="K55" s="276"/>
      <c r="L55" s="276"/>
      <c r="M55" s="276"/>
      <c r="N55" s="187"/>
      <c r="O55" s="272"/>
      <c r="P55" s="272"/>
      <c r="Q55" s="272"/>
      <c r="R55" s="272"/>
      <c r="S55" s="187"/>
      <c r="T55" s="206"/>
      <c r="U55" s="206"/>
      <c r="V55" s="206"/>
      <c r="W55" s="206"/>
      <c r="X55" s="370"/>
      <c r="Y55" s="160">
        <v>59.7</v>
      </c>
      <c r="Z55" s="160">
        <v>41.2</v>
      </c>
      <c r="AA55" s="160">
        <v>69.900000000000006</v>
      </c>
      <c r="AB55" s="160">
        <v>0</v>
      </c>
      <c r="AC55" s="186">
        <f>SUM(Y55:AB55)</f>
        <v>170.8</v>
      </c>
      <c r="AD55" s="160">
        <v>0</v>
      </c>
      <c r="AE55" s="160">
        <v>0</v>
      </c>
      <c r="AF55" s="160">
        <v>0</v>
      </c>
      <c r="AG55" s="160">
        <v>0</v>
      </c>
      <c r="AH55" s="186">
        <f>SUM(AD55:AG55)</f>
        <v>0</v>
      </c>
      <c r="AI55" s="160">
        <v>0</v>
      </c>
      <c r="AJ55" s="160">
        <v>0.4</v>
      </c>
      <c r="AK55" s="160">
        <v>9.9</v>
      </c>
      <c r="AL55" s="160">
        <v>7</v>
      </c>
      <c r="AM55" s="186">
        <f>SUM(AI55:AL55)</f>
        <v>17.3</v>
      </c>
      <c r="AN55" s="160">
        <v>12</v>
      </c>
      <c r="AO55" s="160">
        <v>16</v>
      </c>
      <c r="AP55" s="160">
        <v>10</v>
      </c>
      <c r="AQ55" s="160">
        <v>8</v>
      </c>
      <c r="AR55" s="186">
        <f>SUM(AN55:AQ55)</f>
        <v>46</v>
      </c>
      <c r="AS55" s="160">
        <v>16</v>
      </c>
      <c r="AT55" s="160">
        <v>6</v>
      </c>
      <c r="AU55" s="160">
        <v>-4</v>
      </c>
      <c r="AV55" s="160">
        <v>64</v>
      </c>
      <c r="AW55" s="186">
        <f>SUM(AS55:AV55)</f>
        <v>82</v>
      </c>
      <c r="AX55" s="160">
        <v>6</v>
      </c>
      <c r="AY55" s="160">
        <v>-10</v>
      </c>
      <c r="AZ55" s="160">
        <v>26</v>
      </c>
      <c r="BA55" s="160">
        <v>16</v>
      </c>
      <c r="BB55" s="186">
        <f>SUM(AX55:BA55)</f>
        <v>38</v>
      </c>
      <c r="BC55" s="160">
        <v>0</v>
      </c>
      <c r="BD55" s="160">
        <v>0</v>
      </c>
      <c r="BE55" s="160">
        <v>0</v>
      </c>
      <c r="BF55" s="160">
        <v>0</v>
      </c>
      <c r="BG55" s="186">
        <f>SUM(BC55:BF55)</f>
        <v>0</v>
      </c>
      <c r="BH55" s="160">
        <v>0</v>
      </c>
      <c r="BI55" s="160">
        <v>0</v>
      </c>
      <c r="BJ55" s="160">
        <v>0</v>
      </c>
      <c r="BK55" s="160">
        <v>0</v>
      </c>
      <c r="BL55" s="186">
        <f>SUM(BH55:BK55)</f>
        <v>0</v>
      </c>
      <c r="BM55" s="160">
        <v>0</v>
      </c>
      <c r="BN55" s="160">
        <v>0</v>
      </c>
      <c r="BO55" s="160">
        <v>0</v>
      </c>
      <c r="BP55" s="160">
        <v>-14</v>
      </c>
      <c r="BQ55" s="186">
        <f>SUM(BM55:BP55)</f>
        <v>-14</v>
      </c>
      <c r="BR55" s="160">
        <v>0</v>
      </c>
      <c r="BS55" s="160">
        <v>0</v>
      </c>
      <c r="BT55" s="160">
        <v>0</v>
      </c>
      <c r="BU55" s="160">
        <v>0</v>
      </c>
      <c r="BV55" s="186">
        <f>SUM(BR55:BU55)</f>
        <v>0</v>
      </c>
      <c r="BW55" s="160">
        <v>0</v>
      </c>
      <c r="BX55" s="160">
        <v>0</v>
      </c>
      <c r="BY55" s="160">
        <v>0</v>
      </c>
      <c r="BZ55" s="160">
        <v>0</v>
      </c>
      <c r="CA55" s="186">
        <f>SUM(BW55:BZ55)</f>
        <v>0</v>
      </c>
    </row>
    <row r="56" spans="1:79" s="132" customFormat="1" ht="12.75" customHeight="1" x14ac:dyDescent="0.35">
      <c r="A56" s="24"/>
      <c r="B56" s="24" t="s">
        <v>129</v>
      </c>
      <c r="C56" s="58"/>
      <c r="D56" s="58"/>
      <c r="E56" s="58"/>
      <c r="F56" s="58"/>
      <c r="G56" s="58"/>
      <c r="H56" s="58"/>
      <c r="I56" s="66"/>
      <c r="J56" s="275"/>
      <c r="K56" s="275"/>
      <c r="L56" s="275"/>
      <c r="M56" s="275"/>
      <c r="N56" s="67"/>
      <c r="O56" s="271"/>
      <c r="P56" s="271"/>
      <c r="Q56" s="271"/>
      <c r="R56" s="271"/>
      <c r="S56" s="67"/>
      <c r="T56" s="188"/>
      <c r="U56" s="188"/>
      <c r="V56" s="188"/>
      <c r="W56" s="188"/>
      <c r="X56" s="366"/>
      <c r="Y56" s="163">
        <f>Y47+SUM(Y53:Y55)</f>
        <v>451.30000000000007</v>
      </c>
      <c r="Z56" s="163">
        <f>Z47+SUM(Z53:Z55)</f>
        <v>461.99999999999989</v>
      </c>
      <c r="AA56" s="163">
        <f>AA47+SUM(AA53:AA55)</f>
        <v>465.8</v>
      </c>
      <c r="AB56" s="163">
        <f>AB47+SUM(AB53:AB55)</f>
        <v>407.69999999999987</v>
      </c>
      <c r="AC56" s="178">
        <f>SUM(Y56:AB56)</f>
        <v>1786.7999999999997</v>
      </c>
      <c r="AD56" s="163">
        <f>AD47+SUM(AD53:AD55)</f>
        <v>441.10000000000008</v>
      </c>
      <c r="AE56" s="163">
        <f>AE47+SUM(AE53:AE55)</f>
        <v>495.49999999999989</v>
      </c>
      <c r="AF56" s="163">
        <f>AF47+SUM(AF53:AF55)</f>
        <v>412.80000000000007</v>
      </c>
      <c r="AG56" s="163">
        <f>AG47+SUM(AG53:AG55)</f>
        <v>321.5999999999998</v>
      </c>
      <c r="AH56" s="178">
        <f>SUM(AD56:AG56)</f>
        <v>1671</v>
      </c>
      <c r="AI56" s="163">
        <f>AI47+SUM(AI53:AI55)</f>
        <v>411.49999999999983</v>
      </c>
      <c r="AJ56" s="163">
        <f>AJ47+SUM(AJ53:AJ55)</f>
        <v>433.30000000000024</v>
      </c>
      <c r="AK56" s="163">
        <f>AK47+SUM(AK53:AK55)</f>
        <v>512.79999999999995</v>
      </c>
      <c r="AL56" s="163">
        <f>AL47+SUM(AL53:AL55)</f>
        <v>452</v>
      </c>
      <c r="AM56" s="178">
        <f>SUM(AI56:AL56)</f>
        <v>1809.6</v>
      </c>
      <c r="AN56" s="163">
        <f>AN47+SUM(AN53:AN55)</f>
        <v>564</v>
      </c>
      <c r="AO56" s="163">
        <f>AO47+SUM(AO53:AO55)</f>
        <v>666</v>
      </c>
      <c r="AP56" s="163">
        <f>AP47+SUM(AP53:AP55)</f>
        <v>599</v>
      </c>
      <c r="AQ56" s="163">
        <f>AQ47+SUM(AQ53:AQ55)</f>
        <v>401</v>
      </c>
      <c r="AR56" s="178">
        <f>SUM(AN56:AQ56)</f>
        <v>2230</v>
      </c>
      <c r="AS56" s="163">
        <f>AS47+SUM(AS53:AS55)</f>
        <v>862</v>
      </c>
      <c r="AT56" s="163">
        <f>AT47+SUM(AT53:AT55)</f>
        <v>758</v>
      </c>
      <c r="AU56" s="163">
        <f>AU47+SUM(AU53:AU55)</f>
        <v>619</v>
      </c>
      <c r="AV56" s="163">
        <f>AV47+SUM(AV53:AV55)</f>
        <v>516</v>
      </c>
      <c r="AW56" s="178">
        <f>SUM(AS56:AV56)</f>
        <v>2755</v>
      </c>
      <c r="AX56" s="163">
        <f>AX47+SUM(AX53:AX55)</f>
        <v>609</v>
      </c>
      <c r="AY56" s="163">
        <f>AY47+SUM(AY53:AY55)</f>
        <v>443</v>
      </c>
      <c r="AZ56" s="163">
        <f>AZ47+SUM(AZ53:AZ55)</f>
        <v>381</v>
      </c>
      <c r="BA56" s="163">
        <f>BA47+SUM(BA53:BA55)</f>
        <v>327</v>
      </c>
      <c r="BB56" s="178">
        <f>SUM(AX56:BA56)</f>
        <v>1760</v>
      </c>
      <c r="BC56" s="163">
        <f>BC47+SUM(BC53:BC55)</f>
        <v>506</v>
      </c>
      <c r="BD56" s="163">
        <f>BD47+SUM(BD53:BD55)</f>
        <v>492</v>
      </c>
      <c r="BE56" s="163">
        <f>BE47+SUM(BE53:BE55)</f>
        <v>487</v>
      </c>
      <c r="BF56" s="163">
        <f>BF47+SUM(BF53:BF55)</f>
        <v>450</v>
      </c>
      <c r="BG56" s="178">
        <f>SUM(BC56:BF56)</f>
        <v>1935</v>
      </c>
      <c r="BH56" s="163">
        <f>BH47+SUM(BH53:BH55)</f>
        <v>752</v>
      </c>
      <c r="BI56" s="163">
        <f>BI47+SUM(BI53:BI55)</f>
        <v>719</v>
      </c>
      <c r="BJ56" s="163">
        <f>BJ47+SUM(BJ53:BJ55)</f>
        <v>703</v>
      </c>
      <c r="BK56" s="163">
        <f>BK47+SUM(BK53:BK55)</f>
        <v>525</v>
      </c>
      <c r="BL56" s="178">
        <f>SUM(BH56:BK56)</f>
        <v>2699</v>
      </c>
      <c r="BM56" s="163">
        <f>BM47+SUM(BM53:BM55)</f>
        <v>804</v>
      </c>
      <c r="BN56" s="163">
        <f>BN47+SUM(BN53:BN55)</f>
        <v>772</v>
      </c>
      <c r="BO56" s="163">
        <f ca="1">BO47+SUM(BO53:BO55)</f>
        <v>877.71789024850307</v>
      </c>
      <c r="BP56" s="163">
        <f ca="1">BP47+SUM(BP53:BP55)</f>
        <v>688.52411132874727</v>
      </c>
      <c r="BQ56" s="178">
        <f ca="1">SUM(BM56:BP56)</f>
        <v>3142.2420015772504</v>
      </c>
      <c r="BR56" s="163">
        <f ca="1">BR47+SUM(BR53:BR55)</f>
        <v>933.57837204509769</v>
      </c>
      <c r="BS56" s="163">
        <f ca="1">BS47+SUM(BS53:BS55)</f>
        <v>885.9619641029783</v>
      </c>
      <c r="BT56" s="163">
        <f ca="1">BT47+SUM(BT53:BT55)</f>
        <v>950.65317124006992</v>
      </c>
      <c r="BU56" s="163">
        <f ca="1">BU47+SUM(BU53:BU55)</f>
        <v>766.27698697744381</v>
      </c>
      <c r="BV56" s="178">
        <f ca="1">SUM(BR56:BU56)</f>
        <v>3536.4704943655897</v>
      </c>
      <c r="BW56" s="163">
        <f ca="1">BW47+SUM(BW53:BW55)</f>
        <v>1052.1853018612182</v>
      </c>
      <c r="BX56" s="163">
        <f ca="1">BX47+SUM(BX53:BX55)</f>
        <v>1004.9628156878252</v>
      </c>
      <c r="BY56" s="163">
        <f ca="1">BY47+SUM(BY53:BY55)</f>
        <v>1071.0455317444466</v>
      </c>
      <c r="BZ56" s="163">
        <f ca="1">BZ47+SUM(BZ53:BZ55)</f>
        <v>872.76994880334291</v>
      </c>
      <c r="CA56" s="178">
        <f ca="1">SUM(BW56:BZ56)</f>
        <v>4000.9635980968333</v>
      </c>
    </row>
    <row r="57" spans="1:79" ht="12.75" customHeight="1" x14ac:dyDescent="0.35">
      <c r="B57" s="24"/>
      <c r="C57" s="58"/>
      <c r="D57" s="58"/>
      <c r="E57" s="58"/>
      <c r="F57" s="58"/>
      <c r="G57" s="58"/>
      <c r="H57" s="58"/>
      <c r="I57" s="66"/>
      <c r="J57" s="275"/>
      <c r="K57" s="275"/>
      <c r="L57" s="275"/>
      <c r="M57" s="275"/>
      <c r="N57" s="67"/>
      <c r="O57" s="271"/>
      <c r="P57" s="271"/>
      <c r="Q57" s="271"/>
      <c r="R57" s="271"/>
      <c r="S57" s="67"/>
      <c r="T57" s="56"/>
      <c r="U57" s="56"/>
      <c r="V57" s="56"/>
      <c r="W57" s="56"/>
      <c r="X57" s="67"/>
      <c r="Y57" s="56"/>
      <c r="Z57" s="56"/>
      <c r="AA57" s="56"/>
      <c r="AB57" s="56"/>
      <c r="AC57" s="67"/>
      <c r="AD57" s="56"/>
      <c r="AE57" s="56"/>
      <c r="AF57" s="56"/>
      <c r="AG57" s="56"/>
      <c r="AH57" s="67"/>
      <c r="AI57" s="56"/>
      <c r="AJ57" s="56"/>
      <c r="AK57" s="56"/>
      <c r="AL57" s="56"/>
      <c r="AM57" s="67"/>
      <c r="AN57" s="56"/>
      <c r="AO57" s="56"/>
      <c r="AP57" s="56"/>
      <c r="AQ57" s="56"/>
      <c r="AR57" s="66"/>
      <c r="AS57" s="56"/>
      <c r="AT57" s="56"/>
      <c r="AU57" s="56"/>
      <c r="AV57" s="56"/>
      <c r="AW57" s="66"/>
      <c r="AX57" s="56"/>
      <c r="AY57" s="56"/>
      <c r="AZ57" s="56"/>
      <c r="BA57" s="56"/>
      <c r="BB57" s="66"/>
      <c r="BC57" s="56"/>
      <c r="BD57" s="56"/>
      <c r="BE57" s="56"/>
      <c r="BF57" s="56"/>
      <c r="BG57" s="66"/>
      <c r="BH57" s="56"/>
      <c r="BI57" s="56"/>
      <c r="BJ57" s="56"/>
      <c r="BK57" s="56"/>
      <c r="BL57" s="66"/>
      <c r="BM57" s="56"/>
      <c r="BN57" s="56"/>
      <c r="BO57" s="56"/>
      <c r="BP57" s="56"/>
      <c r="BQ57" s="66"/>
      <c r="BR57" s="56"/>
      <c r="BS57" s="56"/>
      <c r="BT57" s="56"/>
      <c r="BU57" s="56"/>
      <c r="BV57" s="66"/>
      <c r="BW57" s="56"/>
      <c r="BX57" s="56"/>
      <c r="BY57" s="56"/>
      <c r="BZ57" s="56"/>
      <c r="CA57" s="66"/>
    </row>
    <row r="58" spans="1:79" ht="12.75" customHeight="1" x14ac:dyDescent="0.35">
      <c r="B58" s="76" t="s">
        <v>130</v>
      </c>
      <c r="C58" s="58"/>
      <c r="D58" s="58"/>
      <c r="E58" s="58"/>
      <c r="F58" s="58"/>
      <c r="G58" s="58"/>
      <c r="H58" s="58"/>
      <c r="I58" s="66"/>
      <c r="J58" s="275"/>
      <c r="K58" s="275"/>
      <c r="L58" s="275"/>
      <c r="M58" s="275"/>
      <c r="N58" s="67"/>
      <c r="O58" s="271"/>
      <c r="P58" s="271"/>
      <c r="Q58" s="271"/>
      <c r="R58" s="271"/>
      <c r="S58" s="67"/>
      <c r="T58" s="173">
        <v>161.4</v>
      </c>
      <c r="U58" s="173">
        <v>196</v>
      </c>
      <c r="V58" s="173">
        <v>187.4</v>
      </c>
      <c r="W58" s="173">
        <v>184.5</v>
      </c>
      <c r="X58" s="174">
        <f>SUM(T58:W58)</f>
        <v>729.3</v>
      </c>
      <c r="Y58" s="173">
        <v>105.4</v>
      </c>
      <c r="Z58" s="173">
        <v>148.4</v>
      </c>
      <c r="AA58" s="173">
        <v>146.1</v>
      </c>
      <c r="AB58" s="173">
        <v>379.2</v>
      </c>
      <c r="AC58" s="174">
        <f>SUM(Y58:AB58)</f>
        <v>779.09999999999991</v>
      </c>
      <c r="AD58" s="173">
        <v>64.3</v>
      </c>
      <c r="AE58" s="173">
        <v>117.6</v>
      </c>
      <c r="AF58" s="173">
        <v>100.8</v>
      </c>
      <c r="AG58" s="173">
        <v>68.900000000000006</v>
      </c>
      <c r="AH58" s="174">
        <f>SUM(AD58:AG58)</f>
        <v>351.6</v>
      </c>
      <c r="AI58" s="173">
        <v>37.9</v>
      </c>
      <c r="AJ58" s="173">
        <v>121.3</v>
      </c>
      <c r="AK58" s="173">
        <v>130.4</v>
      </c>
      <c r="AL58" s="173">
        <v>91</v>
      </c>
      <c r="AM58" s="174">
        <f>SUM(AI58:AL58)</f>
        <v>380.6</v>
      </c>
      <c r="AN58" s="173">
        <v>77</v>
      </c>
      <c r="AO58" s="173">
        <v>157</v>
      </c>
      <c r="AP58" s="173">
        <v>132</v>
      </c>
      <c r="AQ58" s="173">
        <v>86</v>
      </c>
      <c r="AR58" s="174">
        <f>SUM(AN58:AQ58)</f>
        <v>452</v>
      </c>
      <c r="AS58" s="173">
        <v>126</v>
      </c>
      <c r="AT58" s="173">
        <v>181</v>
      </c>
      <c r="AU58" s="173">
        <v>145</v>
      </c>
      <c r="AV58" s="173">
        <v>89</v>
      </c>
      <c r="AW58" s="174">
        <f>SUM(AS58:AV58)</f>
        <v>541</v>
      </c>
      <c r="AX58" s="173">
        <v>111</v>
      </c>
      <c r="AY58" s="173">
        <v>116</v>
      </c>
      <c r="AZ58" s="173">
        <v>78</v>
      </c>
      <c r="BA58" s="173">
        <v>81</v>
      </c>
      <c r="BB58" s="174">
        <f>SUM(AX58:BA58)</f>
        <v>386</v>
      </c>
      <c r="BC58" s="173">
        <v>5</v>
      </c>
      <c r="BD58" s="173">
        <v>115</v>
      </c>
      <c r="BE58" s="173">
        <v>97</v>
      </c>
      <c r="BF58" s="173">
        <v>110</v>
      </c>
      <c r="BG58" s="174">
        <f>SUM(BC58:BF58)</f>
        <v>327</v>
      </c>
      <c r="BH58" s="173">
        <v>175</v>
      </c>
      <c r="BI58" s="173">
        <v>166</v>
      </c>
      <c r="BJ58" s="173">
        <v>169</v>
      </c>
      <c r="BK58" s="173">
        <v>130</v>
      </c>
      <c r="BL58" s="174">
        <f>SUM(BH58:BK58)</f>
        <v>640</v>
      </c>
      <c r="BM58" s="173">
        <v>179</v>
      </c>
      <c r="BN58" s="173">
        <v>193</v>
      </c>
      <c r="BO58" s="175">
        <f ca="1">BO59*BO56</f>
        <v>157.98922024473055</v>
      </c>
      <c r="BP58" s="175">
        <f ca="1">BP59*BP56</f>
        <v>123.9343400391745</v>
      </c>
      <c r="BQ58" s="174">
        <f ca="1">SUM(BM58:BP58)</f>
        <v>653.92356028390498</v>
      </c>
      <c r="BR58" s="175">
        <f ca="1">BR59*BR56</f>
        <v>214.72302557037247</v>
      </c>
      <c r="BS58" s="175">
        <f ca="1">BS59*BS56</f>
        <v>208.20106156419988</v>
      </c>
      <c r="BT58" s="175">
        <f ca="1">BT59*BT56</f>
        <v>228.15676109761677</v>
      </c>
      <c r="BU58" s="175">
        <f ca="1">BU59*BU56</f>
        <v>187.73786180947374</v>
      </c>
      <c r="BV58" s="174">
        <f ca="1">SUM(BR58:BU58)</f>
        <v>838.81871004166283</v>
      </c>
      <c r="BW58" s="175">
        <f ca="1">BW59*BW56</f>
        <v>247.26354593738628</v>
      </c>
      <c r="BX58" s="175">
        <f ca="1">BX59*BX56</f>
        <v>236.1662616866389</v>
      </c>
      <c r="BY58" s="175">
        <f ca="1">BY59*BY56</f>
        <v>257.05092761866717</v>
      </c>
      <c r="BZ58" s="175">
        <f ca="1">BZ59*BZ56</f>
        <v>213.82863745681902</v>
      </c>
      <c r="CA58" s="174">
        <f ca="1">SUM(BW58:BZ58)</f>
        <v>954.30937269951141</v>
      </c>
    </row>
    <row r="59" spans="1:79" ht="12.75" customHeight="1" x14ac:dyDescent="0.35">
      <c r="B59" s="77" t="s">
        <v>131</v>
      </c>
      <c r="C59" s="58"/>
      <c r="D59" s="58"/>
      <c r="E59" s="58"/>
      <c r="F59" s="58"/>
      <c r="G59" s="58"/>
      <c r="H59" s="58"/>
      <c r="I59" s="66"/>
      <c r="J59" s="275"/>
      <c r="K59" s="275"/>
      <c r="L59" s="275"/>
      <c r="M59" s="275"/>
      <c r="N59" s="67"/>
      <c r="O59" s="271"/>
      <c r="P59" s="271"/>
      <c r="Q59" s="271"/>
      <c r="R59" s="271"/>
      <c r="S59" s="67"/>
      <c r="T59" s="62"/>
      <c r="U59" s="62"/>
      <c r="V59" s="62"/>
      <c r="W59" s="62"/>
      <c r="X59" s="67"/>
      <c r="Y59" s="46">
        <f t="shared" ref="Y59:AN59" si="50">Y58/Y56</f>
        <v>0.23354752935962772</v>
      </c>
      <c r="Z59" s="46">
        <f t="shared" si="50"/>
        <v>0.32121212121212128</v>
      </c>
      <c r="AA59" s="46">
        <f t="shared" si="50"/>
        <v>0.31365392872477454</v>
      </c>
      <c r="AB59" s="46">
        <f t="shared" si="50"/>
        <v>0.93009565857248</v>
      </c>
      <c r="AC59" s="388">
        <f t="shared" si="50"/>
        <v>0.43603089321692412</v>
      </c>
      <c r="AD59" s="46">
        <f t="shared" si="50"/>
        <v>0.14577193380185896</v>
      </c>
      <c r="AE59" s="46">
        <f t="shared" si="50"/>
        <v>0.23733602421796171</v>
      </c>
      <c r="AF59" s="46">
        <f t="shared" si="50"/>
        <v>0.24418604651162787</v>
      </c>
      <c r="AG59" s="46">
        <f t="shared" si="50"/>
        <v>0.21424129353233845</v>
      </c>
      <c r="AH59" s="388">
        <f t="shared" si="50"/>
        <v>0.21041292639138243</v>
      </c>
      <c r="AI59" s="46">
        <f t="shared" si="50"/>
        <v>9.2102065613608786E-2</v>
      </c>
      <c r="AJ59" s="46">
        <f t="shared" si="50"/>
        <v>0.27994461112393243</v>
      </c>
      <c r="AK59" s="46">
        <f t="shared" si="50"/>
        <v>0.25429017160686429</v>
      </c>
      <c r="AL59" s="46">
        <f t="shared" si="50"/>
        <v>0.20132743362831859</v>
      </c>
      <c r="AM59" s="388">
        <f>AM58/AM56</f>
        <v>0.21032272325375775</v>
      </c>
      <c r="AN59" s="46">
        <f t="shared" si="50"/>
        <v>0.13652482269503546</v>
      </c>
      <c r="AO59" s="46">
        <f t="shared" ref="AO59:AW59" si="51">AO58/AO56</f>
        <v>0.23573573573573572</v>
      </c>
      <c r="AP59" s="46">
        <f t="shared" si="51"/>
        <v>0.22036727879799667</v>
      </c>
      <c r="AQ59" s="46">
        <f t="shared" si="51"/>
        <v>0.21446384039900249</v>
      </c>
      <c r="AR59" s="388">
        <f t="shared" si="51"/>
        <v>0.20269058295964126</v>
      </c>
      <c r="AS59" s="46">
        <f t="shared" si="51"/>
        <v>0.14617169373549885</v>
      </c>
      <c r="AT59" s="46">
        <f t="shared" si="51"/>
        <v>0.23878627968337732</v>
      </c>
      <c r="AU59" s="46">
        <f t="shared" si="51"/>
        <v>0.23424878836833601</v>
      </c>
      <c r="AV59" s="46">
        <f t="shared" si="51"/>
        <v>0.17248062015503876</v>
      </c>
      <c r="AW59" s="388">
        <f t="shared" si="51"/>
        <v>0.19637023593466424</v>
      </c>
      <c r="AX59" s="46">
        <f t="shared" ref="AX59:BF59" si="52">AX58/AX56</f>
        <v>0.18226600985221675</v>
      </c>
      <c r="AY59" s="46">
        <f t="shared" si="52"/>
        <v>0.26185101580135439</v>
      </c>
      <c r="AZ59" s="46">
        <f t="shared" si="52"/>
        <v>0.20472440944881889</v>
      </c>
      <c r="BA59" s="46">
        <f t="shared" si="52"/>
        <v>0.24770642201834864</v>
      </c>
      <c r="BB59" s="388">
        <f>BB58/BB56</f>
        <v>0.21931818181818183</v>
      </c>
      <c r="BC59" s="46">
        <f t="shared" si="52"/>
        <v>9.881422924901186E-3</v>
      </c>
      <c r="BD59" s="46">
        <f t="shared" si="52"/>
        <v>0.23373983739837398</v>
      </c>
      <c r="BE59" s="46">
        <f t="shared" si="52"/>
        <v>0.19917864476386038</v>
      </c>
      <c r="BF59" s="46">
        <f t="shared" si="52"/>
        <v>0.24444444444444444</v>
      </c>
      <c r="BG59" s="388">
        <f t="shared" ref="BG59:BO59" si="53">BG58/BG56</f>
        <v>0.16899224806201552</v>
      </c>
      <c r="BH59" s="46">
        <f t="shared" si="53"/>
        <v>0.2327127659574468</v>
      </c>
      <c r="BI59" s="46">
        <f t="shared" si="53"/>
        <v>0.23087621696801114</v>
      </c>
      <c r="BJ59" s="46">
        <f t="shared" si="53"/>
        <v>0.24039829302987198</v>
      </c>
      <c r="BK59" s="46">
        <f t="shared" si="53"/>
        <v>0.24761904761904763</v>
      </c>
      <c r="BL59" s="388">
        <f t="shared" si="53"/>
        <v>0.23712486105965172</v>
      </c>
      <c r="BM59" s="46">
        <f t="shared" si="53"/>
        <v>0.22263681592039802</v>
      </c>
      <c r="BN59" s="46">
        <f t="shared" si="53"/>
        <v>0.25</v>
      </c>
      <c r="BO59" s="50">
        <v>0.18</v>
      </c>
      <c r="BP59" s="50">
        <v>0.18</v>
      </c>
      <c r="BQ59" s="388">
        <f ca="1">BQ58/BQ56</f>
        <v>0.20810731953670902</v>
      </c>
      <c r="BR59" s="50">
        <v>0.23</v>
      </c>
      <c r="BS59" s="50">
        <v>0.23499999999999999</v>
      </c>
      <c r="BT59" s="50">
        <v>0.24</v>
      </c>
      <c r="BU59" s="50">
        <v>0.245</v>
      </c>
      <c r="BV59" s="388">
        <f ca="1">BV58/BV56</f>
        <v>0.23719092563562846</v>
      </c>
      <c r="BW59" s="50">
        <v>0.23499999999999999</v>
      </c>
      <c r="BX59" s="50">
        <v>0.23499999999999999</v>
      </c>
      <c r="BY59" s="50">
        <v>0.24</v>
      </c>
      <c r="BZ59" s="50">
        <v>0.245</v>
      </c>
      <c r="CA59" s="388">
        <f ca="1">CA58/CA56</f>
        <v>0.23851988384834458</v>
      </c>
    </row>
    <row r="60" spans="1:79" ht="12.75" customHeight="1" x14ac:dyDescent="0.35">
      <c r="B60" s="76" t="s">
        <v>63</v>
      </c>
      <c r="C60" s="58"/>
      <c r="D60" s="58"/>
      <c r="E60" s="58"/>
      <c r="F60" s="58"/>
      <c r="G60" s="58"/>
      <c r="H60" s="58"/>
      <c r="I60" s="66"/>
      <c r="J60" s="275"/>
      <c r="K60" s="275"/>
      <c r="L60" s="275"/>
      <c r="M60" s="275"/>
      <c r="N60" s="67"/>
      <c r="O60" s="271"/>
      <c r="P60" s="271"/>
      <c r="Q60" s="271"/>
      <c r="R60" s="271"/>
      <c r="S60" s="67"/>
      <c r="T60" s="173">
        <v>29</v>
      </c>
      <c r="U60" s="173">
        <v>29.5</v>
      </c>
      <c r="V60" s="173">
        <v>31</v>
      </c>
      <c r="W60" s="173">
        <v>32.5</v>
      </c>
      <c r="X60" s="369"/>
      <c r="Y60" s="173">
        <v>0.3</v>
      </c>
      <c r="Z60" s="173">
        <v>1.4</v>
      </c>
      <c r="AA60" s="173">
        <v>2.4</v>
      </c>
      <c r="AB60" s="173">
        <v>3</v>
      </c>
      <c r="AC60" s="174">
        <f>SUM(Y60:AB60)</f>
        <v>7.1</v>
      </c>
      <c r="AD60" s="173">
        <v>3.9</v>
      </c>
      <c r="AE60" s="173">
        <v>1.7</v>
      </c>
      <c r="AF60" s="173">
        <v>1.8</v>
      </c>
      <c r="AG60" s="173">
        <v>2.4</v>
      </c>
      <c r="AH60" s="174">
        <f>SUM(AD60:AG60)</f>
        <v>9.7999999999999989</v>
      </c>
      <c r="AI60" s="173">
        <v>0.7</v>
      </c>
      <c r="AJ60" s="173">
        <v>1.7</v>
      </c>
      <c r="AK60" s="173">
        <v>3</v>
      </c>
      <c r="AL60" s="173">
        <v>2</v>
      </c>
      <c r="AM60" s="174">
        <f>SUM(AI60:AL60)</f>
        <v>7.4</v>
      </c>
      <c r="AN60" s="173">
        <v>-0.4</v>
      </c>
      <c r="AO60" s="173">
        <v>0</v>
      </c>
      <c r="AP60" s="173">
        <v>0</v>
      </c>
      <c r="AQ60" s="173">
        <v>1</v>
      </c>
      <c r="AR60" s="174">
        <f>SUM(AN60:AQ60)</f>
        <v>0.6</v>
      </c>
      <c r="AS60" s="173">
        <v>0</v>
      </c>
      <c r="AT60" s="173">
        <v>0</v>
      </c>
      <c r="AU60" s="173">
        <v>0</v>
      </c>
      <c r="AV60" s="173">
        <v>0</v>
      </c>
      <c r="AW60" s="174">
        <f>SUM(AS60:AV60)</f>
        <v>0</v>
      </c>
      <c r="AX60" s="173">
        <v>0</v>
      </c>
      <c r="AY60" s="173">
        <v>0</v>
      </c>
      <c r="AZ60" s="173">
        <v>0</v>
      </c>
      <c r="BA60" s="173">
        <v>0</v>
      </c>
      <c r="BB60" s="174">
        <f>SUM(AX60:BA60)</f>
        <v>0</v>
      </c>
      <c r="BC60" s="173">
        <v>0</v>
      </c>
      <c r="BD60" s="173">
        <v>0</v>
      </c>
      <c r="BE60" s="173">
        <v>1</v>
      </c>
      <c r="BF60" s="173">
        <v>0</v>
      </c>
      <c r="BG60" s="174">
        <f>SUM(BC60:BF60)</f>
        <v>1</v>
      </c>
      <c r="BH60" s="173">
        <v>0</v>
      </c>
      <c r="BI60" s="173">
        <v>1</v>
      </c>
      <c r="BJ60" s="173">
        <v>0</v>
      </c>
      <c r="BK60" s="173">
        <v>0</v>
      </c>
      <c r="BL60" s="174">
        <f>SUM(BH60:BK60)</f>
        <v>1</v>
      </c>
      <c r="BM60" s="173">
        <v>0</v>
      </c>
      <c r="BN60" s="173">
        <v>1</v>
      </c>
      <c r="BO60" s="175">
        <f>BN60</f>
        <v>1</v>
      </c>
      <c r="BP60" s="175">
        <f>BO60</f>
        <v>1</v>
      </c>
      <c r="BQ60" s="174">
        <f>SUM(BM60:BP60)</f>
        <v>3</v>
      </c>
      <c r="BR60" s="175">
        <f>BP60</f>
        <v>1</v>
      </c>
      <c r="BS60" s="175">
        <f>BR60</f>
        <v>1</v>
      </c>
      <c r="BT60" s="175">
        <f>BS60</f>
        <v>1</v>
      </c>
      <c r="BU60" s="175">
        <f>BT60</f>
        <v>1</v>
      </c>
      <c r="BV60" s="174">
        <f>SUM(BR60:BU60)</f>
        <v>4</v>
      </c>
      <c r="BW60" s="175">
        <f>BU60</f>
        <v>1</v>
      </c>
      <c r="BX60" s="175">
        <f>BW60</f>
        <v>1</v>
      </c>
      <c r="BY60" s="175">
        <f>BX60</f>
        <v>1</v>
      </c>
      <c r="BZ60" s="175">
        <f>BY60</f>
        <v>1</v>
      </c>
      <c r="CA60" s="174">
        <f>SUM(BW60:BZ60)</f>
        <v>4</v>
      </c>
    </row>
    <row r="61" spans="1:79" ht="12.75" customHeight="1" x14ac:dyDescent="0.35">
      <c r="B61" s="77"/>
      <c r="C61" s="58"/>
      <c r="D61" s="58"/>
      <c r="E61" s="58"/>
      <c r="F61" s="58"/>
      <c r="G61" s="58"/>
      <c r="H61" s="58"/>
      <c r="I61" s="66"/>
      <c r="J61" s="275"/>
      <c r="K61" s="275"/>
      <c r="L61" s="275"/>
      <c r="M61" s="275"/>
      <c r="N61" s="67"/>
      <c r="O61" s="271"/>
      <c r="P61" s="271"/>
      <c r="Q61" s="271"/>
      <c r="R61" s="271"/>
      <c r="S61" s="67"/>
      <c r="T61" s="56"/>
      <c r="U61" s="56"/>
      <c r="V61" s="56"/>
      <c r="W61" s="56"/>
      <c r="X61" s="67"/>
      <c r="Y61" s="56"/>
      <c r="Z61" s="56"/>
      <c r="AA61" s="56"/>
      <c r="AB61" s="56"/>
      <c r="AC61" s="67"/>
      <c r="AD61" s="56"/>
      <c r="AE61" s="56"/>
      <c r="AF61" s="56"/>
      <c r="AG61" s="56"/>
      <c r="AH61" s="67"/>
      <c r="AI61" s="56"/>
      <c r="AJ61" s="56"/>
      <c r="AK61" s="56"/>
      <c r="AL61" s="56"/>
      <c r="AM61" s="67"/>
      <c r="AN61" s="56"/>
      <c r="AO61" s="56"/>
      <c r="AP61" s="56"/>
      <c r="AQ61" s="56"/>
      <c r="AR61" s="67"/>
      <c r="AS61" s="56"/>
      <c r="AT61" s="56"/>
      <c r="AU61" s="56"/>
      <c r="AV61" s="56"/>
      <c r="AW61" s="67"/>
      <c r="AX61" s="56"/>
      <c r="AY61" s="56"/>
      <c r="AZ61" s="56"/>
      <c r="BA61" s="56"/>
      <c r="BB61" s="67"/>
      <c r="BC61" s="56"/>
      <c r="BD61" s="56"/>
      <c r="BE61" s="56"/>
      <c r="BF61" s="56"/>
      <c r="BG61" s="67"/>
      <c r="BH61" s="56"/>
      <c r="BI61" s="56"/>
      <c r="BJ61" s="56"/>
      <c r="BK61" s="56"/>
      <c r="BL61" s="67"/>
      <c r="BM61" s="56"/>
      <c r="BN61" s="56"/>
      <c r="BO61" s="56"/>
      <c r="BP61" s="56"/>
      <c r="BQ61" s="67"/>
      <c r="BR61" s="56"/>
      <c r="BS61" s="56"/>
      <c r="BT61" s="56"/>
      <c r="BU61" s="56"/>
      <c r="BV61" s="67"/>
      <c r="BW61" s="56"/>
      <c r="BX61" s="56"/>
      <c r="BY61" s="56"/>
      <c r="BZ61" s="56"/>
      <c r="CA61" s="67"/>
    </row>
    <row r="62" spans="1:79" ht="12.75" customHeight="1" x14ac:dyDescent="0.35">
      <c r="B62" s="585" t="s">
        <v>474</v>
      </c>
      <c r="C62" s="585"/>
      <c r="D62" s="586"/>
      <c r="E62" s="586"/>
      <c r="F62" s="586"/>
      <c r="G62" s="586"/>
      <c r="H62" s="586"/>
      <c r="I62" s="587"/>
      <c r="J62" s="588"/>
      <c r="K62" s="588"/>
      <c r="L62" s="588"/>
      <c r="M62" s="588"/>
      <c r="N62" s="589"/>
      <c r="O62" s="590"/>
      <c r="P62" s="590"/>
      <c r="Q62" s="590"/>
      <c r="R62" s="590"/>
      <c r="S62" s="589"/>
      <c r="T62" s="391"/>
      <c r="U62" s="391"/>
      <c r="V62" s="391"/>
      <c r="W62" s="391"/>
      <c r="X62" s="369"/>
      <c r="Y62" s="179">
        <f>Y56-Y58-Y60</f>
        <v>345.60000000000008</v>
      </c>
      <c r="Z62" s="179">
        <f>Z56-Z58-Z60</f>
        <v>312.19999999999993</v>
      </c>
      <c r="AA62" s="179">
        <f>AA56-AA58-AA60</f>
        <v>317.30000000000007</v>
      </c>
      <c r="AB62" s="179">
        <f>AB56-AB58-AB60</f>
        <v>25.499999999999886</v>
      </c>
      <c r="AC62" s="174">
        <f>SUM(Y62:AB62)</f>
        <v>1000.5999999999999</v>
      </c>
      <c r="AD62" s="179">
        <f>AD56-AD58-AD60</f>
        <v>372.90000000000009</v>
      </c>
      <c r="AE62" s="179">
        <f>AE56-AE58-AE60</f>
        <v>376.19999999999987</v>
      </c>
      <c r="AF62" s="179">
        <f>AF56-AF58-AF60</f>
        <v>310.20000000000005</v>
      </c>
      <c r="AG62" s="179">
        <f>AG56-AG58-AG60</f>
        <v>250.29999999999978</v>
      </c>
      <c r="AH62" s="174">
        <f>SUM(AD62:AG62)</f>
        <v>1309.5999999999997</v>
      </c>
      <c r="AI62" s="179">
        <f>AI56-AI58-AI60</f>
        <v>372.89999999999986</v>
      </c>
      <c r="AJ62" s="179">
        <f>AJ56-AJ58-AJ60</f>
        <v>310.30000000000024</v>
      </c>
      <c r="AK62" s="179">
        <f>AK56-AK58-AK60</f>
        <v>379.4</v>
      </c>
      <c r="AL62" s="179">
        <f>AL56-AL58-AL60</f>
        <v>359</v>
      </c>
      <c r="AM62" s="174">
        <f>SUM(AI62:AL62)</f>
        <v>1421.6</v>
      </c>
      <c r="AN62" s="179">
        <f>AN56-AN58-AN60</f>
        <v>487.4</v>
      </c>
      <c r="AO62" s="179">
        <f>AO56-AO58-AO60</f>
        <v>509</v>
      </c>
      <c r="AP62" s="179">
        <f>AP56-AP58-AP60</f>
        <v>467</v>
      </c>
      <c r="AQ62" s="179">
        <f>AQ56-AQ58-AQ60</f>
        <v>314</v>
      </c>
      <c r="AR62" s="174">
        <f>SUM(AN62:AQ62)</f>
        <v>1777.4</v>
      </c>
      <c r="AS62" s="179">
        <f>AS56-AS58-AS60</f>
        <v>736</v>
      </c>
      <c r="AT62" s="179">
        <f>AT56-AT58-AT60</f>
        <v>577</v>
      </c>
      <c r="AU62" s="179">
        <f>AU56-AU58-AU60</f>
        <v>474</v>
      </c>
      <c r="AV62" s="179">
        <f>AV56-AV58-AV60</f>
        <v>427</v>
      </c>
      <c r="AW62" s="174">
        <f>SUM(AS62:AV62)</f>
        <v>2214</v>
      </c>
      <c r="AX62" s="179">
        <f>AX56-AX58-AX60</f>
        <v>498</v>
      </c>
      <c r="AY62" s="179">
        <f>AY56-AY58-AY60</f>
        <v>327</v>
      </c>
      <c r="AZ62" s="179">
        <f>AZ56-AZ58-AZ60</f>
        <v>303</v>
      </c>
      <c r="BA62" s="179">
        <f>BA56-BA58-BA60</f>
        <v>246</v>
      </c>
      <c r="BB62" s="174">
        <f>SUM(AX62:BA62)</f>
        <v>1374</v>
      </c>
      <c r="BC62" s="179">
        <f>BC56-BC58-BC60</f>
        <v>501</v>
      </c>
      <c r="BD62" s="179">
        <f>BD56-BD58-BD60</f>
        <v>377</v>
      </c>
      <c r="BE62" s="179">
        <f>BE56-BE58-BE60</f>
        <v>389</v>
      </c>
      <c r="BF62" s="179">
        <f>BF56-BF58-BF60</f>
        <v>340</v>
      </c>
      <c r="BG62" s="174">
        <f>SUM(BC62:BF62)</f>
        <v>1607</v>
      </c>
      <c r="BH62" s="179">
        <f>BH56-BH58-BH60</f>
        <v>577</v>
      </c>
      <c r="BI62" s="179">
        <f>BI56-BI58-BI60</f>
        <v>552</v>
      </c>
      <c r="BJ62" s="179">
        <f>BJ56-BJ58-BJ60</f>
        <v>534</v>
      </c>
      <c r="BK62" s="179">
        <f>BK56-BK58-BK60</f>
        <v>395</v>
      </c>
      <c r="BL62" s="174">
        <f>SUM(BH62:BK62)</f>
        <v>2058</v>
      </c>
      <c r="BM62" s="179">
        <f>BM56-BM58-BM60</f>
        <v>625</v>
      </c>
      <c r="BN62" s="179">
        <f>BN56-BN58-BN60</f>
        <v>578</v>
      </c>
      <c r="BO62" s="179">
        <f ca="1">BO56-BO58-BO60</f>
        <v>718.72867000377255</v>
      </c>
      <c r="BP62" s="179">
        <f ca="1">BP56-BP58-BP60</f>
        <v>563.58977128957281</v>
      </c>
      <c r="BQ62" s="174">
        <f ca="1">SUM(BM62:BP62)</f>
        <v>2485.3184412933451</v>
      </c>
      <c r="BR62" s="179">
        <f ca="1">BR56-BR58-BR60</f>
        <v>717.85534647472525</v>
      </c>
      <c r="BS62" s="179">
        <f ca="1">BS56-BS58-BS60</f>
        <v>676.7609025387784</v>
      </c>
      <c r="BT62" s="179">
        <f ca="1">BT56-BT58-BT60</f>
        <v>721.49641014245321</v>
      </c>
      <c r="BU62" s="179">
        <f ca="1">BU56-BU58-BU60</f>
        <v>577.53912516797004</v>
      </c>
      <c r="BV62" s="174">
        <f ca="1">SUM(BR62:BU62)</f>
        <v>2693.6517843239271</v>
      </c>
      <c r="BW62" s="179">
        <f ca="1">BW56-BW58-BW60</f>
        <v>803.92175592383194</v>
      </c>
      <c r="BX62" s="179">
        <f ca="1">BX56-BX58-BX60</f>
        <v>767.79655400118634</v>
      </c>
      <c r="BY62" s="179">
        <f ca="1">BY56-BY58-BY60</f>
        <v>812.99460412577946</v>
      </c>
      <c r="BZ62" s="179">
        <f ca="1">BZ56-BZ58-BZ60</f>
        <v>657.94131134652389</v>
      </c>
      <c r="CA62" s="174">
        <f ca="1">SUM(BW62:BZ62)</f>
        <v>3042.6542253973216</v>
      </c>
    </row>
    <row r="63" spans="1:79" ht="12.75" customHeight="1" x14ac:dyDescent="0.35">
      <c r="B63" s="591" t="s">
        <v>473</v>
      </c>
      <c r="C63" s="591"/>
      <c r="D63" s="592"/>
      <c r="E63" s="592"/>
      <c r="F63" s="592"/>
      <c r="G63" s="592"/>
      <c r="H63" s="592"/>
      <c r="I63" s="597"/>
      <c r="J63" s="598"/>
      <c r="K63" s="598"/>
      <c r="L63" s="598"/>
      <c r="M63" s="598"/>
      <c r="N63" s="599"/>
      <c r="O63" s="600"/>
      <c r="P63" s="600"/>
      <c r="Q63" s="600"/>
      <c r="R63" s="600"/>
      <c r="S63" s="599"/>
      <c r="T63" s="601"/>
      <c r="U63" s="601"/>
      <c r="V63" s="601"/>
      <c r="W63" s="601"/>
      <c r="X63" s="602"/>
      <c r="Y63" s="603">
        <f>Y62/Y65</f>
        <v>1.7786927431806487</v>
      </c>
      <c r="Z63" s="603">
        <f>Z62/Z65</f>
        <v>1.6109391124870998</v>
      </c>
      <c r="AA63" s="603">
        <f>AA62/AA65</f>
        <v>1.6347243688820199</v>
      </c>
      <c r="AB63" s="603">
        <f>AB62/AB65</f>
        <v>0.13117283950617226</v>
      </c>
      <c r="AC63" s="604">
        <f>SUM(Y63:AB63)</f>
        <v>5.1555290640559406</v>
      </c>
      <c r="AD63" s="603">
        <f>AD62/AD65</f>
        <v>1.9172236503856046</v>
      </c>
      <c r="AE63" s="603">
        <f>AE62/AE65</f>
        <v>1.9351851851851845</v>
      </c>
      <c r="AF63" s="603">
        <f>AF62/AF65</f>
        <v>1.5948586118251931</v>
      </c>
      <c r="AG63" s="603">
        <f>AG62/AG65</f>
        <v>1.2902061855670093</v>
      </c>
      <c r="AH63" s="604">
        <f>SUM(AD63:AG63)</f>
        <v>6.737473632962991</v>
      </c>
      <c r="AI63" s="603">
        <f>AI62/AI65</f>
        <v>1.9341286307053933</v>
      </c>
      <c r="AJ63" s="603">
        <f>AJ62/AJ65</f>
        <v>1.6220595922634617</v>
      </c>
      <c r="AK63" s="603">
        <f>AK62/AK65</f>
        <v>1.9853479853479852</v>
      </c>
      <c r="AL63" s="603">
        <f>AL62/AL65</f>
        <v>1.8835257082896117</v>
      </c>
      <c r="AM63" s="604">
        <f>SUM(AI63:AL63)</f>
        <v>7.4250619166064515</v>
      </c>
      <c r="AN63" s="603">
        <f>AN62/AN65</f>
        <v>2.5706751054852321</v>
      </c>
      <c r="AO63" s="603">
        <f>AO62/AO65</f>
        <v>2.693121693121693</v>
      </c>
      <c r="AP63" s="603">
        <f>AP62/AP65</f>
        <v>2.466983623877443</v>
      </c>
      <c r="AQ63" s="603">
        <f>AQ62/AQ65</f>
        <v>1.6596194503171249</v>
      </c>
      <c r="AR63" s="604">
        <f>SUM(AN63:AQ63)</f>
        <v>9.3903998728014937</v>
      </c>
      <c r="AS63" s="603">
        <f>AS62/AS65</f>
        <v>3.9024390243902438</v>
      </c>
      <c r="AT63" s="603">
        <f>AT62/AT65</f>
        <v>3.070782331027142</v>
      </c>
      <c r="AU63" s="603">
        <f>AU62/AU65</f>
        <v>2.5306994127068871</v>
      </c>
      <c r="AV63" s="603">
        <f>AV62/AV65</f>
        <v>2.2785485592315902</v>
      </c>
      <c r="AW63" s="604">
        <f>SUM(AS63:AV63)</f>
        <v>11.782469327355862</v>
      </c>
      <c r="AX63" s="603">
        <f>AX62/AX65</f>
        <v>2.675980655561526</v>
      </c>
      <c r="AY63" s="603">
        <f>AY62/AY65</f>
        <v>1.7685235262303947</v>
      </c>
      <c r="AZ63" s="603">
        <f>AZ62/AZ65</f>
        <v>1.6476345840130506</v>
      </c>
      <c r="BA63" s="603">
        <f>BA62/BA65</f>
        <v>1.3376835236541598</v>
      </c>
      <c r="BB63" s="604">
        <f>SUM(AX63:BA63)</f>
        <v>7.4298222894591301</v>
      </c>
      <c r="BC63" s="603">
        <f t="shared" ref="BC63:BK63" si="54">BC62/BC65</f>
        <v>2.7213470939706683</v>
      </c>
      <c r="BD63" s="603">
        <f t="shared" si="54"/>
        <v>2.0478001086366104</v>
      </c>
      <c r="BE63" s="603">
        <f t="shared" si="54"/>
        <v>2.1141304347826089</v>
      </c>
      <c r="BF63" s="603">
        <f t="shared" si="54"/>
        <v>1.8518518518518519</v>
      </c>
      <c r="BG63" s="604">
        <f t="shared" si="54"/>
        <v>8.7336956521739122</v>
      </c>
      <c r="BH63" s="603">
        <f t="shared" si="54"/>
        <v>3.1461286804798254</v>
      </c>
      <c r="BI63" s="603">
        <f t="shared" si="54"/>
        <v>3.0163934426229506</v>
      </c>
      <c r="BJ63" s="603">
        <f>BJ62/BJ65</f>
        <v>2.9260273972602739</v>
      </c>
      <c r="BK63" s="603">
        <f t="shared" si="54"/>
        <v>2.1739130434782612</v>
      </c>
      <c r="BL63" s="604">
        <f>SUM(BH63:BK63)</f>
        <v>11.262462563841311</v>
      </c>
      <c r="BM63" s="603">
        <f>BM62/BM65</f>
        <v>3.4587714443829554</v>
      </c>
      <c r="BN63" s="603">
        <f>BN62/BN65</f>
        <v>3.2075471698113209</v>
      </c>
      <c r="BO63" s="603">
        <f ca="1">BO62/BO65</f>
        <v>4.0029444166180594</v>
      </c>
      <c r="BP63" s="603">
        <f ca="1">BP62/BP65</f>
        <v>3.1503061558947616</v>
      </c>
      <c r="BQ63" s="604">
        <f ca="1">SUM(BM63:BP63)</f>
        <v>13.819569186707096</v>
      </c>
      <c r="BR63" s="603">
        <f ca="1">BR62/BR65</f>
        <v>4.026109626891337</v>
      </c>
      <c r="BS63" s="603">
        <f ca="1">BS62/BS65</f>
        <v>3.8084462720246397</v>
      </c>
      <c r="BT63" s="603">
        <f ca="1">BT62/BT65</f>
        <v>4.073949238523169</v>
      </c>
      <c r="BU63" s="603">
        <f ca="1">BU62/BU65</f>
        <v>3.272176346560737</v>
      </c>
      <c r="BV63" s="604">
        <f ca="1">SUM(BR63:BU63)</f>
        <v>15.180681483999884</v>
      </c>
      <c r="BW63" s="603">
        <f ca="1">BW62/BW65</f>
        <v>4.5716335281423488</v>
      </c>
      <c r="BX63" s="603">
        <f ca="1">BX62/BX65</f>
        <v>4.3811500941579817</v>
      </c>
      <c r="BY63" s="603">
        <f ca="1">BY62/BY65</f>
        <v>4.654993439025362</v>
      </c>
      <c r="BZ63" s="603">
        <f ca="1">BZ62/BZ65</f>
        <v>3.7801856440478243</v>
      </c>
      <c r="CA63" s="604">
        <f ca="1">SUM(BW63:BZ63)</f>
        <v>17.387962705373518</v>
      </c>
    </row>
    <row r="64" spans="1:79" ht="12.75" customHeight="1" x14ac:dyDescent="0.35">
      <c r="A64" s="24"/>
      <c r="B64" s="42" t="s">
        <v>56</v>
      </c>
      <c r="C64" s="124"/>
      <c r="D64" s="125"/>
      <c r="E64" s="125"/>
      <c r="F64" s="125"/>
      <c r="G64" s="125"/>
      <c r="H64" s="125"/>
      <c r="I64" s="126"/>
      <c r="J64" s="277"/>
      <c r="K64" s="277"/>
      <c r="L64" s="277"/>
      <c r="M64" s="277"/>
      <c r="N64" s="371"/>
      <c r="O64" s="372"/>
      <c r="P64" s="372"/>
      <c r="Q64" s="372"/>
      <c r="R64" s="372"/>
      <c r="S64" s="371"/>
      <c r="T64" s="375"/>
      <c r="U64" s="375"/>
      <c r="V64" s="375"/>
      <c r="W64" s="375"/>
      <c r="X64" s="237"/>
      <c r="Y64" s="154" t="str">
        <f t="shared" ref="Y64:AH64" si="55">IFERROR(Y63/T63-1,"NA")</f>
        <v>NA</v>
      </c>
      <c r="Z64" s="154" t="str">
        <f t="shared" si="55"/>
        <v>NA</v>
      </c>
      <c r="AA64" s="154" t="str">
        <f t="shared" si="55"/>
        <v>NA</v>
      </c>
      <c r="AB64" s="154" t="str">
        <f t="shared" si="55"/>
        <v>NA</v>
      </c>
      <c r="AC64" s="192" t="str">
        <f t="shared" si="55"/>
        <v>NA</v>
      </c>
      <c r="AD64" s="154">
        <f t="shared" si="55"/>
        <v>7.7883551128249184E-2</v>
      </c>
      <c r="AE64" s="154">
        <f t="shared" si="55"/>
        <v>0.2012776710086126</v>
      </c>
      <c r="AF64" s="154">
        <f t="shared" si="55"/>
        <v>-2.4386837203687617E-2</v>
      </c>
      <c r="AG64" s="154">
        <f t="shared" si="55"/>
        <v>8.8359248029108901</v>
      </c>
      <c r="AH64" s="192">
        <f t="shared" si="55"/>
        <v>0.30684427325534425</v>
      </c>
      <c r="AI64" s="154">
        <f t="shared" ref="AI64:AT64" si="56">IFERROR(AI63/AD63-1,"NA")</f>
        <v>8.8174273858914187E-3</v>
      </c>
      <c r="AJ64" s="154">
        <f t="shared" si="56"/>
        <v>-0.16180652648586635</v>
      </c>
      <c r="AK64" s="154">
        <f t="shared" si="56"/>
        <v>0.24484262782135091</v>
      </c>
      <c r="AL64" s="154">
        <f t="shared" si="56"/>
        <v>0.45986411269750294</v>
      </c>
      <c r="AM64" s="192">
        <f t="shared" si="56"/>
        <v>0.10205431903724937</v>
      </c>
      <c r="AN64" s="154">
        <f t="shared" si="56"/>
        <v>0.32911279253835612</v>
      </c>
      <c r="AO64" s="154">
        <f t="shared" si="56"/>
        <v>0.66030995776403323</v>
      </c>
      <c r="AP64" s="154">
        <f t="shared" si="56"/>
        <v>0.24259507254343537</v>
      </c>
      <c r="AQ64" s="154">
        <f t="shared" si="56"/>
        <v>-0.11887613584834544</v>
      </c>
      <c r="AR64" s="192">
        <f t="shared" si="56"/>
        <v>0.26468977340101163</v>
      </c>
      <c r="AS64" s="154">
        <f t="shared" si="56"/>
        <v>0.51805998979152679</v>
      </c>
      <c r="AT64" s="154">
        <f t="shared" si="56"/>
        <v>0.14023155317117841</v>
      </c>
      <c r="AU64" s="154">
        <f t="shared" ref="AU64:BQ64" si="57">IFERROR(AU63/AP63-1,"NA")</f>
        <v>2.5827406478402093E-2</v>
      </c>
      <c r="AV64" s="154">
        <f t="shared" si="57"/>
        <v>0.37293435479814274</v>
      </c>
      <c r="AW64" s="192">
        <f t="shared" si="57"/>
        <v>0.2547356328757413</v>
      </c>
      <c r="AX64" s="154">
        <f t="shared" si="57"/>
        <v>-0.314279957012359</v>
      </c>
      <c r="AY64" s="154">
        <f t="shared" si="57"/>
        <v>-0.42408046693467738</v>
      </c>
      <c r="AZ64" s="154">
        <f t="shared" si="57"/>
        <v>-0.34894101775180508</v>
      </c>
      <c r="BA64" s="154">
        <f t="shared" si="57"/>
        <v>-0.41292296877566848</v>
      </c>
      <c r="BB64" s="192">
        <f t="shared" si="57"/>
        <v>-0.36941721781452086</v>
      </c>
      <c r="BC64" s="154">
        <f t="shared" si="57"/>
        <v>1.6953201180605282E-2</v>
      </c>
      <c r="BD64" s="154">
        <f t="shared" si="57"/>
        <v>0.15791510729941693</v>
      </c>
      <c r="BE64" s="154">
        <f t="shared" si="57"/>
        <v>0.28313065002152404</v>
      </c>
      <c r="BF64" s="154">
        <f t="shared" si="57"/>
        <v>0.38437217705510407</v>
      </c>
      <c r="BG64" s="192">
        <f t="shared" si="57"/>
        <v>0.17549186399311578</v>
      </c>
      <c r="BH64" s="154">
        <f t="shared" si="57"/>
        <v>0.15609239536194774</v>
      </c>
      <c r="BI64" s="154">
        <f>IFERROR(BI63/BD63-1,"NA")</f>
        <v>0.47299212940818358</v>
      </c>
      <c r="BJ64" s="154">
        <f>IFERROR(BJ63/BE63-1,"NA")</f>
        <v>0.38403352466809859</v>
      </c>
      <c r="BK64" s="154">
        <f t="shared" si="57"/>
        <v>0.17391304347826098</v>
      </c>
      <c r="BL64" s="192">
        <f t="shared" si="57"/>
        <v>0.28954145099365358</v>
      </c>
      <c r="BM64" s="154">
        <f t="shared" si="57"/>
        <v>9.9373800519642952E-2</v>
      </c>
      <c r="BN64" s="154">
        <f t="shared" si="57"/>
        <v>6.337161607875319E-2</v>
      </c>
      <c r="BO64" s="154">
        <f t="shared" ca="1" si="57"/>
        <v>0.36804748320748293</v>
      </c>
      <c r="BP64" s="154">
        <f t="shared" ca="1" si="57"/>
        <v>0.44914083171159014</v>
      </c>
      <c r="BQ64" s="192">
        <f t="shared" ca="1" si="57"/>
        <v>0.22704684773608053</v>
      </c>
      <c r="BR64" s="154">
        <f t="shared" ref="BR64:CA64" ca="1" si="58">IFERROR(BR63/BM63-1,"NA")</f>
        <v>0.16402881532682323</v>
      </c>
      <c r="BS64" s="154">
        <f t="shared" ca="1" si="58"/>
        <v>0.18733913186650519</v>
      </c>
      <c r="BT64" s="154">
        <f t="shared" ca="1" si="58"/>
        <v>1.7738148351582383E-2</v>
      </c>
      <c r="BU64" s="154">
        <f t="shared" ca="1" si="58"/>
        <v>3.8685189513385954E-2</v>
      </c>
      <c r="BV64" s="192">
        <f t="shared" ca="1" si="58"/>
        <v>9.8491659103384199E-2</v>
      </c>
      <c r="BW64" s="154">
        <f t="shared" ca="1" si="58"/>
        <v>0.1354965343236878</v>
      </c>
      <c r="BX64" s="154">
        <f t="shared" ca="1" si="58"/>
        <v>0.15037728806631745</v>
      </c>
      <c r="BY64" s="154">
        <f t="shared" ca="1" si="58"/>
        <v>0.14262431033942513</v>
      </c>
      <c r="BZ64" s="154">
        <f t="shared" ca="1" si="58"/>
        <v>0.15525119788272934</v>
      </c>
      <c r="CA64" s="192">
        <f t="shared" ca="1" si="58"/>
        <v>0.14540066753261782</v>
      </c>
    </row>
    <row r="65" spans="1:79" ht="12.75" customHeight="1" x14ac:dyDescent="0.35">
      <c r="B65" s="76" t="s">
        <v>33</v>
      </c>
      <c r="C65" s="79"/>
      <c r="D65" s="76"/>
      <c r="E65" s="76"/>
      <c r="F65" s="76"/>
      <c r="G65" s="76"/>
      <c r="H65" s="76"/>
      <c r="I65" s="39"/>
      <c r="J65" s="16"/>
      <c r="K65" s="16"/>
      <c r="L65" s="16"/>
      <c r="M65" s="16"/>
      <c r="N65" s="39"/>
      <c r="O65" s="16"/>
      <c r="P65" s="16"/>
      <c r="Q65" s="16"/>
      <c r="R65" s="16"/>
      <c r="S65" s="376"/>
      <c r="T65" s="377"/>
      <c r="U65" s="377"/>
      <c r="V65" s="377"/>
      <c r="W65" s="377"/>
      <c r="X65" s="376"/>
      <c r="Y65" s="72">
        <v>194.3</v>
      </c>
      <c r="Z65" s="72">
        <v>193.8</v>
      </c>
      <c r="AA65" s="72">
        <v>194.1</v>
      </c>
      <c r="AB65" s="72">
        <v>194.4</v>
      </c>
      <c r="AC65" s="231">
        <v>194.2</v>
      </c>
      <c r="AD65" s="72">
        <v>194.5</v>
      </c>
      <c r="AE65" s="72">
        <v>194.4</v>
      </c>
      <c r="AF65" s="72">
        <v>194.5</v>
      </c>
      <c r="AG65" s="72">
        <v>194</v>
      </c>
      <c r="AH65" s="230">
        <v>194.4</v>
      </c>
      <c r="AI65" s="72">
        <v>192.8</v>
      </c>
      <c r="AJ65" s="72">
        <v>191.3</v>
      </c>
      <c r="AK65" s="72">
        <v>191.1</v>
      </c>
      <c r="AL65" s="72">
        <v>190.6</v>
      </c>
      <c r="AM65" s="390">
        <f>AVERAGE(AI65:AL65)</f>
        <v>191.45000000000002</v>
      </c>
      <c r="AN65" s="72">
        <v>189.6</v>
      </c>
      <c r="AO65" s="72">
        <v>189</v>
      </c>
      <c r="AP65" s="72">
        <v>189.3</v>
      </c>
      <c r="AQ65" s="72">
        <v>189.2</v>
      </c>
      <c r="AR65" s="390">
        <f>AVERAGE(AN65:AQ65)</f>
        <v>189.27500000000003</v>
      </c>
      <c r="AS65" s="72">
        <v>188.6</v>
      </c>
      <c r="AT65" s="72">
        <v>187.9</v>
      </c>
      <c r="AU65" s="72">
        <v>187.3</v>
      </c>
      <c r="AV65" s="72">
        <v>187.4</v>
      </c>
      <c r="AW65" s="230">
        <v>187.9</v>
      </c>
      <c r="AX65" s="72">
        <v>186.1</v>
      </c>
      <c r="AY65" s="72">
        <v>184.9</v>
      </c>
      <c r="AZ65" s="72">
        <v>183.9</v>
      </c>
      <c r="BA65" s="72">
        <v>183.9</v>
      </c>
      <c r="BB65" s="390">
        <f>AVERAGE(AX65:BA65)</f>
        <v>184.7</v>
      </c>
      <c r="BC65" s="72">
        <v>184.1</v>
      </c>
      <c r="BD65" s="72">
        <v>184.1</v>
      </c>
      <c r="BE65" s="72">
        <v>184</v>
      </c>
      <c r="BF65" s="72">
        <v>183.6</v>
      </c>
      <c r="BG65" s="230">
        <v>184</v>
      </c>
      <c r="BH65" s="72">
        <v>183.4</v>
      </c>
      <c r="BI65" s="72">
        <v>183</v>
      </c>
      <c r="BJ65" s="72">
        <v>182.5</v>
      </c>
      <c r="BK65" s="72">
        <v>181.7</v>
      </c>
      <c r="BL65" s="390">
        <f>AVERAGE(BH65:BK65)</f>
        <v>182.64999999999998</v>
      </c>
      <c r="BM65" s="72">
        <v>180.7</v>
      </c>
      <c r="BN65" s="72">
        <v>180.2</v>
      </c>
      <c r="BO65" s="72">
        <f>BN65-0.65</f>
        <v>179.54999999999998</v>
      </c>
      <c r="BP65" s="72">
        <f>BO65-0.65</f>
        <v>178.89999999999998</v>
      </c>
      <c r="BQ65" s="390">
        <f>AVERAGE(BM65:BP65)</f>
        <v>179.83749999999998</v>
      </c>
      <c r="BR65" s="72">
        <f>BP65-0.6</f>
        <v>178.29999999999998</v>
      </c>
      <c r="BS65" s="72">
        <f>BR65-0.6</f>
        <v>177.7</v>
      </c>
      <c r="BT65" s="72">
        <f t="shared" ref="BT65:BU65" si="59">BS65-0.6</f>
        <v>177.1</v>
      </c>
      <c r="BU65" s="72">
        <f t="shared" si="59"/>
        <v>176.5</v>
      </c>
      <c r="BV65" s="390">
        <f>AVERAGE(BR65:BU65)</f>
        <v>177.4</v>
      </c>
      <c r="BW65" s="72">
        <f>BU65-0.65</f>
        <v>175.85</v>
      </c>
      <c r="BX65" s="72">
        <f>BW65-0.6</f>
        <v>175.25</v>
      </c>
      <c r="BY65" s="72">
        <f>BX65-0.6</f>
        <v>174.65</v>
      </c>
      <c r="BZ65" s="72">
        <f>BY65-0.6</f>
        <v>174.05</v>
      </c>
      <c r="CA65" s="390">
        <f>AVERAGE(BW65:BZ65)</f>
        <v>174.95</v>
      </c>
    </row>
    <row r="66" spans="1:79" ht="12.75" customHeight="1" x14ac:dyDescent="0.35">
      <c r="B66" s="84"/>
      <c r="C66" s="84"/>
      <c r="D66" s="84"/>
      <c r="E66" s="84"/>
      <c r="F66" s="84"/>
      <c r="G66" s="84"/>
      <c r="H66" s="84"/>
      <c r="I66" s="85"/>
      <c r="J66" s="88"/>
      <c r="K66" s="88"/>
      <c r="L66" s="88"/>
      <c r="M66" s="88"/>
      <c r="N66" s="86"/>
      <c r="O66" s="87"/>
      <c r="P66" s="87"/>
      <c r="Q66" s="87"/>
      <c r="R66" s="87"/>
      <c r="S66" s="25"/>
      <c r="T66" s="89"/>
      <c r="U66" s="89"/>
      <c r="V66" s="90"/>
      <c r="W66" s="90"/>
      <c r="X66" s="25"/>
      <c r="Y66" s="89"/>
      <c r="Z66" s="89"/>
      <c r="AA66" s="90"/>
      <c r="AB66" s="90"/>
      <c r="AC66" s="25"/>
      <c r="AD66" s="89"/>
      <c r="AE66" s="89"/>
      <c r="AF66" s="90"/>
      <c r="AG66" s="90"/>
      <c r="AH66" s="25"/>
      <c r="AI66" s="89"/>
      <c r="AJ66" s="89"/>
      <c r="AK66" s="90"/>
      <c r="AL66" s="90"/>
      <c r="AM66" s="25"/>
      <c r="AN66" s="87"/>
      <c r="AO66" s="88"/>
      <c r="AP66" s="88"/>
      <c r="AQ66" s="88"/>
      <c r="AR66" s="85"/>
      <c r="AS66" s="87"/>
      <c r="AT66" s="88"/>
      <c r="AU66" s="88"/>
      <c r="AV66" s="88"/>
      <c r="AW66" s="85"/>
      <c r="AX66" s="498"/>
      <c r="AY66" s="498"/>
      <c r="AZ66" s="498"/>
      <c r="BA66" s="498"/>
      <c r="BB66" s="567"/>
      <c r="BC66" s="498"/>
      <c r="BD66" s="498"/>
      <c r="BE66" s="498"/>
      <c r="BF66" s="498"/>
      <c r="BG66" s="85"/>
      <c r="BH66" s="498"/>
      <c r="BI66" s="498"/>
      <c r="BJ66" s="498"/>
      <c r="BK66" s="498"/>
      <c r="BL66" s="664"/>
      <c r="BM66" s="498"/>
      <c r="BN66" s="498"/>
      <c r="BO66" s="498"/>
      <c r="BP66" s="498"/>
      <c r="BQ66" s="664"/>
      <c r="BR66" s="498"/>
      <c r="BS66" s="498"/>
      <c r="BT66" s="498"/>
      <c r="BU66" s="498"/>
      <c r="BV66" s="664"/>
      <c r="BW66" s="498"/>
      <c r="BX66" s="498"/>
      <c r="BY66" s="498"/>
      <c r="BZ66" s="498"/>
      <c r="CA66" s="664"/>
    </row>
    <row r="67" spans="1:79" ht="12.75" customHeight="1" x14ac:dyDescent="0.35">
      <c r="A67" s="24"/>
      <c r="B67" s="91" t="s">
        <v>291</v>
      </c>
      <c r="C67" s="91"/>
      <c r="D67" s="91"/>
      <c r="E67" s="91"/>
      <c r="F67" s="91"/>
      <c r="G67" s="91"/>
      <c r="H67" s="91"/>
      <c r="I67" s="92"/>
      <c r="J67" s="93"/>
      <c r="K67" s="93"/>
      <c r="L67" s="93"/>
      <c r="M67" s="93"/>
      <c r="N67" s="92"/>
      <c r="O67" s="93"/>
      <c r="P67" s="93"/>
      <c r="Q67" s="93"/>
      <c r="R67" s="93"/>
      <c r="S67" s="92"/>
      <c r="T67" s="93"/>
      <c r="U67" s="93"/>
      <c r="V67" s="93"/>
      <c r="W67" s="93"/>
      <c r="X67" s="92"/>
      <c r="Y67" s="93"/>
      <c r="Z67" s="93"/>
      <c r="AA67" s="93"/>
      <c r="AB67" s="93"/>
      <c r="AC67" s="92"/>
      <c r="AD67" s="93"/>
      <c r="AE67" s="93"/>
      <c r="AF67" s="93"/>
      <c r="AG67" s="93"/>
      <c r="AH67" s="92"/>
      <c r="AI67" s="93"/>
      <c r="AJ67" s="93"/>
      <c r="AK67" s="93"/>
      <c r="AL67" s="93"/>
      <c r="AM67" s="92"/>
      <c r="AN67" s="389"/>
      <c r="AO67" s="93"/>
      <c r="AP67" s="93"/>
      <c r="AQ67" s="93"/>
      <c r="AR67" s="92"/>
      <c r="AS67" s="93"/>
      <c r="AT67" s="93"/>
      <c r="AU67" s="93"/>
      <c r="AV67" s="93"/>
      <c r="AW67" s="92"/>
      <c r="AX67" s="93"/>
      <c r="AY67" s="93"/>
      <c r="AZ67" s="93"/>
      <c r="BA67" s="93"/>
      <c r="BB67" s="92"/>
      <c r="BC67" s="93"/>
      <c r="BD67" s="93"/>
      <c r="BE67" s="93"/>
      <c r="BF67" s="93"/>
      <c r="BG67" s="92"/>
      <c r="BH67" s="93"/>
      <c r="BI67" s="93"/>
      <c r="BJ67" s="93"/>
      <c r="BK67" s="93"/>
      <c r="BL67" s="92"/>
      <c r="BM67" s="93"/>
      <c r="BN67" s="93"/>
      <c r="BO67" s="93"/>
      <c r="BP67" s="93"/>
      <c r="BQ67" s="92"/>
      <c r="BR67" s="93"/>
      <c r="BS67" s="93"/>
      <c r="BT67" s="93"/>
      <c r="BU67" s="93"/>
      <c r="BV67" s="92"/>
      <c r="BW67" s="93"/>
      <c r="BX67" s="93"/>
      <c r="BY67" s="93"/>
      <c r="BZ67" s="93"/>
      <c r="CA67" s="92"/>
    </row>
    <row r="68" spans="1:79" ht="12.75" customHeight="1" x14ac:dyDescent="0.35">
      <c r="B68" s="94" t="str">
        <f>B47</f>
        <v>Total operating income (GAAP)</v>
      </c>
      <c r="C68" s="76"/>
      <c r="D68" s="84"/>
      <c r="E68" s="84"/>
      <c r="F68" s="84"/>
      <c r="G68" s="179">
        <f t="shared" ref="G68:M68" si="60">G47</f>
        <v>291.50000000000006</v>
      </c>
      <c r="H68" s="179">
        <f t="shared" si="60"/>
        <v>311.90000000000009</v>
      </c>
      <c r="I68" s="286">
        <f t="shared" si="60"/>
        <v>1228.75</v>
      </c>
      <c r="J68" s="179">
        <f t="shared" si="60"/>
        <v>333.00000000000006</v>
      </c>
      <c r="K68" s="179">
        <f t="shared" si="60"/>
        <v>411.7</v>
      </c>
      <c r="L68" s="179">
        <f t="shared" si="60"/>
        <v>349.70000000000005</v>
      </c>
      <c r="M68" s="179">
        <f t="shared" si="60"/>
        <v>344.69999999999982</v>
      </c>
      <c r="N68" s="174">
        <f>SUM(J68:M68)</f>
        <v>1439.1</v>
      </c>
      <c r="O68" s="179">
        <f>O47</f>
        <v>370.99999999999989</v>
      </c>
      <c r="P68" s="179">
        <f>P47</f>
        <v>419.3</v>
      </c>
      <c r="Q68" s="179">
        <f>Q47</f>
        <v>355.20000000000005</v>
      </c>
      <c r="R68" s="179">
        <f>R47</f>
        <v>333.09999999999991</v>
      </c>
      <c r="S68" s="174">
        <f>SUM(O68:R68)</f>
        <v>1478.6</v>
      </c>
      <c r="T68" s="179">
        <f>T47</f>
        <v>304.09999999999991</v>
      </c>
      <c r="U68" s="179">
        <f>U47</f>
        <v>410.20000000000005</v>
      </c>
      <c r="V68" s="179">
        <f>V47</f>
        <v>395.69999999999993</v>
      </c>
      <c r="W68" s="179">
        <f>W47</f>
        <v>-473.09999999999991</v>
      </c>
      <c r="X68" s="174">
        <f>SUM(T68:W68)</f>
        <v>636.90000000000009</v>
      </c>
      <c r="Y68" s="179">
        <f>Y47</f>
        <v>446.70000000000005</v>
      </c>
      <c r="Z68" s="179">
        <f>Z47</f>
        <v>460.09999999999991</v>
      </c>
      <c r="AA68" s="179">
        <f>AA47</f>
        <v>448.5</v>
      </c>
      <c r="AB68" s="179">
        <f>AB47</f>
        <v>465.49999999999989</v>
      </c>
      <c r="AC68" s="174">
        <f>SUM(Y68:AB68)</f>
        <v>1820.7999999999997</v>
      </c>
      <c r="AD68" s="179">
        <f>AD47</f>
        <v>490.80000000000007</v>
      </c>
      <c r="AE68" s="179">
        <f>AE47</f>
        <v>533.99999999999989</v>
      </c>
      <c r="AF68" s="179">
        <f>AF47</f>
        <v>466.80000000000007</v>
      </c>
      <c r="AG68" s="179">
        <f>AG47</f>
        <v>376.5999999999998</v>
      </c>
      <c r="AH68" s="174">
        <f>SUM(AD68:AG68)</f>
        <v>1868.1999999999998</v>
      </c>
      <c r="AI68" s="179">
        <f>AI47</f>
        <v>461.69999999999982</v>
      </c>
      <c r="AJ68" s="179">
        <f>AJ47</f>
        <v>483.50000000000023</v>
      </c>
      <c r="AK68" s="179">
        <f>AK47</f>
        <v>548.79999999999995</v>
      </c>
      <c r="AL68" s="179">
        <f>AL47</f>
        <v>504</v>
      </c>
      <c r="AM68" s="174">
        <f>SUM(AI68:AL68)</f>
        <v>1998</v>
      </c>
      <c r="AN68" s="450">
        <f>AN47</f>
        <v>592</v>
      </c>
      <c r="AO68" s="179">
        <f>AO47</f>
        <v>710</v>
      </c>
      <c r="AP68" s="179">
        <f>AP47</f>
        <v>642</v>
      </c>
      <c r="AQ68" s="179">
        <f>AQ47</f>
        <v>444</v>
      </c>
      <c r="AR68" s="174">
        <f>SUM(AN68:AQ68)</f>
        <v>2388</v>
      </c>
      <c r="AS68" s="450">
        <f>AS47</f>
        <v>853</v>
      </c>
      <c r="AT68" s="179">
        <f>AT47</f>
        <v>801</v>
      </c>
      <c r="AU68" s="179">
        <f>AU47</f>
        <v>676</v>
      </c>
      <c r="AV68" s="179">
        <f>AV47</f>
        <v>514</v>
      </c>
      <c r="AW68" s="174">
        <f>SUM(AS68:AV68)</f>
        <v>2844</v>
      </c>
      <c r="AX68" s="179">
        <f>AX47</f>
        <v>656</v>
      </c>
      <c r="AY68" s="179">
        <f>AY47</f>
        <v>508</v>
      </c>
      <c r="AZ68" s="179">
        <f>AZ47</f>
        <v>413</v>
      </c>
      <c r="BA68" s="179">
        <f>BA47</f>
        <v>306</v>
      </c>
      <c r="BB68" s="174">
        <f>SUM(AX68:BA68)</f>
        <v>1883</v>
      </c>
      <c r="BC68" s="179">
        <f>BC47</f>
        <v>554</v>
      </c>
      <c r="BD68" s="179">
        <f>BD47</f>
        <v>550</v>
      </c>
      <c r="BE68" s="179">
        <f>BE47</f>
        <v>535</v>
      </c>
      <c r="BF68" s="179">
        <f>BF47</f>
        <v>498</v>
      </c>
      <c r="BG68" s="174">
        <f>SUM(BC68:BF68)</f>
        <v>2137</v>
      </c>
      <c r="BH68" s="179">
        <f>BH47</f>
        <v>801</v>
      </c>
      <c r="BI68" s="179">
        <f>BI47</f>
        <v>775</v>
      </c>
      <c r="BJ68" s="179">
        <f>BJ47</f>
        <v>738</v>
      </c>
      <c r="BK68" s="179">
        <f>BK47</f>
        <v>561</v>
      </c>
      <c r="BL68" s="174">
        <f>SUM(BH68:BK68)</f>
        <v>2875</v>
      </c>
      <c r="BM68" s="179">
        <f>BM47</f>
        <v>846</v>
      </c>
      <c r="BN68" s="179">
        <f>BN47</f>
        <v>818</v>
      </c>
      <c r="BO68" s="179">
        <f>BO47</f>
        <v>920.78441354599408</v>
      </c>
      <c r="BP68" s="179">
        <f>BP47</f>
        <v>752.65723422285191</v>
      </c>
      <c r="BQ68" s="174">
        <f>SUM(BM68:BP68)</f>
        <v>3337.441647768846</v>
      </c>
      <c r="BR68" s="179">
        <f>BR47</f>
        <v>971.71149493920234</v>
      </c>
      <c r="BS68" s="179">
        <f>BS47</f>
        <v>928.09508699708294</v>
      </c>
      <c r="BT68" s="179">
        <f>BT47</f>
        <v>992.78629413417457</v>
      </c>
      <c r="BU68" s="179">
        <f>BU47</f>
        <v>815.41010987154846</v>
      </c>
      <c r="BV68" s="174">
        <f>SUM(BR68:BU68)</f>
        <v>3708.0029859420083</v>
      </c>
      <c r="BW68" s="179">
        <f>BW47</f>
        <v>1089.3184247553229</v>
      </c>
      <c r="BX68" s="179">
        <f>BX47</f>
        <v>1046.0959385819299</v>
      </c>
      <c r="BY68" s="179">
        <f>BY47</f>
        <v>1112.1786546385513</v>
      </c>
      <c r="BZ68" s="179">
        <f>BZ47</f>
        <v>920.90307169744756</v>
      </c>
      <c r="CA68" s="174">
        <f>SUM(BW68:BZ68)</f>
        <v>4168.4960896732518</v>
      </c>
    </row>
    <row r="69" spans="1:79" ht="12.75" customHeight="1" x14ac:dyDescent="0.35">
      <c r="B69" s="94" t="str">
        <f>B37</f>
        <v>D&amp;A</v>
      </c>
      <c r="C69" s="76"/>
      <c r="D69" s="84"/>
      <c r="E69" s="84"/>
      <c r="F69" s="84"/>
      <c r="G69" s="221">
        <f t="shared" ref="G69:M69" si="61">G37</f>
        <v>23.4</v>
      </c>
      <c r="H69" s="221">
        <f t="shared" si="61"/>
        <v>23.299999999999997</v>
      </c>
      <c r="I69" s="287">
        <f t="shared" si="61"/>
        <v>93.4</v>
      </c>
      <c r="J69" s="221">
        <f t="shared" si="61"/>
        <v>23.1</v>
      </c>
      <c r="K69" s="221">
        <f t="shared" si="61"/>
        <v>22.3</v>
      </c>
      <c r="L69" s="221">
        <f t="shared" si="61"/>
        <v>23.2</v>
      </c>
      <c r="M69" s="221">
        <f t="shared" si="61"/>
        <v>27</v>
      </c>
      <c r="N69" s="186">
        <f>SUM(J69:M69)</f>
        <v>95.600000000000009</v>
      </c>
      <c r="O69" s="221">
        <f>O37</f>
        <v>28.6</v>
      </c>
      <c r="P69" s="221">
        <f>P37</f>
        <v>27.9</v>
      </c>
      <c r="Q69" s="221">
        <f>Q37</f>
        <v>22.8</v>
      </c>
      <c r="R69" s="221">
        <f>R37</f>
        <v>28.700000000000003</v>
      </c>
      <c r="S69" s="186">
        <f>SUM(O69:R69)</f>
        <v>108</v>
      </c>
      <c r="T69" s="221">
        <f>T37</f>
        <v>29.9</v>
      </c>
      <c r="U69" s="221">
        <f>U37</f>
        <v>31.2</v>
      </c>
      <c r="V69" s="221">
        <f>V37</f>
        <v>32.700000000000003</v>
      </c>
      <c r="W69" s="221">
        <f>W37</f>
        <v>32.9</v>
      </c>
      <c r="X69" s="186">
        <f>SUM(T69:W69)</f>
        <v>126.69999999999999</v>
      </c>
      <c r="Y69" s="221">
        <f>Y37</f>
        <v>32.5</v>
      </c>
      <c r="Z69" s="221">
        <f>Z37</f>
        <v>32.9</v>
      </c>
      <c r="AA69" s="221">
        <f>AA37</f>
        <v>43</v>
      </c>
      <c r="AB69" s="221">
        <f>AB37</f>
        <v>49.900000000000006</v>
      </c>
      <c r="AC69" s="186">
        <f>SUM(Y69:AB69)</f>
        <v>158.30000000000001</v>
      </c>
      <c r="AD69" s="221">
        <f>AD37</f>
        <v>49.099999999999994</v>
      </c>
      <c r="AE69" s="221">
        <f>AE37</f>
        <v>48.4</v>
      </c>
      <c r="AF69" s="221">
        <f>AF37</f>
        <v>46.1</v>
      </c>
      <c r="AG69" s="221">
        <f>AG37</f>
        <v>48.300000000000004</v>
      </c>
      <c r="AH69" s="186">
        <f>SUM(AD69:AG69)</f>
        <v>191.9</v>
      </c>
      <c r="AI69" s="221">
        <f>AI37</f>
        <v>50.3</v>
      </c>
      <c r="AJ69" s="221">
        <f>AJ37</f>
        <v>51</v>
      </c>
      <c r="AK69" s="221">
        <f>AK37</f>
        <v>48.6</v>
      </c>
      <c r="AL69" s="221">
        <f>AL37</f>
        <v>50</v>
      </c>
      <c r="AM69" s="186">
        <f>SUM(AI69:AL69)</f>
        <v>199.9</v>
      </c>
      <c r="AN69" s="221">
        <f>AN37</f>
        <v>49</v>
      </c>
      <c r="AO69" s="221">
        <f>AO37</f>
        <v>58</v>
      </c>
      <c r="AP69" s="221">
        <f>AP37</f>
        <v>56</v>
      </c>
      <c r="AQ69" s="221">
        <f>AQ37</f>
        <v>57</v>
      </c>
      <c r="AR69" s="186">
        <f>SUM(AN69:AQ69)</f>
        <v>220</v>
      </c>
      <c r="AS69" s="221">
        <f>AS37</f>
        <v>59</v>
      </c>
      <c r="AT69" s="221">
        <f>AT37</f>
        <v>60</v>
      </c>
      <c r="AU69" s="221">
        <f>AU37</f>
        <v>61</v>
      </c>
      <c r="AV69" s="221">
        <f>AV37</f>
        <v>77</v>
      </c>
      <c r="AW69" s="186">
        <f>SUM(AS69:AV69)</f>
        <v>257</v>
      </c>
      <c r="AX69" s="221">
        <f>AX37</f>
        <v>78</v>
      </c>
      <c r="AY69" s="221">
        <f>AY37</f>
        <v>81</v>
      </c>
      <c r="AZ69" s="221">
        <f>AZ37</f>
        <v>83</v>
      </c>
      <c r="BA69" s="221">
        <f>BA37</f>
        <v>89</v>
      </c>
      <c r="BB69" s="186">
        <f>SUM(AX69:BA69)</f>
        <v>331</v>
      </c>
      <c r="BC69" s="221">
        <f>BC37</f>
        <v>88</v>
      </c>
      <c r="BD69" s="221">
        <f>BD37</f>
        <v>93</v>
      </c>
      <c r="BE69" s="221">
        <f>BE37</f>
        <v>95</v>
      </c>
      <c r="BF69" s="221">
        <f>BF37</f>
        <v>97</v>
      </c>
      <c r="BG69" s="186">
        <f>SUM(BC69:BF69)</f>
        <v>373</v>
      </c>
      <c r="BH69" s="221">
        <f>BH37</f>
        <v>100</v>
      </c>
      <c r="BI69" s="221">
        <f>BI37</f>
        <v>110</v>
      </c>
      <c r="BJ69" s="221">
        <f>BJ37</f>
        <v>108</v>
      </c>
      <c r="BK69" s="221">
        <f>BK37</f>
        <v>113</v>
      </c>
      <c r="BL69" s="186">
        <f>SUM(BH69:BK69)</f>
        <v>431</v>
      </c>
      <c r="BM69" s="221">
        <f>BM37</f>
        <v>113</v>
      </c>
      <c r="BN69" s="221">
        <f>BN37</f>
        <v>120</v>
      </c>
      <c r="BO69" s="221">
        <f>BO37</f>
        <v>118.25992779783394</v>
      </c>
      <c r="BP69" s="221">
        <f>BP37</f>
        <v>124.31757290721819</v>
      </c>
      <c r="BQ69" s="186">
        <f>SUM(BM69:BP69)</f>
        <v>475.5775007050521</v>
      </c>
      <c r="BR69" s="221">
        <f>BR37</f>
        <v>123.65774743550783</v>
      </c>
      <c r="BS69" s="221">
        <f>BS37</f>
        <v>128.5312197949757</v>
      </c>
      <c r="BT69" s="221">
        <f>BT37</f>
        <v>126.08826209762682</v>
      </c>
      <c r="BU69" s="221">
        <f>BU37</f>
        <v>133.04266887841536</v>
      </c>
      <c r="BV69" s="186">
        <f>SUM(BR69:BU69)</f>
        <v>511.31989820652575</v>
      </c>
      <c r="BW69" s="221">
        <f>BW37</f>
        <v>134.47246189546391</v>
      </c>
      <c r="BX69" s="221">
        <f>BX37</f>
        <v>135.40084001555778</v>
      </c>
      <c r="BY69" s="221">
        <f>BY37</f>
        <v>134.93681595623246</v>
      </c>
      <c r="BZ69" s="221">
        <f>BZ37</f>
        <v>142.50080775543029</v>
      </c>
      <c r="CA69" s="186">
        <f>SUM(BW69:BZ69)</f>
        <v>547.31092562268441</v>
      </c>
    </row>
    <row r="70" spans="1:79" ht="12.75" customHeight="1" x14ac:dyDescent="0.35">
      <c r="B70" s="94" t="str">
        <f>B40</f>
        <v>M&amp;A/Restructuring/Other</v>
      </c>
      <c r="C70" s="76"/>
      <c r="D70" s="84"/>
      <c r="E70" s="84"/>
      <c r="F70" s="84"/>
      <c r="G70" s="221">
        <f t="shared" ref="G70:M70" si="62">G40</f>
        <v>0</v>
      </c>
      <c r="H70" s="221">
        <f t="shared" si="62"/>
        <v>0</v>
      </c>
      <c r="I70" s="287">
        <f t="shared" si="62"/>
        <v>0</v>
      </c>
      <c r="J70" s="221">
        <f t="shared" si="62"/>
        <v>0</v>
      </c>
      <c r="K70" s="221">
        <f t="shared" si="62"/>
        <v>0</v>
      </c>
      <c r="L70" s="221">
        <f t="shared" si="62"/>
        <v>0</v>
      </c>
      <c r="M70" s="221">
        <f t="shared" si="62"/>
        <v>0</v>
      </c>
      <c r="N70" s="186">
        <f>SUM(J70:M70)</f>
        <v>0</v>
      </c>
      <c r="O70" s="221">
        <f>O40</f>
        <v>0</v>
      </c>
      <c r="P70" s="221">
        <f>P40</f>
        <v>0</v>
      </c>
      <c r="Q70" s="221">
        <f>Q40</f>
        <v>0</v>
      </c>
      <c r="R70" s="221">
        <f>R40</f>
        <v>0</v>
      </c>
      <c r="S70" s="186">
        <f>SUM(O70:R70)</f>
        <v>0</v>
      </c>
      <c r="T70" s="221">
        <f>T40</f>
        <v>0</v>
      </c>
      <c r="U70" s="221">
        <f>U40</f>
        <v>0</v>
      </c>
      <c r="V70" s="221">
        <f>V40</f>
        <v>8.4</v>
      </c>
      <c r="W70" s="221">
        <f>W40</f>
        <v>863.8</v>
      </c>
      <c r="X70" s="186">
        <f>SUM(T70:W70)</f>
        <v>872.19999999999993</v>
      </c>
      <c r="Y70" s="221">
        <f>Y40</f>
        <v>0</v>
      </c>
      <c r="Z70" s="221">
        <f>Z40</f>
        <v>6.6</v>
      </c>
      <c r="AA70" s="221">
        <f>AA40</f>
        <v>10.1</v>
      </c>
      <c r="AB70" s="221">
        <f>AB40</f>
        <v>5.8</v>
      </c>
      <c r="AC70" s="186">
        <f>SUM(Y70:AB70)</f>
        <v>22.5</v>
      </c>
      <c r="AD70" s="221">
        <f>AD40</f>
        <v>0.8</v>
      </c>
      <c r="AE70" s="221">
        <f>AE40</f>
        <v>2</v>
      </c>
      <c r="AF70" s="221">
        <f>AF40</f>
        <v>1.3</v>
      </c>
      <c r="AG70" s="221">
        <f>AG40</f>
        <v>52.900000000000006</v>
      </c>
      <c r="AH70" s="186">
        <f>SUM(AD70:AG70)</f>
        <v>57.000000000000007</v>
      </c>
      <c r="AI70" s="221">
        <f>AI40</f>
        <v>6.8999999999999995</v>
      </c>
      <c r="AJ70" s="221">
        <f>AJ40</f>
        <v>64.5</v>
      </c>
      <c r="AK70" s="221">
        <f>AK40</f>
        <v>16.5</v>
      </c>
      <c r="AL70" s="221">
        <f>AL40</f>
        <v>5</v>
      </c>
      <c r="AM70" s="186">
        <f>SUM(AI70:AL70)</f>
        <v>92.9</v>
      </c>
      <c r="AN70" s="221">
        <f>AN40</f>
        <v>8</v>
      </c>
      <c r="AO70" s="221">
        <f>AO40</f>
        <v>-2</v>
      </c>
      <c r="AP70" s="221">
        <f>AP40</f>
        <v>23</v>
      </c>
      <c r="AQ70" s="221">
        <f>AQ40</f>
        <v>30</v>
      </c>
      <c r="AR70" s="186">
        <f>SUM(AN70:AQ70)</f>
        <v>59</v>
      </c>
      <c r="AS70" s="221">
        <f>AS40</f>
        <v>2</v>
      </c>
      <c r="AT70" s="221">
        <f>AT40</f>
        <v>0</v>
      </c>
      <c r="AU70" s="221">
        <f>AU40</f>
        <v>0</v>
      </c>
      <c r="AV70" s="221">
        <f>AV40</f>
        <v>-2</v>
      </c>
      <c r="AW70" s="186">
        <f>SUM(AS70:AV70)</f>
        <v>0</v>
      </c>
      <c r="AX70" s="221">
        <f>AX40</f>
        <v>0</v>
      </c>
      <c r="AY70" s="221">
        <f>AY40</f>
        <v>31</v>
      </c>
      <c r="AZ70" s="221">
        <f>AZ40</f>
        <v>1</v>
      </c>
      <c r="BA70" s="221">
        <f>BA40</f>
        <v>82</v>
      </c>
      <c r="BB70" s="186">
        <f>SUM(AX70:BA70)</f>
        <v>114</v>
      </c>
      <c r="BC70" s="221">
        <f>BC40</f>
        <v>14</v>
      </c>
      <c r="BD70" s="221">
        <f>BD40</f>
        <v>10</v>
      </c>
      <c r="BE70" s="221">
        <f>BE40</f>
        <v>27</v>
      </c>
      <c r="BF70" s="221">
        <f>BF40</f>
        <v>36</v>
      </c>
      <c r="BG70" s="186">
        <f>SUM(BC70:BF70)</f>
        <v>87</v>
      </c>
      <c r="BH70" s="221">
        <f>BH40</f>
        <v>5</v>
      </c>
      <c r="BI70" s="221">
        <f>BI40</f>
        <v>17</v>
      </c>
      <c r="BJ70" s="221">
        <f>BJ40</f>
        <v>21</v>
      </c>
      <c r="BK70" s="221">
        <f>BK40</f>
        <v>59</v>
      </c>
      <c r="BL70" s="186">
        <f>SUM(BH70:BK70)</f>
        <v>102</v>
      </c>
      <c r="BM70" s="221">
        <f>BM40</f>
        <v>35</v>
      </c>
      <c r="BN70" s="221">
        <f>BN40</f>
        <v>28</v>
      </c>
      <c r="BO70" s="221">
        <f>BO40</f>
        <v>14</v>
      </c>
      <c r="BP70" s="221">
        <f>BP40</f>
        <v>14</v>
      </c>
      <c r="BQ70" s="186">
        <f>SUM(BM70:BP70)</f>
        <v>91</v>
      </c>
      <c r="BR70" s="221">
        <f>BR40</f>
        <v>21</v>
      </c>
      <c r="BS70" s="221">
        <f>BS40</f>
        <v>21</v>
      </c>
      <c r="BT70" s="221">
        <f>BT40</f>
        <v>21</v>
      </c>
      <c r="BU70" s="221">
        <f>BU40</f>
        <v>21</v>
      </c>
      <c r="BV70" s="186">
        <f>SUM(BR70:BU70)</f>
        <v>84</v>
      </c>
      <c r="BW70" s="221">
        <f>BW40</f>
        <v>0</v>
      </c>
      <c r="BX70" s="221">
        <f>BX40</f>
        <v>0</v>
      </c>
      <c r="BY70" s="221">
        <f>BY40</f>
        <v>0</v>
      </c>
      <c r="BZ70" s="221">
        <f>BZ40</f>
        <v>0</v>
      </c>
      <c r="CA70" s="186">
        <f>SUM(BW70:BZ70)</f>
        <v>0</v>
      </c>
    </row>
    <row r="71" spans="1:79" ht="12.75" customHeight="1" thickBot="1" x14ac:dyDescent="0.4">
      <c r="B71" s="76" t="s">
        <v>37</v>
      </c>
      <c r="C71" s="76"/>
      <c r="D71" s="84"/>
      <c r="E71" s="84"/>
      <c r="F71" s="84"/>
      <c r="G71" s="189">
        <v>0.3</v>
      </c>
      <c r="H71" s="189">
        <v>0.3</v>
      </c>
      <c r="I71" s="288">
        <v>6</v>
      </c>
      <c r="J71" s="189">
        <v>0.3</v>
      </c>
      <c r="K71" s="189">
        <v>0</v>
      </c>
      <c r="L71" s="189">
        <v>0</v>
      </c>
      <c r="M71" s="189">
        <v>0</v>
      </c>
      <c r="N71" s="186">
        <f>SUM(J71:M71)</f>
        <v>0.3</v>
      </c>
      <c r="O71" s="189">
        <v>0.3</v>
      </c>
      <c r="P71" s="189">
        <v>0</v>
      </c>
      <c r="Q71" s="189">
        <v>0</v>
      </c>
      <c r="R71" s="189">
        <v>0</v>
      </c>
      <c r="S71" s="186">
        <f>SUM(O71:R71)</f>
        <v>0.3</v>
      </c>
      <c r="T71" s="189">
        <v>0</v>
      </c>
      <c r="U71" s="189">
        <v>0</v>
      </c>
      <c r="V71" s="189">
        <v>0</v>
      </c>
      <c r="W71" s="189">
        <v>5.2</v>
      </c>
      <c r="X71" s="186">
        <f>SUM(T71:W71)</f>
        <v>5.2</v>
      </c>
      <c r="Y71" s="189">
        <v>0</v>
      </c>
      <c r="Z71" s="189">
        <v>0</v>
      </c>
      <c r="AA71" s="189">
        <v>0</v>
      </c>
      <c r="AB71" s="189">
        <v>0</v>
      </c>
      <c r="AC71" s="186">
        <f>SUM(Y71:AB71)</f>
        <v>0</v>
      </c>
      <c r="AD71" s="189">
        <v>0</v>
      </c>
      <c r="AE71" s="189">
        <v>0</v>
      </c>
      <c r="AF71" s="189">
        <v>0</v>
      </c>
      <c r="AG71" s="189">
        <v>0</v>
      </c>
      <c r="AH71" s="186">
        <f>SUM(AD71:AG71)</f>
        <v>0</v>
      </c>
      <c r="AI71" s="189">
        <v>0</v>
      </c>
      <c r="AJ71" s="189">
        <v>0</v>
      </c>
      <c r="AK71" s="189">
        <v>0</v>
      </c>
      <c r="AL71" s="189">
        <v>0</v>
      </c>
      <c r="AM71" s="186">
        <f>SUM(AI71:AL71)</f>
        <v>0</v>
      </c>
      <c r="AN71" s="189">
        <v>0</v>
      </c>
      <c r="AO71" s="189">
        <v>0</v>
      </c>
      <c r="AP71" s="189">
        <v>0</v>
      </c>
      <c r="AQ71" s="189">
        <v>0</v>
      </c>
      <c r="AR71" s="186">
        <f>SUM(AN71:AQ71)</f>
        <v>0</v>
      </c>
      <c r="AS71" s="189">
        <v>0</v>
      </c>
      <c r="AT71" s="189">
        <v>0</v>
      </c>
      <c r="AU71" s="189">
        <v>0</v>
      </c>
      <c r="AV71" s="189">
        <v>0</v>
      </c>
      <c r="AW71" s="186">
        <f>SUM(AS71:AV71)</f>
        <v>0</v>
      </c>
      <c r="AX71" s="189">
        <v>0</v>
      </c>
      <c r="AY71" s="189">
        <v>0</v>
      </c>
      <c r="AZ71" s="189">
        <v>0</v>
      </c>
      <c r="BA71" s="189">
        <v>0</v>
      </c>
      <c r="BB71" s="186">
        <f>SUM(AX71:BA71)</f>
        <v>0</v>
      </c>
      <c r="BC71" s="189">
        <v>0</v>
      </c>
      <c r="BD71" s="189">
        <v>0</v>
      </c>
      <c r="BE71" s="189">
        <v>0</v>
      </c>
      <c r="BF71" s="189">
        <v>0</v>
      </c>
      <c r="BG71" s="186">
        <f>SUM(BC71:BF71)</f>
        <v>0</v>
      </c>
      <c r="BH71" s="189">
        <v>0</v>
      </c>
      <c r="BI71" s="189">
        <v>0</v>
      </c>
      <c r="BJ71" s="189">
        <v>0</v>
      </c>
      <c r="BK71" s="189">
        <v>0</v>
      </c>
      <c r="BL71" s="186">
        <f>SUM(BH71:BK71)</f>
        <v>0</v>
      </c>
      <c r="BM71" s="189">
        <v>0</v>
      </c>
      <c r="BN71" s="189">
        <v>0</v>
      </c>
      <c r="BO71" s="189">
        <v>0</v>
      </c>
      <c r="BP71" s="189">
        <v>0</v>
      </c>
      <c r="BQ71" s="186">
        <f>SUM(BM71:BP71)</f>
        <v>0</v>
      </c>
      <c r="BR71" s="189">
        <v>0</v>
      </c>
      <c r="BS71" s="189">
        <v>0</v>
      </c>
      <c r="BT71" s="189">
        <v>0</v>
      </c>
      <c r="BU71" s="189">
        <v>0</v>
      </c>
      <c r="BV71" s="186">
        <f>SUM(BR71:BU71)</f>
        <v>0</v>
      </c>
      <c r="BW71" s="189">
        <v>0</v>
      </c>
      <c r="BX71" s="189">
        <v>0</v>
      </c>
      <c r="BY71" s="189">
        <v>0</v>
      </c>
      <c r="BZ71" s="189">
        <v>0</v>
      </c>
      <c r="CA71" s="186">
        <f>SUM(BW71:BZ71)</f>
        <v>0</v>
      </c>
    </row>
    <row r="72" spans="1:79" ht="12.75" customHeight="1" thickBot="1" x14ac:dyDescent="0.4">
      <c r="A72" s="96"/>
      <c r="B72" s="97" t="s">
        <v>291</v>
      </c>
      <c r="C72" s="97"/>
      <c r="D72" s="98"/>
      <c r="E72" s="98"/>
      <c r="F72" s="98"/>
      <c r="G72" s="176">
        <f t="shared" ref="G72:M72" si="63">SUM(G68:G71)</f>
        <v>315.20000000000005</v>
      </c>
      <c r="H72" s="176">
        <f t="shared" si="63"/>
        <v>335.50000000000011</v>
      </c>
      <c r="I72" s="214">
        <f t="shared" si="63"/>
        <v>1328.15</v>
      </c>
      <c r="J72" s="176">
        <f t="shared" si="63"/>
        <v>356.40000000000009</v>
      </c>
      <c r="K72" s="176">
        <f t="shared" si="63"/>
        <v>434</v>
      </c>
      <c r="L72" s="176">
        <f t="shared" si="63"/>
        <v>372.90000000000003</v>
      </c>
      <c r="M72" s="176">
        <f t="shared" si="63"/>
        <v>371.69999999999982</v>
      </c>
      <c r="N72" s="177">
        <f>SUM(J72:M72)</f>
        <v>1535</v>
      </c>
      <c r="O72" s="176">
        <f>SUM(O68:O71)</f>
        <v>399.89999999999992</v>
      </c>
      <c r="P72" s="176">
        <f>SUM(P68:P71)</f>
        <v>447.2</v>
      </c>
      <c r="Q72" s="176">
        <f>SUM(Q68:Q71)</f>
        <v>378.00000000000006</v>
      </c>
      <c r="R72" s="176">
        <f>SUM(R68:R71)</f>
        <v>361.7999999999999</v>
      </c>
      <c r="S72" s="177">
        <f>SUM(O72:R72)</f>
        <v>1586.8999999999999</v>
      </c>
      <c r="T72" s="176">
        <f>SUM(T68:T71)</f>
        <v>333.99999999999989</v>
      </c>
      <c r="U72" s="176">
        <f>SUM(U68:U71)</f>
        <v>441.40000000000003</v>
      </c>
      <c r="V72" s="176">
        <f>SUM(V68:V71)</f>
        <v>436.7999999999999</v>
      </c>
      <c r="W72" s="176">
        <f>SUM(W68:W71)</f>
        <v>428.8</v>
      </c>
      <c r="X72" s="177">
        <f>SUM(T72:W72)</f>
        <v>1640.9999999999998</v>
      </c>
      <c r="Y72" s="176">
        <f>SUM(Y68:Y71)</f>
        <v>479.20000000000005</v>
      </c>
      <c r="Z72" s="176">
        <f>SUM(Z68:Z71)</f>
        <v>499.59999999999991</v>
      </c>
      <c r="AA72" s="176">
        <f>SUM(AA68:AA71)</f>
        <v>501.6</v>
      </c>
      <c r="AB72" s="176">
        <f>SUM(AB68:AB71)</f>
        <v>521.19999999999982</v>
      </c>
      <c r="AC72" s="177">
        <f>SUM(Y72:AB72)</f>
        <v>2001.6</v>
      </c>
      <c r="AD72" s="176">
        <f>SUM(AD68:AD71)</f>
        <v>540.70000000000005</v>
      </c>
      <c r="AE72" s="176">
        <f>SUM(AE68:AE71)</f>
        <v>584.39999999999986</v>
      </c>
      <c r="AF72" s="176">
        <f>SUM(AF68:AF71)</f>
        <v>514.20000000000005</v>
      </c>
      <c r="AG72" s="176">
        <f>SUM(AG68:AG71)</f>
        <v>477.79999999999984</v>
      </c>
      <c r="AH72" s="177">
        <f>SUM(AD72:AG72)</f>
        <v>2117.1</v>
      </c>
      <c r="AI72" s="176">
        <f>SUM(AI68:AI71)</f>
        <v>518.89999999999986</v>
      </c>
      <c r="AJ72" s="176">
        <f>SUM(AJ68:AJ71)</f>
        <v>599.00000000000023</v>
      </c>
      <c r="AK72" s="176">
        <f>SUM(AK68:AK71)</f>
        <v>613.9</v>
      </c>
      <c r="AL72" s="176">
        <f>SUM(AL68:AL71)</f>
        <v>559</v>
      </c>
      <c r="AM72" s="177">
        <f>SUM(AI72:AL72)</f>
        <v>2290.8000000000002</v>
      </c>
      <c r="AN72" s="176">
        <f>SUM(AN68:AN71)</f>
        <v>649</v>
      </c>
      <c r="AO72" s="176">
        <f>SUM(AO68:AO71)</f>
        <v>766</v>
      </c>
      <c r="AP72" s="176">
        <f>SUM(AP68:AP71)</f>
        <v>721</v>
      </c>
      <c r="AQ72" s="176">
        <f>SUM(AQ68:AQ71)</f>
        <v>531</v>
      </c>
      <c r="AR72" s="177">
        <f>SUM(AN72:AQ72)</f>
        <v>2667</v>
      </c>
      <c r="AS72" s="176">
        <f>SUM(AS68:AS71)</f>
        <v>914</v>
      </c>
      <c r="AT72" s="176">
        <f>SUM(AT68:AT71)</f>
        <v>861</v>
      </c>
      <c r="AU72" s="176">
        <f>SUM(AU68:AU71)</f>
        <v>737</v>
      </c>
      <c r="AV72" s="176">
        <f>SUM(AV68:AV71)</f>
        <v>589</v>
      </c>
      <c r="AW72" s="177">
        <f>SUM(AS72:AV72)</f>
        <v>3101</v>
      </c>
      <c r="AX72" s="176">
        <f>SUM(AX68:AX71)</f>
        <v>734</v>
      </c>
      <c r="AY72" s="176">
        <f>SUM(AY68:AY71)</f>
        <v>620</v>
      </c>
      <c r="AZ72" s="176">
        <f>SUM(AZ68:AZ71)</f>
        <v>497</v>
      </c>
      <c r="BA72" s="176">
        <f>SUM(BA68:BA71)</f>
        <v>477</v>
      </c>
      <c r="BB72" s="177">
        <f>SUM(AX72:BA72)</f>
        <v>2328</v>
      </c>
      <c r="BC72" s="176">
        <f>SUM(BC68:BC71)</f>
        <v>656</v>
      </c>
      <c r="BD72" s="176">
        <f>SUM(BD68:BD71)</f>
        <v>653</v>
      </c>
      <c r="BE72" s="176">
        <f>SUM(BE68:BE71)</f>
        <v>657</v>
      </c>
      <c r="BF72" s="176">
        <f>SUM(BF68:BF71)</f>
        <v>631</v>
      </c>
      <c r="BG72" s="177">
        <f>SUM(BC72:BF72)</f>
        <v>2597</v>
      </c>
      <c r="BH72" s="176">
        <f>SUM(BH68:BH71)</f>
        <v>906</v>
      </c>
      <c r="BI72" s="176">
        <f>SUM(BI68:BI71)</f>
        <v>902</v>
      </c>
      <c r="BJ72" s="176">
        <f>SUM(BJ68:BJ71)</f>
        <v>867</v>
      </c>
      <c r="BK72" s="176">
        <f>SUM(BK68:BK71)</f>
        <v>733</v>
      </c>
      <c r="BL72" s="177">
        <f>SUM(BH72:BK72)</f>
        <v>3408</v>
      </c>
      <c r="BM72" s="176">
        <f>SUM(BM68:BM71)</f>
        <v>994</v>
      </c>
      <c r="BN72" s="176">
        <f>SUM(BN68:BN71)</f>
        <v>966</v>
      </c>
      <c r="BO72" s="176">
        <f>SUM(BO68:BO71)</f>
        <v>1053.0443413438279</v>
      </c>
      <c r="BP72" s="176">
        <f>SUM(BP68:BP71)</f>
        <v>890.97480713007008</v>
      </c>
      <c r="BQ72" s="177">
        <f>SUM(BM72:BP72)</f>
        <v>3904.019148473898</v>
      </c>
      <c r="BR72" s="176">
        <f>SUM(BR68:BR71)</f>
        <v>1116.3692423747102</v>
      </c>
      <c r="BS72" s="176">
        <f>SUM(BS68:BS71)</f>
        <v>1077.6263067920586</v>
      </c>
      <c r="BT72" s="176">
        <f>SUM(BT68:BT71)</f>
        <v>1139.8745562318013</v>
      </c>
      <c r="BU72" s="176">
        <f>SUM(BU68:BU71)</f>
        <v>969.45277874996384</v>
      </c>
      <c r="BV72" s="177">
        <f>SUM(BR72:BU72)</f>
        <v>4303.3228841485343</v>
      </c>
      <c r="BW72" s="176">
        <f>SUM(BW68:BW71)</f>
        <v>1223.7908866507869</v>
      </c>
      <c r="BX72" s="176">
        <f>SUM(BX68:BX71)</f>
        <v>1181.4967785974877</v>
      </c>
      <c r="BY72" s="176">
        <f>SUM(BY68:BY71)</f>
        <v>1247.1154705947838</v>
      </c>
      <c r="BZ72" s="176">
        <f>SUM(BZ68:BZ71)</f>
        <v>1063.4038794528778</v>
      </c>
      <c r="CA72" s="177">
        <f>SUM(BW72:BZ72)</f>
        <v>4715.8070152959363</v>
      </c>
    </row>
    <row r="73" spans="1:79" ht="12.75" customHeight="1" x14ac:dyDescent="0.35">
      <c r="A73" s="41"/>
      <c r="B73" s="42" t="s">
        <v>35</v>
      </c>
      <c r="C73" s="42"/>
      <c r="D73" s="101"/>
      <c r="E73" s="101"/>
      <c r="F73" s="101"/>
      <c r="G73" s="375"/>
      <c r="H73" s="375"/>
      <c r="I73" s="192" t="str">
        <f t="shared" ref="I73:AG73" si="64">IFERROR(I72/D72-1,"NA")</f>
        <v>NA</v>
      </c>
      <c r="J73" s="154" t="str">
        <f t="shared" si="64"/>
        <v>NA</v>
      </c>
      <c r="K73" s="154" t="str">
        <f t="shared" si="64"/>
        <v>NA</v>
      </c>
      <c r="L73" s="154">
        <f t="shared" si="64"/>
        <v>0.18305837563451766</v>
      </c>
      <c r="M73" s="154">
        <f t="shared" si="64"/>
        <v>0.10789865871832993</v>
      </c>
      <c r="N73" s="192">
        <f t="shared" si="64"/>
        <v>0.15574295072092759</v>
      </c>
      <c r="O73" s="154">
        <f t="shared" si="64"/>
        <v>0.12205387205387153</v>
      </c>
      <c r="P73" s="154">
        <f t="shared" si="64"/>
        <v>3.0414746543778737E-2</v>
      </c>
      <c r="Q73" s="154">
        <f t="shared" si="64"/>
        <v>1.3676588897827857E-2</v>
      </c>
      <c r="R73" s="154">
        <f t="shared" si="64"/>
        <v>-2.663438256658579E-2</v>
      </c>
      <c r="S73" s="192">
        <f t="shared" si="64"/>
        <v>3.3811074918566719E-2</v>
      </c>
      <c r="T73" s="154">
        <f t="shared" si="64"/>
        <v>-0.16479119779944995</v>
      </c>
      <c r="U73" s="154">
        <f t="shared" si="64"/>
        <v>-1.2969588550983846E-2</v>
      </c>
      <c r="V73" s="154">
        <f t="shared" si="64"/>
        <v>0.155555555555555</v>
      </c>
      <c r="W73" s="154">
        <f t="shared" si="64"/>
        <v>0.18518518518518556</v>
      </c>
      <c r="X73" s="192">
        <f t="shared" si="64"/>
        <v>3.4091625181170704E-2</v>
      </c>
      <c r="Y73" s="154">
        <f t="shared" si="64"/>
        <v>0.4347305389221563</v>
      </c>
      <c r="Z73" s="154">
        <f t="shared" si="64"/>
        <v>0.13185319438151311</v>
      </c>
      <c r="AA73" s="154">
        <f t="shared" si="64"/>
        <v>0.14835164835164871</v>
      </c>
      <c r="AB73" s="154">
        <f t="shared" si="64"/>
        <v>0.21548507462686528</v>
      </c>
      <c r="AC73" s="192">
        <f t="shared" si="64"/>
        <v>0.21974405850091427</v>
      </c>
      <c r="AD73" s="154">
        <f t="shared" si="64"/>
        <v>0.128338898163606</v>
      </c>
      <c r="AE73" s="154">
        <f t="shared" si="64"/>
        <v>0.16973578863090477</v>
      </c>
      <c r="AF73" s="154">
        <f t="shared" si="64"/>
        <v>2.5119617224880431E-2</v>
      </c>
      <c r="AG73" s="154">
        <f t="shared" si="64"/>
        <v>-8.3269378357636259E-2</v>
      </c>
      <c r="AH73" s="103">
        <f>AH72/AC72-1</f>
        <v>5.7703836930455665E-2</v>
      </c>
      <c r="AI73" s="154">
        <f>IFERROR(AI72/AD72-1,"NA")</f>
        <v>-4.0318106158683475E-2</v>
      </c>
      <c r="AJ73" s="154">
        <f>IFERROR(AJ72/AE72-1,"NA")</f>
        <v>2.4982888432581118E-2</v>
      </c>
      <c r="AK73" s="154">
        <f>IFERROR(AK72/AF72-1,"NA")</f>
        <v>0.19389342668222476</v>
      </c>
      <c r="AL73" s="154">
        <f>IFERROR(AL72/AG72-1,"NA")</f>
        <v>0.1699455839263293</v>
      </c>
      <c r="AM73" s="103">
        <f>AM72/AH72-1</f>
        <v>8.2046195267110766E-2</v>
      </c>
      <c r="AN73" s="154">
        <f>IFERROR(AN72/AI72-1,"NA")</f>
        <v>0.25072268259780328</v>
      </c>
      <c r="AO73" s="154">
        <f>IFERROR(AO72/AJ72-1,"NA")</f>
        <v>0.27879799666110139</v>
      </c>
      <c r="AP73" s="154">
        <f>IFERROR(AP72/AK72-1,"NA")</f>
        <v>0.17445838084378562</v>
      </c>
      <c r="AQ73" s="154">
        <f>IFERROR(AQ72/AL72-1,"NA")</f>
        <v>-5.0089445438282643E-2</v>
      </c>
      <c r="AR73" s="103">
        <f>AR72/AM72-1</f>
        <v>0.16422210581456254</v>
      </c>
      <c r="AS73" s="154">
        <f>IFERROR(AS72/AN72-1,"NA")</f>
        <v>0.40832049306625584</v>
      </c>
      <c r="AT73" s="154">
        <f>IFERROR(AT72/AO72-1,"NA")</f>
        <v>0.12402088772845943</v>
      </c>
      <c r="AU73" s="154">
        <f>IFERROR(AU72/AP72-1,"NA")</f>
        <v>2.2191400832177521E-2</v>
      </c>
      <c r="AV73" s="154">
        <f>IFERROR(AV72/AQ72-1,"NA")</f>
        <v>0.10922787193973638</v>
      </c>
      <c r="AW73" s="103">
        <f>AW72/AR72-1</f>
        <v>0.162729658792651</v>
      </c>
      <c r="AX73" s="154">
        <f>IFERROR(AX72/AS72-1,"NA")</f>
        <v>-0.19693654266958427</v>
      </c>
      <c r="AY73" s="154">
        <f>IFERROR(AY72/AT72-1,"NA")</f>
        <v>-0.2799070847851336</v>
      </c>
      <c r="AZ73" s="154">
        <f>IFERROR(AZ72/AU72-1,"NA")</f>
        <v>-0.32564450474898232</v>
      </c>
      <c r="BA73" s="154">
        <f>IFERROR(BA72/AV72-1,"NA")</f>
        <v>-0.19015280135823431</v>
      </c>
      <c r="BB73" s="103">
        <f>BB72/AW72-1</f>
        <v>-0.24927442760399876</v>
      </c>
      <c r="BC73" s="154">
        <f>IFERROR(BC72/AX72-1,"NA")</f>
        <v>-0.10626702997275206</v>
      </c>
      <c r="BD73" s="154">
        <f>IFERROR(BD72/AY72-1,"NA")</f>
        <v>5.32258064516129E-2</v>
      </c>
      <c r="BE73" s="154">
        <f>IFERROR(BE72/AZ72-1,"NA")</f>
        <v>0.32193158953722345</v>
      </c>
      <c r="BF73" s="154">
        <f>IFERROR(BF72/BA72-1,"NA")</f>
        <v>0.32285115303983236</v>
      </c>
      <c r="BG73" s="103">
        <f>BG72/BB72-1</f>
        <v>0.11554982817869419</v>
      </c>
      <c r="BH73" s="154">
        <f>IFERROR(BH72/BC72-1,"NA")</f>
        <v>0.38109756097560976</v>
      </c>
      <c r="BI73" s="154">
        <f>IFERROR(BI72/BD72-1,"NA")</f>
        <v>0.38131699846860645</v>
      </c>
      <c r="BJ73" s="154">
        <f>IFERROR(BJ72/BE72-1,"NA")</f>
        <v>0.31963470319634713</v>
      </c>
      <c r="BK73" s="154">
        <f>IFERROR(BK72/BF72-1,"NA")</f>
        <v>0.1616481774960381</v>
      </c>
      <c r="BL73" s="103">
        <f>BL72/BG72-1</f>
        <v>0.31228340392760878</v>
      </c>
      <c r="BM73" s="154">
        <f>IFERROR(BM72/BH72-1,"NA")</f>
        <v>9.7130242825607116E-2</v>
      </c>
      <c r="BN73" s="154">
        <f>IFERROR(BN72/BI72-1,"NA")</f>
        <v>7.0953436807095427E-2</v>
      </c>
      <c r="BO73" s="154">
        <f>IFERROR(BO72/BJ72-1,"NA")</f>
        <v>0.21458401539080496</v>
      </c>
      <c r="BP73" s="154">
        <f>IFERROR(BP72/BK72-1,"NA")</f>
        <v>0.21551815433843124</v>
      </c>
      <c r="BQ73" s="103">
        <f>BQ72/BL72-1</f>
        <v>0.14554552478694194</v>
      </c>
      <c r="BR73" s="154">
        <f>IFERROR(BR72/BM72-1,"NA")</f>
        <v>0.12310788971298825</v>
      </c>
      <c r="BS73" s="154">
        <f>IFERROR(BS72/BN72-1,"NA")</f>
        <v>0.11555518301455336</v>
      </c>
      <c r="BT73" s="154">
        <f>IFERROR(BT72/BO72-1,"NA")</f>
        <v>8.2456370998742701E-2</v>
      </c>
      <c r="BU73" s="154">
        <f>IFERROR(BU72/BP72-1,"NA")</f>
        <v>8.808102203549395E-2</v>
      </c>
      <c r="BV73" s="103">
        <f>BV72/BQ72-1</f>
        <v>0.10228016833132747</v>
      </c>
      <c r="BW73" s="154">
        <f>IFERROR(BW72/BR72-1,"NA")</f>
        <v>9.6224116715695418E-2</v>
      </c>
      <c r="BX73" s="154">
        <f>IFERROR(BX72/BS72-1,"NA")</f>
        <v>9.6388210969567734E-2</v>
      </c>
      <c r="BY73" s="154">
        <f>IFERROR(BY72/BT72-1,"NA")</f>
        <v>9.4081330069775149E-2</v>
      </c>
      <c r="BZ73" s="154">
        <f>IFERROR(BZ72/BU72-1,"NA")</f>
        <v>9.6911477033524873E-2</v>
      </c>
      <c r="CA73" s="103">
        <f>CA72/BV72-1</f>
        <v>9.5852470811986779E-2</v>
      </c>
    </row>
    <row r="74" spans="1:79" s="132" customFormat="1" ht="12.75" customHeight="1" x14ac:dyDescent="0.35">
      <c r="A74" s="24"/>
      <c r="B74" s="469" t="s">
        <v>31</v>
      </c>
      <c r="C74" s="469"/>
      <c r="D74" s="101"/>
      <c r="E74" s="101"/>
      <c r="F74" s="101"/>
      <c r="G74" s="470">
        <f t="shared" ref="G74:X74" si="65">G72/G25</f>
        <v>0.44677533664068042</v>
      </c>
      <c r="H74" s="470">
        <f t="shared" si="65"/>
        <v>0.43056981519507198</v>
      </c>
      <c r="I74" s="471">
        <f t="shared" si="65"/>
        <v>0.4476935263681257</v>
      </c>
      <c r="J74" s="470">
        <f t="shared" si="65"/>
        <v>0.46454640250260698</v>
      </c>
      <c r="K74" s="470">
        <f t="shared" si="65"/>
        <v>0.49685174585002861</v>
      </c>
      <c r="L74" s="470">
        <f t="shared" si="65"/>
        <v>0.45692929788016179</v>
      </c>
      <c r="M74" s="470">
        <f t="shared" si="65"/>
        <v>0.42358974358974344</v>
      </c>
      <c r="N74" s="269">
        <f t="shared" si="65"/>
        <v>0.46036649371682209</v>
      </c>
      <c r="O74" s="470">
        <f t="shared" si="65"/>
        <v>0.46199168207024027</v>
      </c>
      <c r="P74" s="470">
        <f t="shared" si="65"/>
        <v>0.48709290926914278</v>
      </c>
      <c r="Q74" s="470">
        <f t="shared" si="65"/>
        <v>0.45274883219547252</v>
      </c>
      <c r="R74" s="470">
        <f t="shared" si="65"/>
        <v>0.41783115833237083</v>
      </c>
      <c r="S74" s="269">
        <f t="shared" si="65"/>
        <v>0.45541684603242927</v>
      </c>
      <c r="T74" s="470">
        <f t="shared" si="65"/>
        <v>0.40926357064085267</v>
      </c>
      <c r="U74" s="470">
        <f t="shared" si="65"/>
        <v>0.47518570352029282</v>
      </c>
      <c r="V74" s="470">
        <f t="shared" si="65"/>
        <v>0.47628393850179906</v>
      </c>
      <c r="W74" s="470">
        <f t="shared" si="65"/>
        <v>0.45515338074514389</v>
      </c>
      <c r="X74" s="269">
        <f t="shared" si="65"/>
        <v>0.45530214749458953</v>
      </c>
      <c r="Y74" s="470">
        <f t="shared" ref="Y74:AR74" si="66">Y72/Y25</f>
        <v>0.49138638228055787</v>
      </c>
      <c r="Z74" s="470">
        <f t="shared" si="66"/>
        <v>0.49935032483758113</v>
      </c>
      <c r="AA74" s="470">
        <f t="shared" si="66"/>
        <v>0.47191645498165397</v>
      </c>
      <c r="AB74" s="470">
        <f t="shared" si="66"/>
        <v>0.44719004719004701</v>
      </c>
      <c r="AC74" s="269">
        <f t="shared" si="66"/>
        <v>0.47610665778644651</v>
      </c>
      <c r="AD74" s="470">
        <f t="shared" si="66"/>
        <v>0.47989704446614007</v>
      </c>
      <c r="AE74" s="470">
        <f t="shared" si="66"/>
        <v>0.49731937707429147</v>
      </c>
      <c r="AF74" s="470">
        <f t="shared" si="66"/>
        <v>0.475758697261288</v>
      </c>
      <c r="AG74" s="470">
        <f t="shared" si="66"/>
        <v>0.4507121969625506</v>
      </c>
      <c r="AH74" s="269">
        <f t="shared" si="66"/>
        <v>0.47653453980687421</v>
      </c>
      <c r="AI74" s="470">
        <f t="shared" si="66"/>
        <v>0.45433849925575687</v>
      </c>
      <c r="AJ74" s="470">
        <f t="shared" si="66"/>
        <v>0.49357284113381689</v>
      </c>
      <c r="AK74" s="470">
        <f t="shared" si="66"/>
        <v>0.49488109633212413</v>
      </c>
      <c r="AL74" s="470">
        <f t="shared" si="66"/>
        <v>0.45336577453365773</v>
      </c>
      <c r="AM74" s="269">
        <f t="shared" si="66"/>
        <v>0.47436428393936891</v>
      </c>
      <c r="AN74" s="470">
        <f t="shared" si="66"/>
        <v>0.50310077519379848</v>
      </c>
      <c r="AO74" s="470">
        <f t="shared" si="66"/>
        <v>0.53379790940766547</v>
      </c>
      <c r="AP74" s="470">
        <f t="shared" si="66"/>
        <v>0.53171091445427732</v>
      </c>
      <c r="AQ74" s="470">
        <f t="shared" si="66"/>
        <v>0.41162790697674417</v>
      </c>
      <c r="AR74" s="269">
        <f t="shared" si="66"/>
        <v>0.49655557624278535</v>
      </c>
      <c r="AS74" s="470">
        <f t="shared" ref="AS74:BQ74" si="67">AS72/AS25</f>
        <v>0.57125000000000004</v>
      </c>
      <c r="AT74" s="470">
        <f t="shared" si="67"/>
        <v>0.55441081777205414</v>
      </c>
      <c r="AU74" s="470">
        <f t="shared" si="67"/>
        <v>0.48296199213630409</v>
      </c>
      <c r="AV74" s="470">
        <f t="shared" si="67"/>
        <v>0.38271604938271603</v>
      </c>
      <c r="AW74" s="269">
        <f t="shared" si="67"/>
        <v>0.49871341267288516</v>
      </c>
      <c r="AX74" s="470">
        <f t="shared" si="67"/>
        <v>0.48226018396846254</v>
      </c>
      <c r="AY74" s="470">
        <f t="shared" si="67"/>
        <v>0.44895003620564811</v>
      </c>
      <c r="AZ74" s="470">
        <f t="shared" si="67"/>
        <v>0.38980392156862748</v>
      </c>
      <c r="BA74" s="470">
        <f t="shared" si="67"/>
        <v>0.36976744186046512</v>
      </c>
      <c r="BB74" s="269">
        <f t="shared" si="67"/>
        <v>0.42574981711777615</v>
      </c>
      <c r="BC74" s="470">
        <f t="shared" si="67"/>
        <v>0.44625850340136053</v>
      </c>
      <c r="BD74" s="470">
        <f t="shared" si="67"/>
        <v>0.43708165997322623</v>
      </c>
      <c r="BE74" s="470">
        <f t="shared" si="67"/>
        <v>0.44633152173913043</v>
      </c>
      <c r="BF74" s="470">
        <f>BF72/BF25</f>
        <v>0.42635135135135133</v>
      </c>
      <c r="BG74" s="269">
        <f t="shared" si="67"/>
        <v>0.4389790398918188</v>
      </c>
      <c r="BH74" s="470">
        <f t="shared" si="67"/>
        <v>0.50727883538633822</v>
      </c>
      <c r="BI74" s="470">
        <f>BI72/BI25</f>
        <v>0.49642267473858009</v>
      </c>
      <c r="BJ74" s="470">
        <f>BJ72/BJ25</f>
        <v>0.47821290678433537</v>
      </c>
      <c r="BK74" s="470">
        <f t="shared" si="67"/>
        <v>0.4383971291866029</v>
      </c>
      <c r="BL74" s="269">
        <f t="shared" si="67"/>
        <v>0.48081264108352145</v>
      </c>
      <c r="BM74" s="470">
        <f t="shared" si="67"/>
        <v>0.51663201663201663</v>
      </c>
      <c r="BN74" s="470">
        <f t="shared" si="67"/>
        <v>0.50895679662802951</v>
      </c>
      <c r="BO74" s="470">
        <f t="shared" si="67"/>
        <v>0.52535850159089015</v>
      </c>
      <c r="BP74" s="470">
        <f t="shared" si="67"/>
        <v>0.48206712223070736</v>
      </c>
      <c r="BQ74" s="269">
        <f t="shared" si="67"/>
        <v>0.50868898998156076</v>
      </c>
      <c r="BR74" s="470">
        <f t="shared" ref="BR74:CA74" si="68">BR72/BR25</f>
        <v>0.52981303442571415</v>
      </c>
      <c r="BS74" s="470">
        <f t="shared" si="68"/>
        <v>0.52418814690066695</v>
      </c>
      <c r="BT74" s="470">
        <f t="shared" si="68"/>
        <v>0.52835185070147361</v>
      </c>
      <c r="BU74" s="470">
        <f t="shared" si="68"/>
        <v>0.48657593581373904</v>
      </c>
      <c r="BV74" s="269">
        <f t="shared" si="68"/>
        <v>0.51767963012310592</v>
      </c>
      <c r="BW74" s="470">
        <f t="shared" si="68"/>
        <v>0.53969805532769799</v>
      </c>
      <c r="BX74" s="470">
        <f t="shared" si="68"/>
        <v>0.53412528752002264</v>
      </c>
      <c r="BY74" s="470">
        <f t="shared" si="68"/>
        <v>0.53712718001512139</v>
      </c>
      <c r="BZ74" s="470">
        <f t="shared" si="68"/>
        <v>0.49576776268157885</v>
      </c>
      <c r="CA74" s="269">
        <f t="shared" si="68"/>
        <v>0.52712030131010024</v>
      </c>
    </row>
    <row r="75" spans="1:79" ht="12.75" customHeight="1" x14ac:dyDescent="0.35">
      <c r="B75" s="42" t="s">
        <v>34</v>
      </c>
      <c r="C75" s="42"/>
      <c r="G75" s="367"/>
      <c r="H75" s="395"/>
      <c r="I75" s="74">
        <f t="shared" ref="I75:AC75" si="69">IFERROR((I74-D74)*10000,"NA")</f>
        <v>4476.9352636812573</v>
      </c>
      <c r="J75" s="73">
        <f t="shared" si="69"/>
        <v>4645.46402502607</v>
      </c>
      <c r="K75" s="73">
        <f t="shared" si="69"/>
        <v>4968.517458500286</v>
      </c>
      <c r="L75" s="73">
        <f t="shared" si="69"/>
        <v>101.53961239481369</v>
      </c>
      <c r="M75" s="73">
        <f t="shared" si="69"/>
        <v>-69.800716053285413</v>
      </c>
      <c r="N75" s="74">
        <f t="shared" si="69"/>
        <v>126.72967348696385</v>
      </c>
      <c r="O75" s="73">
        <f t="shared" si="69"/>
        <v>-25.547204323667081</v>
      </c>
      <c r="P75" s="73">
        <f t="shared" si="69"/>
        <v>-97.588365808858327</v>
      </c>
      <c r="Q75" s="73">
        <f t="shared" si="69"/>
        <v>-41.804656846892719</v>
      </c>
      <c r="R75" s="73">
        <f t="shared" si="69"/>
        <v>-57.585852573726058</v>
      </c>
      <c r="S75" s="74">
        <f t="shared" si="69"/>
        <v>-49.496476843928214</v>
      </c>
      <c r="T75" s="73">
        <f t="shared" si="69"/>
        <v>-527.28111429387604</v>
      </c>
      <c r="U75" s="73">
        <f t="shared" si="69"/>
        <v>-119.07205748849958</v>
      </c>
      <c r="V75" s="73">
        <f t="shared" si="69"/>
        <v>235.35106306326549</v>
      </c>
      <c r="W75" s="73">
        <f t="shared" si="69"/>
        <v>373.22222412773056</v>
      </c>
      <c r="X75" s="74">
        <f t="shared" si="69"/>
        <v>-1.1469853783974138</v>
      </c>
      <c r="Y75" s="73">
        <f t="shared" si="69"/>
        <v>821.22811639705196</v>
      </c>
      <c r="Z75" s="73">
        <f t="shared" si="69"/>
        <v>241.64621317288305</v>
      </c>
      <c r="AA75" s="73">
        <f t="shared" si="69"/>
        <v>-43.674835201450989</v>
      </c>
      <c r="AB75" s="73">
        <f t="shared" si="69"/>
        <v>-79.633335550968738</v>
      </c>
      <c r="AC75" s="74">
        <f t="shared" si="69"/>
        <v>208.04510291856982</v>
      </c>
      <c r="AD75" s="73">
        <f t="shared" ref="AD75:AI75" si="70">IFERROR((AD74-Y74)*10000,"NA")</f>
        <v>-114.89337814417799</v>
      </c>
      <c r="AE75" s="73">
        <f t="shared" si="70"/>
        <v>-20.309477632896588</v>
      </c>
      <c r="AF75" s="73">
        <f t="shared" si="70"/>
        <v>38.422422796340342</v>
      </c>
      <c r="AG75" s="73">
        <f t="shared" si="70"/>
        <v>35.22149772503591</v>
      </c>
      <c r="AH75" s="386">
        <f>IFERROR((AH74-AC74)*10000,"NA")</f>
        <v>4.2788202042770562</v>
      </c>
      <c r="AI75" s="73">
        <f t="shared" si="70"/>
        <v>-255.58545210383198</v>
      </c>
      <c r="AJ75" s="73">
        <f t="shared" ref="AJ75:AX75" si="71">IFERROR((AJ74-AE74)*10000,"NA")</f>
        <v>-37.465359404745826</v>
      </c>
      <c r="AK75" s="73">
        <f t="shared" si="71"/>
        <v>191.22399070836127</v>
      </c>
      <c r="AL75" s="73">
        <f t="shared" si="71"/>
        <v>26.535775711071242</v>
      </c>
      <c r="AM75" s="386">
        <f t="shared" si="71"/>
        <v>-21.702558675052998</v>
      </c>
      <c r="AN75" s="73">
        <f t="shared" si="71"/>
        <v>487.62275938041608</v>
      </c>
      <c r="AO75" s="73">
        <f t="shared" si="71"/>
        <v>402.25068273848586</v>
      </c>
      <c r="AP75" s="73">
        <f t="shared" si="71"/>
        <v>368.29818122153193</v>
      </c>
      <c r="AQ75" s="73">
        <f t="shared" si="71"/>
        <v>-417.37867556913557</v>
      </c>
      <c r="AR75" s="386">
        <f t="shared" si="71"/>
        <v>221.91292303416432</v>
      </c>
      <c r="AS75" s="73">
        <f t="shared" si="71"/>
        <v>681.49224806201562</v>
      </c>
      <c r="AT75" s="73">
        <f t="shared" si="71"/>
        <v>206.1290836438867</v>
      </c>
      <c r="AU75" s="73">
        <f t="shared" si="71"/>
        <v>-487.48922317973233</v>
      </c>
      <c r="AV75" s="73">
        <f t="shared" si="71"/>
        <v>-289.11857594028146</v>
      </c>
      <c r="AW75" s="386">
        <f>IFERROR((AW74-AR74)*10000,"NA")</f>
        <v>21.578364300998132</v>
      </c>
      <c r="AX75" s="73">
        <f t="shared" si="71"/>
        <v>-889.89816031537498</v>
      </c>
      <c r="AY75" s="73">
        <f t="shared" ref="AY75:BQ75" si="72">IFERROR((AY74-AT74)*10000,"NA")</f>
        <v>-1054.6078156640604</v>
      </c>
      <c r="AZ75" s="73">
        <f t="shared" si="72"/>
        <v>-931.58070567676612</v>
      </c>
      <c r="BA75" s="73">
        <f t="shared" si="72"/>
        <v>-129.4860752225091</v>
      </c>
      <c r="BB75" s="386">
        <f t="shared" si="72"/>
        <v>-729.63595555109009</v>
      </c>
      <c r="BC75" s="73">
        <f t="shared" si="72"/>
        <v>-360.01680567102011</v>
      </c>
      <c r="BD75" s="73">
        <f t="shared" si="72"/>
        <v>-118.68376232421873</v>
      </c>
      <c r="BE75" s="73">
        <f t="shared" si="72"/>
        <v>565.27600170502956</v>
      </c>
      <c r="BF75" s="73">
        <f t="shared" si="72"/>
        <v>565.83909490886208</v>
      </c>
      <c r="BG75" s="386">
        <f t="shared" si="72"/>
        <v>132.29222774042648</v>
      </c>
      <c r="BH75" s="73">
        <f t="shared" si="72"/>
        <v>610.2033198497769</v>
      </c>
      <c r="BI75" s="73">
        <f t="shared" si="72"/>
        <v>593.41014765353862</v>
      </c>
      <c r="BJ75" s="73">
        <f t="shared" si="72"/>
        <v>318.81385045204934</v>
      </c>
      <c r="BK75" s="73">
        <f t="shared" si="72"/>
        <v>120.4577783525157</v>
      </c>
      <c r="BL75" s="386">
        <f t="shared" si="72"/>
        <v>418.3360119170265</v>
      </c>
      <c r="BM75" s="73">
        <f t="shared" si="72"/>
        <v>93.53181245678411</v>
      </c>
      <c r="BN75" s="73">
        <f t="shared" si="72"/>
        <v>125.34121889449412</v>
      </c>
      <c r="BO75" s="73">
        <f t="shared" si="72"/>
        <v>471.45594806554783</v>
      </c>
      <c r="BP75" s="73">
        <f t="shared" si="72"/>
        <v>436.69993044104461</v>
      </c>
      <c r="BQ75" s="386">
        <f t="shared" si="72"/>
        <v>278.76348898039305</v>
      </c>
      <c r="BR75" s="73">
        <f t="shared" ref="BR75:CA75" si="73">IFERROR((BR74-BM74)*10000,"NA")</f>
        <v>131.81017793697515</v>
      </c>
      <c r="BS75" s="73">
        <f t="shared" si="73"/>
        <v>152.31350272637445</v>
      </c>
      <c r="BT75" s="73">
        <f t="shared" si="73"/>
        <v>29.933491105834655</v>
      </c>
      <c r="BU75" s="73">
        <f t="shared" si="73"/>
        <v>45.088135830316787</v>
      </c>
      <c r="BV75" s="386">
        <f t="shared" si="73"/>
        <v>89.906401415451583</v>
      </c>
      <c r="BW75" s="73">
        <f t="shared" si="73"/>
        <v>98.850209019838431</v>
      </c>
      <c r="BX75" s="73">
        <f t="shared" si="73"/>
        <v>99.371406193556894</v>
      </c>
      <c r="BY75" s="73">
        <f t="shared" si="73"/>
        <v>87.753293136477723</v>
      </c>
      <c r="BZ75" s="73">
        <f t="shared" si="73"/>
        <v>91.918268678398135</v>
      </c>
      <c r="CA75" s="386">
        <f t="shared" si="73"/>
        <v>94.406711869943209</v>
      </c>
    </row>
    <row r="76" spans="1:79" ht="12.75" customHeight="1" x14ac:dyDescent="0.35">
      <c r="A76" s="41"/>
      <c r="B76" s="42" t="s">
        <v>303</v>
      </c>
      <c r="C76" s="42"/>
      <c r="D76" s="101"/>
      <c r="E76" s="101"/>
      <c r="F76" s="101"/>
      <c r="G76" s="375"/>
      <c r="H76" s="375"/>
      <c r="I76" s="192">
        <f>(I72-D72)/(I25-D25)</f>
        <v>0.4476935263681257</v>
      </c>
      <c r="J76" s="154"/>
      <c r="K76" s="154"/>
      <c r="L76" s="154"/>
      <c r="M76" s="154"/>
      <c r="N76" s="192">
        <f>(N72-I72)/(N25-I25)</f>
        <v>0.56262749898000775</v>
      </c>
      <c r="O76" s="154"/>
      <c r="P76" s="154"/>
      <c r="Q76" s="154"/>
      <c r="R76" s="154"/>
      <c r="S76" s="192">
        <f>(S72-N72)/(S25-N25)</f>
        <v>0.34553928095872122</v>
      </c>
      <c r="T76" s="154"/>
      <c r="U76" s="154"/>
      <c r="V76" s="154"/>
      <c r="W76" s="154"/>
      <c r="X76" s="192">
        <f>(X72-S72)/(X25-S25)</f>
        <v>0.45196324143692385</v>
      </c>
      <c r="Y76" s="154"/>
      <c r="Z76" s="154"/>
      <c r="AA76" s="154"/>
      <c r="AB76" s="154"/>
      <c r="AC76" s="192">
        <f>(AC72-X72)/(AC25-X25)</f>
        <v>0.60110018336389415</v>
      </c>
      <c r="AD76" s="154"/>
      <c r="AE76" s="154"/>
      <c r="AF76" s="154"/>
      <c r="AG76" s="154"/>
      <c r="AH76" s="192">
        <f t="shared" ref="AH76:BB76" si="74">(AH72-AC72)/(AH25-AC25)</f>
        <v>0.48407376362112431</v>
      </c>
      <c r="AI76" s="154">
        <f t="shared" si="74"/>
        <v>-1.4155844155844399</v>
      </c>
      <c r="AJ76" s="154">
        <f t="shared" si="74"/>
        <v>0.37922077922078645</v>
      </c>
      <c r="AK76" s="154">
        <f t="shared" si="74"/>
        <v>0.62429555416405702</v>
      </c>
      <c r="AL76" s="154">
        <f t="shared" si="74"/>
        <v>0.46963562753036503</v>
      </c>
      <c r="AM76" s="192">
        <f t="shared" si="74"/>
        <v>0.44941785252263977</v>
      </c>
      <c r="AN76" s="154">
        <f t="shared" si="74"/>
        <v>0.87964841108857372</v>
      </c>
      <c r="AO76" s="154">
        <f t="shared" si="74"/>
        <v>0.75429087624209523</v>
      </c>
      <c r="AP76" s="154">
        <f t="shared" si="74"/>
        <v>0.92727272727272747</v>
      </c>
      <c r="AQ76" s="154">
        <f t="shared" si="74"/>
        <v>-0.49122807017543857</v>
      </c>
      <c r="AR76" s="103">
        <f t="shared" si="74"/>
        <v>0.69435215946843798</v>
      </c>
      <c r="AS76" s="154">
        <f t="shared" si="74"/>
        <v>0.85483870967741937</v>
      </c>
      <c r="AT76" s="154">
        <f t="shared" si="74"/>
        <v>0.80508474576271183</v>
      </c>
      <c r="AU76" s="154">
        <f t="shared" si="74"/>
        <v>9.4117647058823528E-2</v>
      </c>
      <c r="AV76" s="154">
        <f t="shared" si="74"/>
        <v>0.23293172690763053</v>
      </c>
      <c r="AW76" s="103">
        <f t="shared" si="74"/>
        <v>0.51239669421487599</v>
      </c>
      <c r="AX76" s="154">
        <f t="shared" si="74"/>
        <v>2.3076923076923075</v>
      </c>
      <c r="AY76" s="154">
        <f t="shared" si="74"/>
        <v>1.4011627906976745</v>
      </c>
      <c r="AZ76" s="154">
        <f t="shared" si="74"/>
        <v>0.95617529880478092</v>
      </c>
      <c r="BA76" s="154">
        <f t="shared" si="74"/>
        <v>0.44979919678714858</v>
      </c>
      <c r="BB76" s="103">
        <f t="shared" si="74"/>
        <v>1.0306666666666666</v>
      </c>
      <c r="BC76" s="154">
        <f t="shared" ref="BC76:BQ76" si="75">(BC72-AX72)/(BC25-AX25)</f>
        <v>1.5</v>
      </c>
      <c r="BD76" s="154">
        <f t="shared" si="75"/>
        <v>0.29203539823008851</v>
      </c>
      <c r="BE76" s="154">
        <f t="shared" si="75"/>
        <v>0.81218274111675126</v>
      </c>
      <c r="BF76" s="154">
        <f t="shared" si="75"/>
        <v>0.81052631578947365</v>
      </c>
      <c r="BG76" s="103">
        <f t="shared" si="75"/>
        <v>0.6004464285714286</v>
      </c>
      <c r="BH76" s="154">
        <f t="shared" si="75"/>
        <v>0.79113924050632911</v>
      </c>
      <c r="BI76" s="154">
        <f t="shared" si="75"/>
        <v>0.77089783281733748</v>
      </c>
      <c r="BJ76" s="154">
        <f t="shared" si="75"/>
        <v>0.61583577712609971</v>
      </c>
      <c r="BK76" s="154">
        <f t="shared" si="75"/>
        <v>0.53125</v>
      </c>
      <c r="BL76" s="103">
        <f t="shared" si="75"/>
        <v>0.69197952218430037</v>
      </c>
      <c r="BM76" s="154">
        <f t="shared" si="75"/>
        <v>0.6376811594202898</v>
      </c>
      <c r="BN76" s="154">
        <f t="shared" si="75"/>
        <v>0.79012345679012341</v>
      </c>
      <c r="BO76" s="154">
        <f t="shared" si="75"/>
        <v>0.97186617219781568</v>
      </c>
      <c r="BP76" s="154">
        <f t="shared" si="75"/>
        <v>0.89637164097318123</v>
      </c>
      <c r="BQ76" s="103">
        <f t="shared" si="75"/>
        <v>0.84548516387101758</v>
      </c>
      <c r="BR76" s="154">
        <f t="shared" ref="BR76:CA76" si="76">(BR72-BM72)/(BR25-BM25)</f>
        <v>0.66831782194478029</v>
      </c>
      <c r="BS76" s="154">
        <f t="shared" si="76"/>
        <v>0.70738835563962399</v>
      </c>
      <c r="BT76" s="154">
        <f t="shared" si="76"/>
        <v>0.56757094347125714</v>
      </c>
      <c r="BU76" s="154">
        <f t="shared" si="76"/>
        <v>0.54438241363678486</v>
      </c>
      <c r="BV76" s="103">
        <f t="shared" si="76"/>
        <v>0.6258225377762745</v>
      </c>
      <c r="BW76" s="154">
        <f t="shared" si="76"/>
        <v>0.66951498079054206</v>
      </c>
      <c r="BX76" s="154">
        <f t="shared" si="76"/>
        <v>0.66489358235261609</v>
      </c>
      <c r="BY76" s="154">
        <f t="shared" si="76"/>
        <v>0.652278784915162</v>
      </c>
      <c r="BZ76" s="154">
        <f t="shared" si="76"/>
        <v>0.61580610399384184</v>
      </c>
      <c r="CA76" s="103">
        <f t="shared" si="76"/>
        <v>0.65097158589819681</v>
      </c>
    </row>
    <row r="77" spans="1:79" ht="12.75" customHeight="1" x14ac:dyDescent="0.35">
      <c r="A77" s="41"/>
      <c r="B77" s="42" t="s">
        <v>198</v>
      </c>
      <c r="C77" s="42"/>
      <c r="D77" s="101"/>
      <c r="E77" s="101"/>
      <c r="F77" s="101"/>
      <c r="G77" s="375"/>
      <c r="H77" s="375"/>
      <c r="I77" s="392"/>
      <c r="J77" s="391"/>
      <c r="K77" s="391"/>
      <c r="L77" s="391"/>
      <c r="M77" s="391"/>
      <c r="N77" s="369"/>
      <c r="O77" s="391"/>
      <c r="P77" s="391"/>
      <c r="Q77" s="391"/>
      <c r="R77" s="391"/>
      <c r="S77" s="369"/>
      <c r="T77" s="391"/>
      <c r="U77" s="391"/>
      <c r="V77" s="391"/>
      <c r="W77" s="391"/>
      <c r="X77" s="369"/>
      <c r="Y77" s="179">
        <f t="shared" ref="Y77:BB77" si="77">Y72+Y36</f>
        <v>511.70000000000005</v>
      </c>
      <c r="Z77" s="179">
        <f t="shared" si="77"/>
        <v>528.29999999999995</v>
      </c>
      <c r="AA77" s="179">
        <f t="shared" si="77"/>
        <v>533.4</v>
      </c>
      <c r="AB77" s="179">
        <f t="shared" si="77"/>
        <v>551.0999999999998</v>
      </c>
      <c r="AC77" s="174">
        <f t="shared" si="77"/>
        <v>2124.5</v>
      </c>
      <c r="AD77" s="179">
        <f t="shared" si="77"/>
        <v>575.80000000000007</v>
      </c>
      <c r="AE77" s="179">
        <f t="shared" si="77"/>
        <v>618.79999999999984</v>
      </c>
      <c r="AF77" s="179">
        <f t="shared" si="77"/>
        <v>544.70000000000005</v>
      </c>
      <c r="AG77" s="179">
        <f t="shared" si="77"/>
        <v>508.09999999999985</v>
      </c>
      <c r="AH77" s="174">
        <f t="shared" si="77"/>
        <v>2247.4</v>
      </c>
      <c r="AI77" s="179">
        <f t="shared" si="77"/>
        <v>554.59999999999991</v>
      </c>
      <c r="AJ77" s="179">
        <f t="shared" si="77"/>
        <v>633.00000000000023</v>
      </c>
      <c r="AK77" s="179">
        <f t="shared" si="77"/>
        <v>644.9</v>
      </c>
      <c r="AL77" s="179">
        <f t="shared" si="77"/>
        <v>589.29999999999995</v>
      </c>
      <c r="AM77" s="174">
        <f t="shared" si="77"/>
        <v>2421.8000000000002</v>
      </c>
      <c r="AN77" s="179">
        <f t="shared" si="77"/>
        <v>686</v>
      </c>
      <c r="AO77" s="179">
        <f t="shared" si="77"/>
        <v>801</v>
      </c>
      <c r="AP77" s="179">
        <f t="shared" si="77"/>
        <v>759</v>
      </c>
      <c r="AQ77" s="179">
        <f t="shared" si="77"/>
        <v>575</v>
      </c>
      <c r="AR77" s="174">
        <f t="shared" si="77"/>
        <v>2821</v>
      </c>
      <c r="AS77" s="179">
        <f>AS72+AS36</f>
        <v>959</v>
      </c>
      <c r="AT77" s="179">
        <f>AT72+AT36</f>
        <v>902</v>
      </c>
      <c r="AU77" s="179">
        <f>AU72+AU36</f>
        <v>778</v>
      </c>
      <c r="AV77" s="179">
        <f>AV72+AV36</f>
        <v>637</v>
      </c>
      <c r="AW77" s="174">
        <f t="shared" si="77"/>
        <v>3276</v>
      </c>
      <c r="AX77" s="179">
        <f t="shared" si="77"/>
        <v>780</v>
      </c>
      <c r="AY77" s="179">
        <f t="shared" si="77"/>
        <v>658</v>
      </c>
      <c r="AZ77" s="179">
        <f>AZ72+AZ36</f>
        <v>543</v>
      </c>
      <c r="BA77" s="179">
        <f>BA72+BA36</f>
        <v>516</v>
      </c>
      <c r="BB77" s="174">
        <f t="shared" si="77"/>
        <v>2497</v>
      </c>
      <c r="BC77" s="179">
        <f t="shared" ref="BC77:BQ77" si="78">BC72+BC36</f>
        <v>703</v>
      </c>
      <c r="BD77" s="179">
        <f t="shared" si="78"/>
        <v>703</v>
      </c>
      <c r="BE77" s="179">
        <f t="shared" si="78"/>
        <v>703</v>
      </c>
      <c r="BF77" s="179">
        <f>BF72+BF36</f>
        <v>681</v>
      </c>
      <c r="BG77" s="174">
        <f t="shared" si="78"/>
        <v>2790</v>
      </c>
      <c r="BH77" s="179">
        <f t="shared" si="78"/>
        <v>959</v>
      </c>
      <c r="BI77" s="179">
        <f>BI72+BI36</f>
        <v>958</v>
      </c>
      <c r="BJ77" s="179">
        <f>BJ72+BJ36</f>
        <v>874</v>
      </c>
      <c r="BK77" s="179">
        <f t="shared" si="78"/>
        <v>837</v>
      </c>
      <c r="BL77" s="174">
        <f t="shared" si="78"/>
        <v>3628</v>
      </c>
      <c r="BM77" s="179">
        <f t="shared" si="78"/>
        <v>1050</v>
      </c>
      <c r="BN77" s="179">
        <f t="shared" si="78"/>
        <v>1027</v>
      </c>
      <c r="BO77" s="179">
        <f t="shared" si="78"/>
        <v>1061.0443413438279</v>
      </c>
      <c r="BP77" s="179">
        <f t="shared" si="78"/>
        <v>940.97480713007008</v>
      </c>
      <c r="BQ77" s="174">
        <f t="shared" si="78"/>
        <v>4079.019148473898</v>
      </c>
      <c r="BR77" s="179">
        <f t="shared" ref="BR77:CA77" si="79">BR72+BR36</f>
        <v>1173.3692423747102</v>
      </c>
      <c r="BS77" s="179">
        <f t="shared" si="79"/>
        <v>1139.6263067920586</v>
      </c>
      <c r="BT77" s="179">
        <f t="shared" si="79"/>
        <v>1148.8745562318013</v>
      </c>
      <c r="BU77" s="179">
        <f t="shared" si="79"/>
        <v>1020.4527787499638</v>
      </c>
      <c r="BV77" s="174">
        <f t="shared" si="79"/>
        <v>4482.3228841485343</v>
      </c>
      <c r="BW77" s="179">
        <f t="shared" si="79"/>
        <v>1281.7908866507869</v>
      </c>
      <c r="BX77" s="179">
        <f t="shared" si="79"/>
        <v>1244.4967785974877</v>
      </c>
      <c r="BY77" s="179">
        <f t="shared" si="79"/>
        <v>1257.1154705947838</v>
      </c>
      <c r="BZ77" s="179">
        <f t="shared" si="79"/>
        <v>1115.4038794528778</v>
      </c>
      <c r="CA77" s="174">
        <f t="shared" si="79"/>
        <v>4898.8070152959363</v>
      </c>
    </row>
    <row r="78" spans="1:79" ht="12.75" customHeight="1" x14ac:dyDescent="0.35">
      <c r="A78" s="41"/>
      <c r="B78" s="42"/>
      <c r="C78" s="42"/>
      <c r="D78" s="101"/>
      <c r="E78" s="101"/>
      <c r="F78" s="101"/>
      <c r="G78" s="101"/>
      <c r="H78" s="101"/>
      <c r="I78" s="102"/>
      <c r="J78" s="273"/>
      <c r="K78" s="273"/>
      <c r="L78" s="273"/>
      <c r="M78" s="273"/>
      <c r="N78" s="102"/>
      <c r="O78" s="273"/>
      <c r="P78" s="273"/>
      <c r="Q78" s="273"/>
      <c r="R78" s="273"/>
      <c r="S78" s="102"/>
      <c r="T78" s="394"/>
      <c r="U78" s="394"/>
      <c r="V78" s="394"/>
      <c r="W78" s="394"/>
      <c r="X78" s="102"/>
      <c r="Y78" s="394"/>
      <c r="Z78" s="394"/>
      <c r="AA78" s="394"/>
      <c r="AB78" s="394"/>
      <c r="AC78" s="108"/>
      <c r="AD78" s="394"/>
      <c r="AE78" s="222"/>
      <c r="AF78" s="222"/>
      <c r="AG78" s="222"/>
      <c r="AH78" s="227"/>
      <c r="AI78" s="222"/>
      <c r="AJ78" s="222"/>
      <c r="AK78" s="222"/>
      <c r="AL78" s="222"/>
      <c r="AM78" s="227"/>
      <c r="AN78" s="222"/>
      <c r="AO78" s="222"/>
      <c r="AP78" s="222"/>
      <c r="AQ78" s="222"/>
      <c r="AR78" s="227"/>
      <c r="AS78" s="222"/>
      <c r="AT78" s="222"/>
      <c r="AU78" s="222"/>
      <c r="AV78" s="222"/>
      <c r="AW78" s="227"/>
      <c r="AX78" s="222"/>
      <c r="AY78" s="222"/>
      <c r="AZ78" s="222"/>
      <c r="BA78" s="222"/>
      <c r="BB78" s="227"/>
      <c r="BC78" s="222"/>
      <c r="BD78" s="222"/>
      <c r="BE78" s="222"/>
      <c r="BF78" s="222"/>
      <c r="BG78" s="227"/>
      <c r="BH78" s="222"/>
      <c r="BI78" s="222"/>
      <c r="BJ78" s="222"/>
      <c r="BK78" s="222"/>
      <c r="BL78" s="227"/>
      <c r="BM78" s="222"/>
      <c r="BN78" s="222"/>
      <c r="BO78" s="222"/>
      <c r="BP78" s="222"/>
      <c r="BQ78" s="227"/>
      <c r="BR78" s="222"/>
      <c r="BS78" s="222"/>
      <c r="BT78" s="222"/>
      <c r="BU78" s="222"/>
      <c r="BV78" s="227"/>
      <c r="BW78" s="222"/>
      <c r="BX78" s="222"/>
      <c r="BY78" s="222"/>
      <c r="BZ78" s="222"/>
      <c r="CA78" s="227"/>
    </row>
    <row r="79" spans="1:79" ht="12.75" customHeight="1" x14ac:dyDescent="0.35">
      <c r="A79" s="41"/>
      <c r="B79" s="91" t="s">
        <v>133</v>
      </c>
      <c r="C79" s="223"/>
      <c r="D79" s="224"/>
      <c r="E79" s="224"/>
      <c r="F79" s="224"/>
      <c r="G79" s="224"/>
      <c r="H79" s="224"/>
      <c r="I79" s="92"/>
      <c r="J79" s="93"/>
      <c r="K79" s="93"/>
      <c r="L79" s="93"/>
      <c r="M79" s="93"/>
      <c r="N79" s="92"/>
      <c r="O79" s="93"/>
      <c r="P79" s="93"/>
      <c r="Q79" s="93"/>
      <c r="R79" s="93"/>
      <c r="S79" s="92"/>
      <c r="T79" s="396"/>
      <c r="U79" s="396"/>
      <c r="V79" s="396"/>
      <c r="W79" s="396"/>
      <c r="X79" s="92"/>
      <c r="Y79" s="396"/>
      <c r="Z79" s="396"/>
      <c r="AA79" s="396"/>
      <c r="AB79" s="396"/>
      <c r="AC79" s="235"/>
      <c r="AD79" s="396"/>
      <c r="AE79" s="396"/>
      <c r="AF79" s="396"/>
      <c r="AG79" s="396"/>
      <c r="AH79" s="235"/>
      <c r="AI79" s="396"/>
      <c r="AJ79" s="396"/>
      <c r="AK79" s="396"/>
      <c r="AL79" s="396"/>
      <c r="AM79" s="235"/>
      <c r="AN79" s="396"/>
      <c r="AO79" s="396"/>
      <c r="AP79" s="396"/>
      <c r="AQ79" s="396"/>
      <c r="AR79" s="235"/>
      <c r="AS79" s="396"/>
      <c r="AT79" s="396"/>
      <c r="AU79" s="396"/>
      <c r="AV79" s="396"/>
      <c r="AW79" s="235"/>
      <c r="AX79" s="396"/>
      <c r="AY79" s="396"/>
      <c r="AZ79" s="396"/>
      <c r="BA79" s="396"/>
      <c r="BB79" s="235"/>
      <c r="BC79" s="396"/>
      <c r="BD79" s="396"/>
      <c r="BE79" s="396"/>
      <c r="BF79" s="396"/>
      <c r="BG79" s="235"/>
      <c r="BH79" s="396"/>
      <c r="BI79" s="396"/>
      <c r="BJ79" s="396"/>
      <c r="BK79" s="396"/>
      <c r="BL79" s="235"/>
      <c r="BM79" s="396"/>
      <c r="BN79" s="396"/>
      <c r="BO79" s="396"/>
      <c r="BP79" s="396"/>
      <c r="BQ79" s="235"/>
      <c r="BR79" s="396"/>
      <c r="BS79" s="396"/>
      <c r="BT79" s="396"/>
      <c r="BU79" s="396"/>
      <c r="BV79" s="235"/>
      <c r="BW79" s="396"/>
      <c r="BX79" s="396"/>
      <c r="BY79" s="396"/>
      <c r="BZ79" s="396"/>
      <c r="CA79" s="235"/>
    </row>
    <row r="80" spans="1:79" ht="12.75" customHeight="1" x14ac:dyDescent="0.35">
      <c r="A80" s="41"/>
      <c r="B80" s="94" t="s">
        <v>474</v>
      </c>
      <c r="C80" s="42"/>
      <c r="D80" s="101"/>
      <c r="E80" s="101"/>
      <c r="F80" s="101"/>
      <c r="G80" s="101"/>
      <c r="H80" s="101"/>
      <c r="I80" s="102"/>
      <c r="J80" s="273"/>
      <c r="K80" s="273"/>
      <c r="L80" s="273"/>
      <c r="M80" s="273"/>
      <c r="N80" s="102"/>
      <c r="O80" s="273"/>
      <c r="P80" s="273"/>
      <c r="Q80" s="273"/>
      <c r="R80" s="273"/>
      <c r="S80" s="102"/>
      <c r="T80" s="394"/>
      <c r="U80" s="394"/>
      <c r="V80" s="394"/>
      <c r="W80" s="394"/>
      <c r="X80" s="102"/>
      <c r="Y80" s="179">
        <f>Y62</f>
        <v>345.60000000000008</v>
      </c>
      <c r="Z80" s="179">
        <f>Z62</f>
        <v>312.19999999999993</v>
      </c>
      <c r="AA80" s="179">
        <f>AA62</f>
        <v>317.30000000000007</v>
      </c>
      <c r="AB80" s="179">
        <f>AB62</f>
        <v>25.499999999999886</v>
      </c>
      <c r="AC80" s="174">
        <f t="shared" ref="AC80:AC85" si="80">SUM(Y80:AB80)</f>
        <v>1000.5999999999999</v>
      </c>
      <c r="AD80" s="179">
        <f>AD62</f>
        <v>372.90000000000009</v>
      </c>
      <c r="AE80" s="179">
        <f>AE62</f>
        <v>376.19999999999987</v>
      </c>
      <c r="AF80" s="179">
        <f>AF62</f>
        <v>310.20000000000005</v>
      </c>
      <c r="AG80" s="179">
        <f>AG62</f>
        <v>250.29999999999978</v>
      </c>
      <c r="AH80" s="174">
        <f t="shared" ref="AH80:AH85" si="81">SUM(AD80:AG80)</f>
        <v>1309.5999999999997</v>
      </c>
      <c r="AI80" s="179">
        <f>AI62</f>
        <v>372.89999999999986</v>
      </c>
      <c r="AJ80" s="179">
        <f>AJ62</f>
        <v>310.30000000000024</v>
      </c>
      <c r="AK80" s="179">
        <f>AK62</f>
        <v>379.4</v>
      </c>
      <c r="AL80" s="179">
        <f>AL62</f>
        <v>359</v>
      </c>
      <c r="AM80" s="174">
        <f t="shared" ref="AM80:AM85" si="82">SUM(AI80:AL80)</f>
        <v>1421.6</v>
      </c>
      <c r="AN80" s="179">
        <f>AN62</f>
        <v>487.4</v>
      </c>
      <c r="AO80" s="179">
        <f>AO62</f>
        <v>509</v>
      </c>
      <c r="AP80" s="179">
        <f>AP62</f>
        <v>467</v>
      </c>
      <c r="AQ80" s="179">
        <f>AQ62</f>
        <v>314</v>
      </c>
      <c r="AR80" s="174">
        <f t="shared" ref="AR80:AR85" si="83">SUM(AN80:AQ80)</f>
        <v>1777.4</v>
      </c>
      <c r="AS80" s="179">
        <f>AS62</f>
        <v>736</v>
      </c>
      <c r="AT80" s="179">
        <f>AT62</f>
        <v>577</v>
      </c>
      <c r="AU80" s="179">
        <f>AU62</f>
        <v>474</v>
      </c>
      <c r="AV80" s="179">
        <f>AV62</f>
        <v>427</v>
      </c>
      <c r="AW80" s="174">
        <f t="shared" ref="AW80:AW85" si="84">SUM(AS80:AV80)</f>
        <v>2214</v>
      </c>
      <c r="AX80" s="179">
        <f>AX62</f>
        <v>498</v>
      </c>
      <c r="AY80" s="179">
        <f>AY62</f>
        <v>327</v>
      </c>
      <c r="AZ80" s="179">
        <f>AZ62</f>
        <v>303</v>
      </c>
      <c r="BA80" s="179">
        <f>BA62</f>
        <v>246</v>
      </c>
      <c r="BB80" s="174">
        <f t="shared" ref="BB80:BB85" si="85">SUM(AX80:BA80)</f>
        <v>1374</v>
      </c>
      <c r="BC80" s="179">
        <f>BC62</f>
        <v>501</v>
      </c>
      <c r="BD80" s="179">
        <f>BD62</f>
        <v>377</v>
      </c>
      <c r="BE80" s="179">
        <f>BE62</f>
        <v>389</v>
      </c>
      <c r="BF80" s="179">
        <f>BF62</f>
        <v>340</v>
      </c>
      <c r="BG80" s="174">
        <f t="shared" ref="BG80:BG85" si="86">SUM(BC80:BF80)</f>
        <v>1607</v>
      </c>
      <c r="BH80" s="179">
        <f>BH62</f>
        <v>577</v>
      </c>
      <c r="BI80" s="179">
        <f>BI62</f>
        <v>552</v>
      </c>
      <c r="BJ80" s="179">
        <f>BJ62</f>
        <v>534</v>
      </c>
      <c r="BK80" s="179">
        <f>BK62</f>
        <v>395</v>
      </c>
      <c r="BL80" s="174">
        <f t="shared" ref="BL80:BL85" si="87">SUM(BH80:BK80)</f>
        <v>2058</v>
      </c>
      <c r="BM80" s="179">
        <f>BM62</f>
        <v>625</v>
      </c>
      <c r="BN80" s="179">
        <f>BN62</f>
        <v>578</v>
      </c>
      <c r="BO80" s="179">
        <f ca="1">BO62</f>
        <v>718.72867000377255</v>
      </c>
      <c r="BP80" s="179">
        <f ca="1">BP62</f>
        <v>563.58977128957281</v>
      </c>
      <c r="BQ80" s="174">
        <f t="shared" ref="BQ80:BQ85" ca="1" si="88">SUM(BM80:BP80)</f>
        <v>2485.3184412933451</v>
      </c>
      <c r="BR80" s="179">
        <f ca="1">BR62</f>
        <v>717.85534647472525</v>
      </c>
      <c r="BS80" s="179">
        <f ca="1">BS62</f>
        <v>676.7609025387784</v>
      </c>
      <c r="BT80" s="179">
        <f ca="1">BT62</f>
        <v>721.49641014245321</v>
      </c>
      <c r="BU80" s="179">
        <f ca="1">BU62</f>
        <v>577.53912516797004</v>
      </c>
      <c r="BV80" s="174">
        <f t="shared" ref="BV80:BV85" ca="1" si="89">SUM(BR80:BU80)</f>
        <v>2693.6517843239271</v>
      </c>
      <c r="BW80" s="179">
        <f ca="1">BW62</f>
        <v>803.92175592383194</v>
      </c>
      <c r="BX80" s="179">
        <f ca="1">BX62</f>
        <v>767.79655400118634</v>
      </c>
      <c r="BY80" s="179">
        <f ca="1">BY62</f>
        <v>812.99460412577946</v>
      </c>
      <c r="BZ80" s="179">
        <f ca="1">BZ62</f>
        <v>657.94131134652389</v>
      </c>
      <c r="CA80" s="174">
        <f t="shared" ref="CA80:CA85" ca="1" si="90">SUM(BW80:BZ80)</f>
        <v>3042.6542253973216</v>
      </c>
    </row>
    <row r="81" spans="1:79" ht="12.75" customHeight="1" x14ac:dyDescent="0.35">
      <c r="A81" s="41"/>
      <c r="B81" s="76" t="s">
        <v>134</v>
      </c>
      <c r="C81" s="42"/>
      <c r="D81" s="101"/>
      <c r="E81" s="101"/>
      <c r="F81" s="101"/>
      <c r="G81" s="101"/>
      <c r="H81" s="101"/>
      <c r="I81" s="102"/>
      <c r="J81" s="273"/>
      <c r="K81" s="273"/>
      <c r="L81" s="273"/>
      <c r="M81" s="273"/>
      <c r="N81" s="102"/>
      <c r="O81" s="273"/>
      <c r="P81" s="273"/>
      <c r="Q81" s="273"/>
      <c r="R81" s="273"/>
      <c r="S81" s="102"/>
      <c r="T81" s="394"/>
      <c r="U81" s="394"/>
      <c r="V81" s="394"/>
      <c r="W81" s="394"/>
      <c r="X81" s="102"/>
      <c r="Y81" s="189">
        <v>0</v>
      </c>
      <c r="Z81" s="189">
        <v>6.6</v>
      </c>
      <c r="AA81" s="189">
        <v>8.5</v>
      </c>
      <c r="AB81" s="189">
        <v>3.8</v>
      </c>
      <c r="AC81" s="186">
        <f t="shared" si="80"/>
        <v>18.899999999999999</v>
      </c>
      <c r="AD81" s="189">
        <v>0.6</v>
      </c>
      <c r="AE81" s="189">
        <v>1.6</v>
      </c>
      <c r="AF81" s="189">
        <f>0.9</f>
        <v>0.9</v>
      </c>
      <c r="AG81" s="189">
        <v>3.1</v>
      </c>
      <c r="AH81" s="186">
        <f t="shared" si="81"/>
        <v>6.2</v>
      </c>
      <c r="AI81" s="189">
        <v>1.1000000000000001</v>
      </c>
      <c r="AJ81" s="189">
        <v>1.4</v>
      </c>
      <c r="AK81" s="189">
        <v>0</v>
      </c>
      <c r="AL81" s="189">
        <v>0</v>
      </c>
      <c r="AM81" s="186">
        <f t="shared" si="82"/>
        <v>2.5</v>
      </c>
      <c r="AN81" s="189">
        <v>0</v>
      </c>
      <c r="AO81" s="189">
        <v>0</v>
      </c>
      <c r="AP81" s="189">
        <v>0</v>
      </c>
      <c r="AQ81" s="189">
        <v>0</v>
      </c>
      <c r="AR81" s="186">
        <f t="shared" si="83"/>
        <v>0</v>
      </c>
      <c r="AS81" s="189">
        <v>0</v>
      </c>
      <c r="AT81" s="189">
        <v>0</v>
      </c>
      <c r="AU81" s="189">
        <v>0</v>
      </c>
      <c r="AV81" s="189">
        <v>0</v>
      </c>
      <c r="AW81" s="186">
        <f t="shared" si="84"/>
        <v>0</v>
      </c>
      <c r="AX81" s="189">
        <v>0</v>
      </c>
      <c r="AY81" s="189">
        <v>0</v>
      </c>
      <c r="AZ81" s="189">
        <v>0</v>
      </c>
      <c r="BA81" s="189">
        <v>0</v>
      </c>
      <c r="BB81" s="186">
        <f t="shared" si="85"/>
        <v>0</v>
      </c>
      <c r="BC81" s="189">
        <v>0</v>
      </c>
      <c r="BD81" s="189">
        <v>0</v>
      </c>
      <c r="BE81" s="189">
        <v>0</v>
      </c>
      <c r="BF81" s="189">
        <v>0</v>
      </c>
      <c r="BG81" s="186">
        <f t="shared" si="86"/>
        <v>0</v>
      </c>
      <c r="BH81" s="189">
        <v>0</v>
      </c>
      <c r="BI81" s="189">
        <v>0</v>
      </c>
      <c r="BJ81" s="189">
        <v>0</v>
      </c>
      <c r="BK81" s="189">
        <v>0</v>
      </c>
      <c r="BL81" s="186">
        <f t="shared" si="87"/>
        <v>0</v>
      </c>
      <c r="BM81" s="189">
        <v>0</v>
      </c>
      <c r="BN81" s="189">
        <v>0</v>
      </c>
      <c r="BO81" s="189">
        <v>0</v>
      </c>
      <c r="BP81" s="189">
        <v>0</v>
      </c>
      <c r="BQ81" s="186">
        <f t="shared" si="88"/>
        <v>0</v>
      </c>
      <c r="BR81" s="189">
        <v>0</v>
      </c>
      <c r="BS81" s="189">
        <v>0</v>
      </c>
      <c r="BT81" s="189">
        <v>0</v>
      </c>
      <c r="BU81" s="189">
        <v>0</v>
      </c>
      <c r="BV81" s="186">
        <f t="shared" si="89"/>
        <v>0</v>
      </c>
      <c r="BW81" s="189">
        <v>0</v>
      </c>
      <c r="BX81" s="189">
        <v>0</v>
      </c>
      <c r="BY81" s="189">
        <v>0</v>
      </c>
      <c r="BZ81" s="189">
        <v>0</v>
      </c>
      <c r="CA81" s="186">
        <f t="shared" si="90"/>
        <v>0</v>
      </c>
    </row>
    <row r="82" spans="1:79" ht="12.75" customHeight="1" x14ac:dyDescent="0.35">
      <c r="A82" s="41"/>
      <c r="B82" s="76" t="s">
        <v>135</v>
      </c>
      <c r="C82" s="42"/>
      <c r="D82" s="101"/>
      <c r="E82" s="101"/>
      <c r="F82" s="101"/>
      <c r="G82" s="101"/>
      <c r="H82" s="101"/>
      <c r="I82" s="102"/>
      <c r="J82" s="273"/>
      <c r="K82" s="273"/>
      <c r="L82" s="273"/>
      <c r="M82" s="273"/>
      <c r="N82" s="102"/>
      <c r="O82" s="273"/>
      <c r="P82" s="273"/>
      <c r="Q82" s="273"/>
      <c r="R82" s="273"/>
      <c r="S82" s="102"/>
      <c r="T82" s="394"/>
      <c r="U82" s="394"/>
      <c r="V82" s="394"/>
      <c r="W82" s="394"/>
      <c r="X82" s="102"/>
      <c r="Y82" s="189">
        <v>6.2</v>
      </c>
      <c r="Z82" s="189">
        <v>6.2</v>
      </c>
      <c r="AA82" s="189">
        <v>13.8</v>
      </c>
      <c r="AB82" s="189">
        <v>17.5</v>
      </c>
      <c r="AC82" s="186">
        <f t="shared" si="80"/>
        <v>43.7</v>
      </c>
      <c r="AD82" s="189">
        <v>19.8</v>
      </c>
      <c r="AE82" s="189">
        <v>19.5</v>
      </c>
      <c r="AF82" s="189">
        <v>19.100000000000001</v>
      </c>
      <c r="AG82" s="189">
        <v>20.3</v>
      </c>
      <c r="AH82" s="186">
        <f t="shared" si="81"/>
        <v>78.7</v>
      </c>
      <c r="AI82" s="189">
        <v>20.3</v>
      </c>
      <c r="AJ82" s="189">
        <v>20.100000000000001</v>
      </c>
      <c r="AK82" s="189">
        <v>18.899999999999999</v>
      </c>
      <c r="AL82" s="189">
        <v>20</v>
      </c>
      <c r="AM82" s="186">
        <f t="shared" si="82"/>
        <v>79.300000000000011</v>
      </c>
      <c r="AN82" s="189">
        <f>22+9</f>
        <v>31</v>
      </c>
      <c r="AO82" s="189">
        <v>24</v>
      </c>
      <c r="AP82" s="189">
        <v>24</v>
      </c>
      <c r="AQ82" s="189">
        <v>26</v>
      </c>
      <c r="AR82" s="186">
        <f t="shared" si="83"/>
        <v>105</v>
      </c>
      <c r="AS82" s="189">
        <f>27+2</f>
        <v>29</v>
      </c>
      <c r="AT82" s="189">
        <v>28</v>
      </c>
      <c r="AU82" s="189">
        <v>29</v>
      </c>
      <c r="AV82" s="189">
        <v>38</v>
      </c>
      <c r="AW82" s="186">
        <f t="shared" si="84"/>
        <v>124</v>
      </c>
      <c r="AX82" s="189">
        <v>39</v>
      </c>
      <c r="AY82" s="189">
        <v>39</v>
      </c>
      <c r="AZ82" s="189">
        <f>48-11</f>
        <v>37</v>
      </c>
      <c r="BA82" s="189">
        <v>38</v>
      </c>
      <c r="BB82" s="186">
        <f t="shared" si="85"/>
        <v>153</v>
      </c>
      <c r="BC82" s="189">
        <v>39</v>
      </c>
      <c r="BD82" s="189">
        <v>38</v>
      </c>
      <c r="BE82" s="189">
        <v>37</v>
      </c>
      <c r="BF82" s="189">
        <v>36</v>
      </c>
      <c r="BG82" s="186">
        <f>SUM(BC82:BF82)</f>
        <v>150</v>
      </c>
      <c r="BH82" s="189">
        <v>37</v>
      </c>
      <c r="BI82" s="189">
        <v>36</v>
      </c>
      <c r="BJ82" s="189">
        <v>39</v>
      </c>
      <c r="BK82" s="189">
        <v>38</v>
      </c>
      <c r="BL82" s="186">
        <f t="shared" si="87"/>
        <v>150</v>
      </c>
      <c r="BM82" s="189">
        <v>40</v>
      </c>
      <c r="BN82" s="189">
        <f>55-13</f>
        <v>42</v>
      </c>
      <c r="BO82" s="221">
        <f>BJ82</f>
        <v>39</v>
      </c>
      <c r="BP82" s="221">
        <f>BK82</f>
        <v>38</v>
      </c>
      <c r="BQ82" s="186">
        <f t="shared" si="88"/>
        <v>159</v>
      </c>
      <c r="BR82" s="221">
        <f>BM82</f>
        <v>40</v>
      </c>
      <c r="BS82" s="221">
        <f>BN82</f>
        <v>42</v>
      </c>
      <c r="BT82" s="221">
        <f>BO82</f>
        <v>39</v>
      </c>
      <c r="BU82" s="221">
        <f>BP82</f>
        <v>38</v>
      </c>
      <c r="BV82" s="186">
        <f t="shared" si="89"/>
        <v>159</v>
      </c>
      <c r="BW82" s="221">
        <f>BR82</f>
        <v>40</v>
      </c>
      <c r="BX82" s="221">
        <f>BS82</f>
        <v>42</v>
      </c>
      <c r="BY82" s="221">
        <f>BT82</f>
        <v>39</v>
      </c>
      <c r="BZ82" s="221">
        <f>BU82</f>
        <v>38</v>
      </c>
      <c r="CA82" s="186">
        <f t="shared" si="90"/>
        <v>159</v>
      </c>
    </row>
    <row r="83" spans="1:79" ht="12.75" customHeight="1" x14ac:dyDescent="0.35">
      <c r="A83" s="41"/>
      <c r="B83" s="76" t="s">
        <v>136</v>
      </c>
      <c r="C83" s="42"/>
      <c r="D83" s="101"/>
      <c r="E83" s="101"/>
      <c r="F83" s="101"/>
      <c r="G83" s="101"/>
      <c r="H83" s="101"/>
      <c r="I83" s="102"/>
      <c r="J83" s="273"/>
      <c r="K83" s="273"/>
      <c r="L83" s="273"/>
      <c r="M83" s="273"/>
      <c r="N83" s="102"/>
      <c r="O83" s="273"/>
      <c r="P83" s="273"/>
      <c r="Q83" s="273"/>
      <c r="R83" s="273"/>
      <c r="S83" s="102"/>
      <c r="T83" s="394"/>
      <c r="U83" s="394"/>
      <c r="V83" s="394"/>
      <c r="W83" s="394"/>
      <c r="X83" s="102"/>
      <c r="Y83" s="189">
        <v>0</v>
      </c>
      <c r="Z83" s="189">
        <v>0</v>
      </c>
      <c r="AA83" s="189">
        <v>0</v>
      </c>
      <c r="AB83" s="189">
        <v>0</v>
      </c>
      <c r="AC83" s="186">
        <f t="shared" si="80"/>
        <v>0</v>
      </c>
      <c r="AD83" s="189">
        <v>0</v>
      </c>
      <c r="AE83" s="189">
        <v>0</v>
      </c>
      <c r="AF83" s="189">
        <v>0</v>
      </c>
      <c r="AG83" s="189">
        <v>36.799999999999997</v>
      </c>
      <c r="AH83" s="186">
        <f t="shared" si="81"/>
        <v>36.799999999999997</v>
      </c>
      <c r="AI83" s="189">
        <v>4.0999999999999996</v>
      </c>
      <c r="AJ83" s="189">
        <v>40.700000000000003</v>
      </c>
      <c r="AK83" s="189">
        <v>-0.7</v>
      </c>
      <c r="AL83" s="189">
        <v>1</v>
      </c>
      <c r="AM83" s="186">
        <f t="shared" si="82"/>
        <v>45.1</v>
      </c>
      <c r="AN83" s="189">
        <v>0</v>
      </c>
      <c r="AO83" s="189">
        <v>-1</v>
      </c>
      <c r="AP83" s="189">
        <v>18</v>
      </c>
      <c r="AQ83" s="189">
        <v>22</v>
      </c>
      <c r="AR83" s="186">
        <f t="shared" si="83"/>
        <v>39</v>
      </c>
      <c r="AS83" s="189">
        <v>0</v>
      </c>
      <c r="AT83" s="189">
        <v>0</v>
      </c>
      <c r="AU83" s="189">
        <v>0</v>
      </c>
      <c r="AV83" s="189">
        <v>-2</v>
      </c>
      <c r="AW83" s="186">
        <f t="shared" si="84"/>
        <v>-2</v>
      </c>
      <c r="AX83" s="189">
        <v>0</v>
      </c>
      <c r="AY83" s="189">
        <v>24</v>
      </c>
      <c r="AZ83" s="189">
        <v>0</v>
      </c>
      <c r="BA83" s="189">
        <v>64</v>
      </c>
      <c r="BB83" s="186">
        <f t="shared" si="85"/>
        <v>88</v>
      </c>
      <c r="BC83" s="189">
        <v>10</v>
      </c>
      <c r="BD83" s="189">
        <v>8</v>
      </c>
      <c r="BE83" s="189">
        <v>21</v>
      </c>
      <c r="BF83" s="189">
        <v>26</v>
      </c>
      <c r="BG83" s="186">
        <f t="shared" si="86"/>
        <v>65</v>
      </c>
      <c r="BH83" s="189">
        <v>4</v>
      </c>
      <c r="BI83" s="189">
        <v>1</v>
      </c>
      <c r="BJ83" s="189">
        <v>5</v>
      </c>
      <c r="BK83" s="189">
        <v>34</v>
      </c>
      <c r="BL83" s="186">
        <f t="shared" si="87"/>
        <v>44</v>
      </c>
      <c r="BM83" s="189">
        <v>25</v>
      </c>
      <c r="BN83" s="189">
        <f>27-7</f>
        <v>20</v>
      </c>
      <c r="BO83" s="568">
        <f>BO40*(1-BO59)</f>
        <v>11.48</v>
      </c>
      <c r="BP83" s="568">
        <f>BP40*(1-BP59)</f>
        <v>11.48</v>
      </c>
      <c r="BQ83" s="186">
        <f t="shared" si="88"/>
        <v>67.960000000000008</v>
      </c>
      <c r="BR83" s="568">
        <f>BR40*(1-BR59)</f>
        <v>16.170000000000002</v>
      </c>
      <c r="BS83" s="568">
        <f>BS40*(1-BS59)</f>
        <v>16.065000000000001</v>
      </c>
      <c r="BT83" s="568">
        <f>BT40*(1-BT59)</f>
        <v>15.96</v>
      </c>
      <c r="BU83" s="568">
        <f>BU40*(1-BU59)</f>
        <v>15.855</v>
      </c>
      <c r="BV83" s="186">
        <f t="shared" si="89"/>
        <v>64.05</v>
      </c>
      <c r="BW83" s="568">
        <f>BW40*(1-BW59)</f>
        <v>0</v>
      </c>
      <c r="BX83" s="568">
        <f>BX40*(1-BX59)</f>
        <v>0</v>
      </c>
      <c r="BY83" s="568">
        <f>BY40*(1-BY59)</f>
        <v>0</v>
      </c>
      <c r="BZ83" s="568">
        <f>BZ40*(1-BZ59)</f>
        <v>0</v>
      </c>
      <c r="CA83" s="186">
        <f t="shared" si="90"/>
        <v>0</v>
      </c>
    </row>
    <row r="84" spans="1:79" ht="12.75" customHeight="1" thickBot="1" x14ac:dyDescent="0.4">
      <c r="A84" s="41"/>
      <c r="B84" s="76" t="s">
        <v>37</v>
      </c>
      <c r="C84" s="42"/>
      <c r="D84" s="101"/>
      <c r="E84" s="101"/>
      <c r="F84" s="101"/>
      <c r="G84" s="101"/>
      <c r="H84" s="101"/>
      <c r="I84" s="102"/>
      <c r="J84" s="273"/>
      <c r="K84" s="273"/>
      <c r="L84" s="273"/>
      <c r="M84" s="273"/>
      <c r="N84" s="102"/>
      <c r="O84" s="273"/>
      <c r="P84" s="273"/>
      <c r="Q84" s="273"/>
      <c r="R84" s="273"/>
      <c r="S84" s="102"/>
      <c r="T84" s="394"/>
      <c r="U84" s="394"/>
      <c r="V84" s="394"/>
      <c r="W84" s="394"/>
      <c r="X84" s="102"/>
      <c r="Y84" s="189">
        <v>-59.7</v>
      </c>
      <c r="Z84" s="189">
        <v>-25.3</v>
      </c>
      <c r="AA84" s="189">
        <v>-44.4</v>
      </c>
      <c r="AB84" s="189">
        <f>247.3-1.7</f>
        <v>245.60000000000002</v>
      </c>
      <c r="AC84" s="186">
        <f t="shared" si="80"/>
        <v>116.20000000000002</v>
      </c>
      <c r="AD84" s="189">
        <v>0</v>
      </c>
      <c r="AE84" s="189">
        <v>0</v>
      </c>
      <c r="AF84" s="189">
        <f>-64.7+63.9</f>
        <v>-0.80000000000000426</v>
      </c>
      <c r="AG84" s="189">
        <v>5.7</v>
      </c>
      <c r="AH84" s="186">
        <f t="shared" si="81"/>
        <v>4.8999999999999959</v>
      </c>
      <c r="AI84" s="189">
        <v>0</v>
      </c>
      <c r="AJ84" s="189">
        <f>8.7+15</f>
        <v>23.7</v>
      </c>
      <c r="AK84" s="189">
        <f>2+11.7</f>
        <v>13.7</v>
      </c>
      <c r="AL84" s="189">
        <f>3-2</f>
        <v>1</v>
      </c>
      <c r="AM84" s="186">
        <f t="shared" si="82"/>
        <v>38.4</v>
      </c>
      <c r="AN84" s="189">
        <v>0</v>
      </c>
      <c r="AO84" s="189">
        <v>0</v>
      </c>
      <c r="AP84" s="189">
        <v>0</v>
      </c>
      <c r="AQ84" s="189">
        <v>0</v>
      </c>
      <c r="AR84" s="186">
        <f t="shared" si="83"/>
        <v>0</v>
      </c>
      <c r="AS84" s="189">
        <v>0</v>
      </c>
      <c r="AT84" s="189">
        <v>0</v>
      </c>
      <c r="AU84" s="189">
        <v>0</v>
      </c>
      <c r="AV84" s="189">
        <v>-27</v>
      </c>
      <c r="AW84" s="186">
        <f t="shared" si="84"/>
        <v>-27</v>
      </c>
      <c r="AX84" s="189">
        <v>0</v>
      </c>
      <c r="AY84" s="189">
        <v>20</v>
      </c>
      <c r="AZ84" s="189">
        <v>0</v>
      </c>
      <c r="BA84" s="189">
        <v>-53</v>
      </c>
      <c r="BB84" s="186">
        <f t="shared" si="85"/>
        <v>-33</v>
      </c>
      <c r="BC84" s="189">
        <v>0</v>
      </c>
      <c r="BD84" s="189">
        <v>0</v>
      </c>
      <c r="BE84" s="189">
        <v>0</v>
      </c>
      <c r="BF84" s="189">
        <v>0</v>
      </c>
      <c r="BG84" s="186">
        <f t="shared" si="86"/>
        <v>0</v>
      </c>
      <c r="BH84" s="189">
        <v>0</v>
      </c>
      <c r="BI84" s="189">
        <v>11</v>
      </c>
      <c r="BJ84" s="189">
        <f>12-5</f>
        <v>7</v>
      </c>
      <c r="BK84" s="189">
        <v>9</v>
      </c>
      <c r="BL84" s="186">
        <f t="shared" si="87"/>
        <v>27</v>
      </c>
      <c r="BM84" s="189">
        <v>2</v>
      </c>
      <c r="BN84" s="189">
        <f>1-1</f>
        <v>0</v>
      </c>
      <c r="BO84" s="568">
        <f>BO55</f>
        <v>0</v>
      </c>
      <c r="BP84" s="568">
        <f>BP55</f>
        <v>-14</v>
      </c>
      <c r="BQ84" s="186">
        <f t="shared" si="88"/>
        <v>-12</v>
      </c>
      <c r="BR84" s="189">
        <v>0</v>
      </c>
      <c r="BS84" s="189">
        <v>0</v>
      </c>
      <c r="BT84" s="189">
        <v>0</v>
      </c>
      <c r="BU84" s="189">
        <v>0</v>
      </c>
      <c r="BV84" s="186">
        <f t="shared" si="89"/>
        <v>0</v>
      </c>
      <c r="BW84" s="189">
        <v>0</v>
      </c>
      <c r="BX84" s="189">
        <v>0</v>
      </c>
      <c r="BY84" s="189">
        <v>0</v>
      </c>
      <c r="BZ84" s="189">
        <v>0</v>
      </c>
      <c r="CA84" s="186">
        <f t="shared" si="90"/>
        <v>0</v>
      </c>
    </row>
    <row r="85" spans="1:79" ht="12.75" customHeight="1" thickBot="1" x14ac:dyDescent="0.4">
      <c r="A85" s="41"/>
      <c r="B85" s="97" t="s">
        <v>133</v>
      </c>
      <c r="C85" s="97"/>
      <c r="D85" s="98"/>
      <c r="E85" s="98"/>
      <c r="F85" s="98"/>
      <c r="G85" s="98"/>
      <c r="H85" s="98"/>
      <c r="I85" s="99"/>
      <c r="J85" s="278"/>
      <c r="K85" s="278"/>
      <c r="L85" s="278"/>
      <c r="M85" s="278"/>
      <c r="N85" s="373"/>
      <c r="O85" s="374"/>
      <c r="P85" s="374"/>
      <c r="Q85" s="374"/>
      <c r="R85" s="374"/>
      <c r="S85" s="373"/>
      <c r="T85" s="397"/>
      <c r="U85" s="397"/>
      <c r="V85" s="397"/>
      <c r="W85" s="397"/>
      <c r="X85" s="393"/>
      <c r="Y85" s="176">
        <f>SUM(Y80:Y84)</f>
        <v>292.10000000000008</v>
      </c>
      <c r="Z85" s="176">
        <f>SUM(Z80:Z84)</f>
        <v>299.69999999999993</v>
      </c>
      <c r="AA85" s="176">
        <f>SUM(AA80:AA84)</f>
        <v>295.2000000000001</v>
      </c>
      <c r="AB85" s="176">
        <f>SUM(AB80:AB84)</f>
        <v>292.39999999999992</v>
      </c>
      <c r="AC85" s="177">
        <f t="shared" si="80"/>
        <v>1179.3999999999999</v>
      </c>
      <c r="AD85" s="176">
        <f>SUM(AD80:AD84)</f>
        <v>393.30000000000013</v>
      </c>
      <c r="AE85" s="176">
        <f>SUM(AE80:AE84)</f>
        <v>397.2999999999999</v>
      </c>
      <c r="AF85" s="176">
        <f>SUM(AF80:AF84)</f>
        <v>329.40000000000003</v>
      </c>
      <c r="AG85" s="176">
        <f>SUM(AG80:AG84)</f>
        <v>316.19999999999976</v>
      </c>
      <c r="AH85" s="177">
        <f t="shared" si="81"/>
        <v>1436.1999999999998</v>
      </c>
      <c r="AI85" s="176">
        <f>SUM(AI80:AI84)</f>
        <v>398.39999999999992</v>
      </c>
      <c r="AJ85" s="176">
        <f>SUM(AJ80:AJ84)</f>
        <v>396.20000000000022</v>
      </c>
      <c r="AK85" s="176">
        <f>SUM(AK80:AK84)</f>
        <v>411.29999999999995</v>
      </c>
      <c r="AL85" s="176">
        <f>SUM(AL80:AL84)</f>
        <v>381</v>
      </c>
      <c r="AM85" s="177">
        <f t="shared" si="82"/>
        <v>1586.9</v>
      </c>
      <c r="AN85" s="176">
        <f>SUM(AN80:AN84)</f>
        <v>518.4</v>
      </c>
      <c r="AO85" s="176">
        <f>SUM(AO80:AO84)</f>
        <v>532</v>
      </c>
      <c r="AP85" s="176">
        <f>SUM(AP80:AP84)</f>
        <v>509</v>
      </c>
      <c r="AQ85" s="176">
        <f>SUM(AQ80:AQ84)</f>
        <v>362</v>
      </c>
      <c r="AR85" s="177">
        <f t="shared" si="83"/>
        <v>1921.4</v>
      </c>
      <c r="AS85" s="176">
        <f>SUM(AS80:AS84)</f>
        <v>765</v>
      </c>
      <c r="AT85" s="176">
        <f>SUM(AT80:AT84)</f>
        <v>605</v>
      </c>
      <c r="AU85" s="176">
        <f>SUM(AU80:AU84)</f>
        <v>503</v>
      </c>
      <c r="AV85" s="176">
        <f>SUM(AV80:AV84)</f>
        <v>436</v>
      </c>
      <c r="AW85" s="177">
        <f t="shared" si="84"/>
        <v>2309</v>
      </c>
      <c r="AX85" s="176">
        <f>SUM(AX80:AX84)</f>
        <v>537</v>
      </c>
      <c r="AY85" s="176">
        <f>SUM(AY80:AY84)</f>
        <v>410</v>
      </c>
      <c r="AZ85" s="176">
        <f>SUM(AZ80:AZ84)</f>
        <v>340</v>
      </c>
      <c r="BA85" s="176">
        <f>SUM(BA80:BA84)</f>
        <v>295</v>
      </c>
      <c r="BB85" s="177">
        <f t="shared" si="85"/>
        <v>1582</v>
      </c>
      <c r="BC85" s="176">
        <f>SUM(BC80:BC84)</f>
        <v>550</v>
      </c>
      <c r="BD85" s="176">
        <f>SUM(BD80:BD84)</f>
        <v>423</v>
      </c>
      <c r="BE85" s="176">
        <f>SUM(BE80:BE84)</f>
        <v>447</v>
      </c>
      <c r="BF85" s="176">
        <f>SUM(BF80:BF84)</f>
        <v>402</v>
      </c>
      <c r="BG85" s="177">
        <f t="shared" si="86"/>
        <v>1822</v>
      </c>
      <c r="BH85" s="176">
        <f>SUM(BH80:BH84)</f>
        <v>618</v>
      </c>
      <c r="BI85" s="176">
        <f>SUM(BI80:BI84)</f>
        <v>600</v>
      </c>
      <c r="BJ85" s="176">
        <f>SUM(BJ80:BJ84)</f>
        <v>585</v>
      </c>
      <c r="BK85" s="176">
        <f>SUM(BK80:BK84)</f>
        <v>476</v>
      </c>
      <c r="BL85" s="177">
        <f t="shared" si="87"/>
        <v>2279</v>
      </c>
      <c r="BM85" s="176">
        <f>SUM(BM80:BM84)</f>
        <v>692</v>
      </c>
      <c r="BN85" s="176">
        <f>SUM(BN80:BN84)</f>
        <v>640</v>
      </c>
      <c r="BO85" s="176">
        <f ca="1">SUM(BO80:BO84)</f>
        <v>769.20867000377257</v>
      </c>
      <c r="BP85" s="176">
        <f ca="1">SUM(BP80:BP84)</f>
        <v>599.06977128957283</v>
      </c>
      <c r="BQ85" s="177">
        <f t="shared" ca="1" si="88"/>
        <v>2700.2784412933452</v>
      </c>
      <c r="BR85" s="176">
        <f ca="1">SUM(BR80:BR84)</f>
        <v>774.02534647472521</v>
      </c>
      <c r="BS85" s="176">
        <f ca="1">SUM(BS80:BS84)</f>
        <v>734.82590253877845</v>
      </c>
      <c r="BT85" s="176">
        <f ca="1">SUM(BT80:BT84)</f>
        <v>776.45641014245325</v>
      </c>
      <c r="BU85" s="176">
        <f ca="1">SUM(BU80:BU84)</f>
        <v>631.39412516797006</v>
      </c>
      <c r="BV85" s="177">
        <f t="shared" ca="1" si="89"/>
        <v>2916.7017843239264</v>
      </c>
      <c r="BW85" s="176">
        <f ca="1">SUM(BW80:BW84)</f>
        <v>843.92175592383194</v>
      </c>
      <c r="BX85" s="176">
        <f ca="1">SUM(BX80:BX84)</f>
        <v>809.79655400118634</v>
      </c>
      <c r="BY85" s="176">
        <f ca="1">SUM(BY80:BY84)</f>
        <v>851.99460412577946</v>
      </c>
      <c r="BZ85" s="176">
        <f ca="1">SUM(BZ80:BZ84)</f>
        <v>695.94131134652389</v>
      </c>
      <c r="CA85" s="177">
        <f t="shared" ca="1" si="90"/>
        <v>3201.6542253973216</v>
      </c>
    </row>
    <row r="86" spans="1:79" ht="12.75" customHeight="1" x14ac:dyDescent="0.35">
      <c r="A86" s="41"/>
      <c r="B86" s="42" t="s">
        <v>35</v>
      </c>
      <c r="C86" s="42"/>
      <c r="D86" s="101"/>
      <c r="E86" s="101"/>
      <c r="F86" s="101"/>
      <c r="G86" s="101"/>
      <c r="H86" s="101"/>
      <c r="I86" s="102"/>
      <c r="J86" s="273"/>
      <c r="K86" s="273"/>
      <c r="L86" s="273"/>
      <c r="M86" s="273"/>
      <c r="N86" s="102"/>
      <c r="O86" s="273"/>
      <c r="P86" s="273"/>
      <c r="Q86" s="273"/>
      <c r="R86" s="273"/>
      <c r="S86" s="102"/>
      <c r="T86" s="394"/>
      <c r="U86" s="394"/>
      <c r="V86" s="394"/>
      <c r="W86" s="394"/>
      <c r="X86" s="237"/>
      <c r="Y86" s="154" t="str">
        <f>IFERROR(Y85/T85-1,"NA")</f>
        <v>NA</v>
      </c>
      <c r="Z86" s="154" t="str">
        <f>IFERROR(Z85/U85-1,"NA")</f>
        <v>NA</v>
      </c>
      <c r="AA86" s="154" t="str">
        <f>IFERROR(AA85/V85-1,"NA")</f>
        <v>NA</v>
      </c>
      <c r="AB86" s="154" t="str">
        <f>IFERROR(AB85/W85-1,"NA")</f>
        <v>NA</v>
      </c>
      <c r="AC86" s="192" t="str">
        <f>IFERROR(AC85/X85-1,"NA")</f>
        <v>NA</v>
      </c>
      <c r="AD86" s="154">
        <f t="shared" ref="AD86:AI86" si="91">IFERROR(AD85/Y85-1,"NA")</f>
        <v>0.34645669291338588</v>
      </c>
      <c r="AE86" s="154">
        <f t="shared" si="91"/>
        <v>0.32565899232565898</v>
      </c>
      <c r="AF86" s="154">
        <f t="shared" si="91"/>
        <v>0.11585365853658502</v>
      </c>
      <c r="AG86" s="154">
        <f t="shared" si="91"/>
        <v>8.1395348837208781E-2</v>
      </c>
      <c r="AH86" s="192">
        <f t="shared" si="91"/>
        <v>0.21773783279633707</v>
      </c>
      <c r="AI86" s="154">
        <f t="shared" si="91"/>
        <v>1.2967200610220608E-2</v>
      </c>
      <c r="AJ86" s="154">
        <f t="shared" ref="AJ86:AT86" si="92">IFERROR(AJ85/AE85-1,"NA")</f>
        <v>-2.7686886483757611E-3</v>
      </c>
      <c r="AK86" s="154">
        <f t="shared" si="92"/>
        <v>0.24863387978142049</v>
      </c>
      <c r="AL86" s="154">
        <f t="shared" si="92"/>
        <v>0.20493358633776193</v>
      </c>
      <c r="AM86" s="192">
        <f t="shared" si="92"/>
        <v>0.10492967553265586</v>
      </c>
      <c r="AN86" s="154">
        <f t="shared" si="92"/>
        <v>0.30120481927710863</v>
      </c>
      <c r="AO86" s="154">
        <f t="shared" si="92"/>
        <v>0.34275618374558237</v>
      </c>
      <c r="AP86" s="154">
        <f t="shared" si="92"/>
        <v>0.23753950887430109</v>
      </c>
      <c r="AQ86" s="154">
        <f t="shared" si="92"/>
        <v>-4.986876640419946E-2</v>
      </c>
      <c r="AR86" s="192">
        <f t="shared" si="92"/>
        <v>0.21078832944735026</v>
      </c>
      <c r="AS86" s="154">
        <f t="shared" si="92"/>
        <v>0.47569444444444442</v>
      </c>
      <c r="AT86" s="154">
        <f t="shared" si="92"/>
        <v>0.13721804511278202</v>
      </c>
      <c r="AU86" s="154">
        <f t="shared" ref="AU86:BQ86" si="93">IFERROR(AU85/AP85-1,"NA")</f>
        <v>-1.1787819253438081E-2</v>
      </c>
      <c r="AV86" s="154">
        <f t="shared" si="93"/>
        <v>0.20441988950276246</v>
      </c>
      <c r="AW86" s="192">
        <f t="shared" si="93"/>
        <v>0.20172790673467267</v>
      </c>
      <c r="AX86" s="154">
        <f t="shared" si="93"/>
        <v>-0.29803921568627456</v>
      </c>
      <c r="AY86" s="154">
        <f t="shared" si="93"/>
        <v>-0.3223140495867769</v>
      </c>
      <c r="AZ86" s="154">
        <f t="shared" si="93"/>
        <v>-0.32405566600397617</v>
      </c>
      <c r="BA86" s="154">
        <f t="shared" si="93"/>
        <v>-0.32339449541284404</v>
      </c>
      <c r="BB86" s="192">
        <f t="shared" si="93"/>
        <v>-0.31485491554785616</v>
      </c>
      <c r="BC86" s="154">
        <f t="shared" si="93"/>
        <v>2.4208566108007368E-2</v>
      </c>
      <c r="BD86" s="154">
        <f t="shared" si="93"/>
        <v>3.170731707317076E-2</v>
      </c>
      <c r="BE86" s="154">
        <f t="shared" si="93"/>
        <v>0.31470588235294117</v>
      </c>
      <c r="BF86" s="154">
        <f t="shared" si="93"/>
        <v>0.36271186440677972</v>
      </c>
      <c r="BG86" s="192">
        <f t="shared" si="93"/>
        <v>0.1517067003792667</v>
      </c>
      <c r="BH86" s="154">
        <f t="shared" si="93"/>
        <v>0.12363636363636354</v>
      </c>
      <c r="BI86" s="154">
        <f t="shared" si="93"/>
        <v>0.41843971631205679</v>
      </c>
      <c r="BJ86" s="154">
        <f t="shared" si="93"/>
        <v>0.3087248322147651</v>
      </c>
      <c r="BK86" s="154">
        <f t="shared" si="93"/>
        <v>0.18407960199004969</v>
      </c>
      <c r="BL86" s="192">
        <f t="shared" si="93"/>
        <v>0.25082327113062575</v>
      </c>
      <c r="BM86" s="154">
        <f t="shared" si="93"/>
        <v>0.11974110032362462</v>
      </c>
      <c r="BN86" s="154">
        <f t="shared" si="93"/>
        <v>6.6666666666666652E-2</v>
      </c>
      <c r="BO86" s="154">
        <f t="shared" ca="1" si="93"/>
        <v>0.31488661539106433</v>
      </c>
      <c r="BP86" s="154">
        <f t="shared" ca="1" si="93"/>
        <v>0.25854993968397655</v>
      </c>
      <c r="BQ86" s="192">
        <f t="shared" ca="1" si="93"/>
        <v>0.18485232176101141</v>
      </c>
      <c r="BR86" s="154">
        <f t="shared" ref="BR86:CA86" ca="1" si="94">IFERROR(BR85/BM85-1,"NA")</f>
        <v>0.11853373768023867</v>
      </c>
      <c r="BS86" s="154">
        <f t="shared" ca="1" si="94"/>
        <v>0.14816547271684133</v>
      </c>
      <c r="BT86" s="154">
        <f t="shared" ca="1" si="94"/>
        <v>9.4223328744398316E-3</v>
      </c>
      <c r="BU86" s="154">
        <f t="shared" ca="1" si="94"/>
        <v>5.3957577944243384E-2</v>
      </c>
      <c r="BV86" s="192">
        <f t="shared" ca="1" si="94"/>
        <v>8.0148528285446607E-2</v>
      </c>
      <c r="BW86" s="154">
        <f t="shared" ca="1" si="94"/>
        <v>9.0302481394760159E-2</v>
      </c>
      <c r="BX86" s="154">
        <f t="shared" ca="1" si="94"/>
        <v>0.10202505274159357</v>
      </c>
      <c r="BY86" s="154">
        <f t="shared" ca="1" si="94"/>
        <v>9.7285814112175961E-2</v>
      </c>
      <c r="BZ86" s="154">
        <f t="shared" ca="1" si="94"/>
        <v>0.10222962743180775</v>
      </c>
      <c r="CA86" s="192">
        <f t="shared" ca="1" si="94"/>
        <v>9.7696803493897644E-2</v>
      </c>
    </row>
    <row r="87" spans="1:79" ht="12.75" customHeight="1" thickBot="1" x14ac:dyDescent="0.4">
      <c r="A87" s="41"/>
      <c r="B87" s="42"/>
      <c r="C87" s="42"/>
      <c r="D87" s="101"/>
      <c r="E87" s="101"/>
      <c r="F87" s="101"/>
      <c r="G87" s="101"/>
      <c r="H87" s="101"/>
      <c r="I87" s="102"/>
      <c r="J87" s="273"/>
      <c r="K87" s="273"/>
      <c r="L87" s="273"/>
      <c r="M87" s="273"/>
      <c r="N87" s="102"/>
      <c r="O87" s="273"/>
      <c r="P87" s="273"/>
      <c r="Q87" s="273"/>
      <c r="R87" s="273"/>
      <c r="S87" s="102"/>
      <c r="T87" s="394"/>
      <c r="U87" s="394"/>
      <c r="V87" s="394"/>
      <c r="W87" s="394"/>
      <c r="X87" s="102"/>
      <c r="Y87" s="394"/>
      <c r="Z87" s="394"/>
      <c r="AA87" s="394"/>
      <c r="AB87" s="394"/>
      <c r="AC87" s="108"/>
      <c r="AD87" s="394"/>
      <c r="AE87" s="394"/>
      <c r="AF87" s="394"/>
      <c r="AG87" s="394"/>
      <c r="AH87" s="108"/>
      <c r="AI87" s="394"/>
      <c r="AJ87" s="394"/>
      <c r="AK87" s="394"/>
      <c r="AL87" s="394"/>
      <c r="AM87" s="108"/>
      <c r="AN87" s="394"/>
      <c r="AO87" s="394"/>
      <c r="AP87" s="394"/>
      <c r="AQ87" s="394"/>
      <c r="AR87" s="108"/>
      <c r="AS87" s="394"/>
      <c r="AT87" s="394"/>
      <c r="AU87" s="394"/>
      <c r="AV87" s="394"/>
      <c r="AW87" s="108"/>
      <c r="AX87" s="394"/>
      <c r="AY87" s="394"/>
      <c r="AZ87" s="394"/>
      <c r="BA87" s="394"/>
      <c r="BB87" s="108"/>
      <c r="BC87" s="394"/>
      <c r="BD87" s="394"/>
      <c r="BE87" s="394"/>
      <c r="BF87" s="394"/>
      <c r="BG87" s="108"/>
      <c r="BH87" s="394"/>
      <c r="BI87" s="394"/>
      <c r="BJ87" s="394"/>
      <c r="BK87" s="394"/>
      <c r="BL87" s="108"/>
      <c r="BM87" s="394"/>
      <c r="BN87" s="394"/>
      <c r="BO87" s="394"/>
      <c r="BP87" s="394"/>
      <c r="BQ87" s="108"/>
      <c r="BR87" s="394"/>
      <c r="BS87" s="394"/>
      <c r="BT87" s="394"/>
      <c r="BU87" s="394"/>
      <c r="BV87" s="108"/>
      <c r="BW87" s="394"/>
      <c r="BX87" s="394"/>
      <c r="BY87" s="394"/>
      <c r="BZ87" s="394"/>
      <c r="CA87" s="108"/>
    </row>
    <row r="88" spans="1:79" ht="12.75" customHeight="1" thickBot="1" x14ac:dyDescent="0.4">
      <c r="A88" s="41"/>
      <c r="B88" s="97" t="s">
        <v>475</v>
      </c>
      <c r="C88" s="97"/>
      <c r="D88" s="98"/>
      <c r="E88" s="98"/>
      <c r="F88" s="98"/>
      <c r="G88" s="98"/>
      <c r="H88" s="98"/>
      <c r="I88" s="290"/>
      <c r="J88" s="398"/>
      <c r="K88" s="398"/>
      <c r="L88" s="398"/>
      <c r="M88" s="398"/>
      <c r="N88" s="290"/>
      <c r="O88" s="398"/>
      <c r="P88" s="398"/>
      <c r="Q88" s="398"/>
      <c r="R88" s="398"/>
      <c r="S88" s="290"/>
      <c r="T88" s="397"/>
      <c r="U88" s="397"/>
      <c r="V88" s="397"/>
      <c r="W88" s="397"/>
      <c r="X88" s="290"/>
      <c r="Y88" s="152">
        <f t="shared" ref="Y88:BA88" si="95">Y85/Y65</f>
        <v>1.5033453422542464</v>
      </c>
      <c r="Z88" s="152">
        <f t="shared" si="95"/>
        <v>1.5464396284829718</v>
      </c>
      <c r="AA88" s="152">
        <f t="shared" si="95"/>
        <v>1.5208655332302943</v>
      </c>
      <c r="AB88" s="152">
        <f t="shared" si="95"/>
        <v>1.5041152263374482</v>
      </c>
      <c r="AC88" s="240">
        <f t="shared" si="95"/>
        <v>6.0731204943357362</v>
      </c>
      <c r="AD88" s="152">
        <f t="shared" si="95"/>
        <v>2.0221079691516715</v>
      </c>
      <c r="AE88" s="152">
        <f t="shared" si="95"/>
        <v>2.0437242798353905</v>
      </c>
      <c r="AF88" s="152">
        <f t="shared" si="95"/>
        <v>1.6935732647814912</v>
      </c>
      <c r="AG88" s="152">
        <f t="shared" si="95"/>
        <v>1.6298969072164937</v>
      </c>
      <c r="AH88" s="240">
        <f t="shared" si="95"/>
        <v>7.3878600823045257</v>
      </c>
      <c r="AI88" s="152">
        <f t="shared" si="95"/>
        <v>2.0663900414937753</v>
      </c>
      <c r="AJ88" s="152">
        <f t="shared" si="95"/>
        <v>2.0710925248301106</v>
      </c>
      <c r="AK88" s="152">
        <f t="shared" si="95"/>
        <v>2.1522762951334378</v>
      </c>
      <c r="AL88" s="152">
        <f t="shared" si="95"/>
        <v>1.9989506820566632</v>
      </c>
      <c r="AM88" s="240">
        <f t="shared" si="95"/>
        <v>8.2888482632541134</v>
      </c>
      <c r="AN88" s="152">
        <f t="shared" si="95"/>
        <v>2.7341772151898733</v>
      </c>
      <c r="AO88" s="152">
        <f t="shared" si="95"/>
        <v>2.8148148148148149</v>
      </c>
      <c r="AP88" s="152">
        <f t="shared" si="95"/>
        <v>2.6888536714210245</v>
      </c>
      <c r="AQ88" s="152">
        <f t="shared" si="95"/>
        <v>1.9133192389006344</v>
      </c>
      <c r="AR88" s="240">
        <f t="shared" si="95"/>
        <v>10.151367058512745</v>
      </c>
      <c r="AS88" s="152">
        <f>AS85/AS65</f>
        <v>4.056203605514316</v>
      </c>
      <c r="AT88" s="152">
        <f>AT85/AT65</f>
        <v>3.2197977647684937</v>
      </c>
      <c r="AU88" s="152">
        <f t="shared" si="95"/>
        <v>2.6855312333155363</v>
      </c>
      <c r="AV88" s="152">
        <f t="shared" si="95"/>
        <v>2.3265741728922089</v>
      </c>
      <c r="AW88" s="240">
        <f>AW85/AW65-0.01</f>
        <v>12.278451303885046</v>
      </c>
      <c r="AX88" s="152">
        <f t="shared" si="95"/>
        <v>2.8855454056958627</v>
      </c>
      <c r="AY88" s="152">
        <f t="shared" si="95"/>
        <v>2.2174148188209841</v>
      </c>
      <c r="AZ88" s="152">
        <f t="shared" si="95"/>
        <v>1.8488308863512779</v>
      </c>
      <c r="BA88" s="152">
        <f t="shared" si="95"/>
        <v>1.6041326808047851</v>
      </c>
      <c r="BB88" s="240">
        <f t="shared" ref="BB88:BH88" si="96">BB85/BB65</f>
        <v>8.565240931239849</v>
      </c>
      <c r="BC88" s="152">
        <f t="shared" si="96"/>
        <v>2.9875067897881586</v>
      </c>
      <c r="BD88" s="152">
        <f t="shared" si="96"/>
        <v>2.2976643128734384</v>
      </c>
      <c r="BE88" s="152">
        <f t="shared" si="96"/>
        <v>2.4293478260869565</v>
      </c>
      <c r="BF88" s="152">
        <f t="shared" si="96"/>
        <v>2.1895424836601309</v>
      </c>
      <c r="BG88" s="240">
        <f t="shared" si="96"/>
        <v>9.9021739130434785</v>
      </c>
      <c r="BH88" s="152">
        <f t="shared" si="96"/>
        <v>3.3696837513631404</v>
      </c>
      <c r="BI88" s="152">
        <f t="shared" ref="BI88:BO88" si="97">BI85/BI65</f>
        <v>3.278688524590164</v>
      </c>
      <c r="BJ88" s="152">
        <f t="shared" si="97"/>
        <v>3.2054794520547945</v>
      </c>
      <c r="BK88" s="152">
        <f t="shared" si="97"/>
        <v>2.6197028068244359</v>
      </c>
      <c r="BL88" s="240">
        <f t="shared" si="97"/>
        <v>12.477415822611555</v>
      </c>
      <c r="BM88" s="152">
        <f t="shared" si="97"/>
        <v>3.8295517432208084</v>
      </c>
      <c r="BN88" s="152">
        <f>BN85/BN65+0.01</f>
        <v>3.5616093229744727</v>
      </c>
      <c r="BO88" s="152">
        <f t="shared" ca="1" si="97"/>
        <v>4.2840917293443201</v>
      </c>
      <c r="BP88" s="152">
        <f t="shared" ref="BP88:CA88" ca="1" si="98">BP85/BP65</f>
        <v>3.3486292414174001</v>
      </c>
      <c r="BQ88" s="240">
        <f ca="1">BQ85/BQ65</f>
        <v>15.015102196668357</v>
      </c>
      <c r="BR88" s="152">
        <f t="shared" ca="1" si="98"/>
        <v>4.341140473778605</v>
      </c>
      <c r="BS88" s="152">
        <f t="shared" ca="1" si="98"/>
        <v>4.1352048539042121</v>
      </c>
      <c r="BT88" s="152">
        <f t="shared" ca="1" si="98"/>
        <v>4.3842823836389231</v>
      </c>
      <c r="BU88" s="152">
        <f t="shared" ca="1" si="98"/>
        <v>3.5773038253142779</v>
      </c>
      <c r="BV88" s="240">
        <f t="shared" ca="1" si="98"/>
        <v>16.441385480969146</v>
      </c>
      <c r="BW88" s="152">
        <f t="shared" ca="1" si="98"/>
        <v>4.7991001189868179</v>
      </c>
      <c r="BX88" s="152">
        <f t="shared" ca="1" si="98"/>
        <v>4.620807726112333</v>
      </c>
      <c r="BY88" s="152">
        <f t="shared" ca="1" si="98"/>
        <v>4.8782971893832201</v>
      </c>
      <c r="BZ88" s="152">
        <f t="shared" ca="1" si="98"/>
        <v>3.9985137106953395</v>
      </c>
      <c r="CA88" s="240">
        <f t="shared" ca="1" si="98"/>
        <v>18.300395686752339</v>
      </c>
    </row>
    <row r="89" spans="1:79" ht="12.75" customHeight="1" x14ac:dyDescent="0.35">
      <c r="A89" s="41"/>
      <c r="B89" s="42" t="s">
        <v>35</v>
      </c>
      <c r="C89" s="42"/>
      <c r="D89" s="101"/>
      <c r="E89" s="101"/>
      <c r="F89" s="101"/>
      <c r="G89" s="101"/>
      <c r="H89" s="101"/>
      <c r="I89" s="102"/>
      <c r="J89" s="273"/>
      <c r="K89" s="273"/>
      <c r="L89" s="273"/>
      <c r="M89" s="273"/>
      <c r="N89" s="192" t="str">
        <f>IFERROR(N88/I88-1,"NA")</f>
        <v>NA</v>
      </c>
      <c r="O89" s="273"/>
      <c r="P89" s="273"/>
      <c r="Q89" s="273"/>
      <c r="R89" s="273"/>
      <c r="S89" s="192" t="str">
        <f>IFERROR(S88/N88-1,"NA")</f>
        <v>NA</v>
      </c>
      <c r="T89" s="394"/>
      <c r="U89" s="394"/>
      <c r="V89" s="394"/>
      <c r="W89" s="394"/>
      <c r="X89" s="192" t="str">
        <f t="shared" ref="X89:AC89" si="99">IFERROR(X88/S88-1,"NA")</f>
        <v>NA</v>
      </c>
      <c r="Y89" s="154" t="str">
        <f t="shared" si="99"/>
        <v>NA</v>
      </c>
      <c r="Z89" s="154" t="str">
        <f t="shared" si="99"/>
        <v>NA</v>
      </c>
      <c r="AA89" s="154" t="str">
        <f t="shared" si="99"/>
        <v>NA</v>
      </c>
      <c r="AB89" s="154" t="str">
        <f t="shared" si="99"/>
        <v>NA</v>
      </c>
      <c r="AC89" s="192" t="str">
        <f t="shared" si="99"/>
        <v>NA</v>
      </c>
      <c r="AD89" s="154">
        <f t="shared" ref="AD89:AI89" si="100">IFERROR(AD88/Y88-1,"NA")</f>
        <v>0.34507216160961884</v>
      </c>
      <c r="AE89" s="154">
        <f t="shared" si="100"/>
        <v>0.32156745222588845</v>
      </c>
      <c r="AF89" s="154">
        <f t="shared" si="100"/>
        <v>0.11355884381465886</v>
      </c>
      <c r="AG89" s="154">
        <f t="shared" si="100"/>
        <v>8.3625029968831921E-2</v>
      </c>
      <c r="AH89" s="192">
        <f>IFERROR(AH88/AC88-1,"NA")</f>
        <v>0.21648501609592929</v>
      </c>
      <c r="AI89" s="154">
        <f t="shared" si="100"/>
        <v>2.1898965345891641E-2</v>
      </c>
      <c r="AJ89" s="154">
        <f t="shared" ref="AJ89:AT89" si="101">IFERROR(AJ88/AE88-1,"NA")</f>
        <v>1.339135873892161E-2</v>
      </c>
      <c r="AK89" s="154">
        <f t="shared" si="101"/>
        <v>0.27084923923331394</v>
      </c>
      <c r="AL89" s="154">
        <f t="shared" si="101"/>
        <v>0.22642767969320965</v>
      </c>
      <c r="AM89" s="192">
        <f t="shared" si="101"/>
        <v>0.12195523073151371</v>
      </c>
      <c r="AN89" s="154">
        <f t="shared" si="101"/>
        <v>0.3231660820497182</v>
      </c>
      <c r="AO89" s="154">
        <f t="shared" si="101"/>
        <v>0.35909660291285683</v>
      </c>
      <c r="AP89" s="154">
        <f t="shared" si="101"/>
        <v>0.24930692100305829</v>
      </c>
      <c r="AQ89" s="154">
        <f t="shared" si="101"/>
        <v>-4.2838197022412317E-2</v>
      </c>
      <c r="AR89" s="192">
        <f t="shared" si="101"/>
        <v>0.22470176025727207</v>
      </c>
      <c r="AS89" s="154">
        <f t="shared" si="101"/>
        <v>0.48351891127606939</v>
      </c>
      <c r="AT89" s="154">
        <f t="shared" si="101"/>
        <v>0.14387552169407014</v>
      </c>
      <c r="AU89" s="154">
        <f t="shared" ref="AU89:BQ89" si="102">IFERROR(AU88/AP88-1,"NA")</f>
        <v>-1.2356336608426721E-3</v>
      </c>
      <c r="AV89" s="154">
        <f t="shared" si="102"/>
        <v>0.21598849036244716</v>
      </c>
      <c r="AW89" s="192">
        <f t="shared" si="102"/>
        <v>0.20953672870971274</v>
      </c>
      <c r="AX89" s="154">
        <f t="shared" si="102"/>
        <v>-0.28860932873955591</v>
      </c>
      <c r="AY89" s="154">
        <f t="shared" si="102"/>
        <v>-0.31131860420419344</v>
      </c>
      <c r="AZ89" s="154">
        <f t="shared" si="102"/>
        <v>-0.31155859838251609</v>
      </c>
      <c r="BA89" s="154">
        <f t="shared" si="102"/>
        <v>-0.31051728352564967</v>
      </c>
      <c r="BB89" s="192">
        <f t="shared" si="102"/>
        <v>-0.30241683423627652</v>
      </c>
      <c r="BC89" s="154">
        <f t="shared" si="102"/>
        <v>3.5335220818577762E-2</v>
      </c>
      <c r="BD89" s="154">
        <f t="shared" si="102"/>
        <v>3.6190564512923906E-2</v>
      </c>
      <c r="BE89" s="154">
        <f t="shared" si="102"/>
        <v>0.31399136828644503</v>
      </c>
      <c r="BF89" s="154">
        <f t="shared" si="102"/>
        <v>0.36493851777999353</v>
      </c>
      <c r="BG89" s="192">
        <f t="shared" si="102"/>
        <v>0.15608819326114443</v>
      </c>
      <c r="BH89" s="154">
        <f t="shared" si="102"/>
        <v>0.12792505204718929</v>
      </c>
      <c r="BI89" s="154">
        <f>IFERROR(BI88/BD88-1,"NA")</f>
        <v>0.42696585668333142</v>
      </c>
      <c r="BJ89" s="154">
        <f>IFERROR(BJ88/BE88-1,"NA")</f>
        <v>0.31948147467132482</v>
      </c>
      <c r="BK89" s="154">
        <f t="shared" si="102"/>
        <v>0.19646128192280199</v>
      </c>
      <c r="BL89" s="192">
        <f t="shared" si="102"/>
        <v>0.26006833773903737</v>
      </c>
      <c r="BM89" s="154">
        <f t="shared" si="102"/>
        <v>0.13647215162895843</v>
      </c>
      <c r="BN89" s="154">
        <f t="shared" si="102"/>
        <v>8.6290843507214054E-2</v>
      </c>
      <c r="BO89" s="154">
        <f t="shared" ca="1" si="102"/>
        <v>0.33649015488092049</v>
      </c>
      <c r="BP89" s="154">
        <f t="shared" ca="1" si="102"/>
        <v>0.27824775875113783</v>
      </c>
      <c r="BQ89" s="192">
        <f t="shared" ca="1" si="102"/>
        <v>0.20338236780231456</v>
      </c>
      <c r="BR89" s="154">
        <f t="shared" ref="BR89:CA89" ca="1" si="103">IFERROR(BR88/BM88-1,"NA")</f>
        <v>0.13358971620201432</v>
      </c>
      <c r="BS89" s="154">
        <f t="shared" ca="1" si="103"/>
        <v>0.16104953657598298</v>
      </c>
      <c r="BT89" s="154">
        <f t="shared" ca="1" si="103"/>
        <v>2.3386673447801432E-2</v>
      </c>
      <c r="BU89" s="154">
        <f t="shared" ca="1" si="103"/>
        <v>6.8289012431870466E-2</v>
      </c>
      <c r="BV89" s="192">
        <f t="shared" ca="1" si="103"/>
        <v>9.4989915194667152E-2</v>
      </c>
      <c r="BW89" s="154">
        <f t="shared" ca="1" si="103"/>
        <v>0.10549293393622827</v>
      </c>
      <c r="BX89" s="154">
        <f t="shared" ca="1" si="103"/>
        <v>0.1174313944204346</v>
      </c>
      <c r="BY89" s="154">
        <f t="shared" ca="1" si="103"/>
        <v>0.11267860108368932</v>
      </c>
      <c r="BZ89" s="154">
        <f t="shared" ca="1" si="103"/>
        <v>0.11774506889809855</v>
      </c>
      <c r="CA89" s="192">
        <f t="shared" ca="1" si="103"/>
        <v>0.11306895078489543</v>
      </c>
    </row>
    <row r="90" spans="1:79" ht="12.75" customHeight="1" x14ac:dyDescent="0.35">
      <c r="A90" s="41"/>
      <c r="B90" s="42" t="s">
        <v>199</v>
      </c>
      <c r="C90" s="42"/>
      <c r="D90" s="84"/>
      <c r="E90" s="84"/>
      <c r="F90" s="84"/>
      <c r="G90" s="84"/>
      <c r="H90" s="84"/>
      <c r="I90" s="399"/>
      <c r="J90" s="400"/>
      <c r="K90" s="400"/>
      <c r="L90" s="400"/>
      <c r="M90" s="400"/>
      <c r="N90" s="399"/>
      <c r="O90" s="400"/>
      <c r="P90" s="400"/>
      <c r="Q90" s="400"/>
      <c r="R90" s="400"/>
      <c r="S90" s="399"/>
      <c r="T90" s="401"/>
      <c r="U90" s="401"/>
      <c r="V90" s="401"/>
      <c r="W90" s="401"/>
      <c r="X90" s="399"/>
      <c r="Y90" s="296">
        <f t="shared" ref="Y90:BB90" si="104">((Y36*(1-Y59))+Y85)/Y65</f>
        <v>1.6315476340494708</v>
      </c>
      <c r="Z90" s="296">
        <f t="shared" si="104"/>
        <v>1.6469618788504234</v>
      </c>
      <c r="AA90" s="296">
        <f t="shared" si="104"/>
        <v>1.6333117211053698</v>
      </c>
      <c r="AB90" s="296">
        <f t="shared" si="104"/>
        <v>1.5148669743244998</v>
      </c>
      <c r="AC90" s="297">
        <f t="shared" si="104"/>
        <v>6.4300298827169922</v>
      </c>
      <c r="AD90" s="296">
        <f t="shared" si="104"/>
        <v>2.1762642936943695</v>
      </c>
      <c r="AE90" s="296">
        <f t="shared" si="104"/>
        <v>2.1786812796651338</v>
      </c>
      <c r="AF90" s="296">
        <f t="shared" si="104"/>
        <v>1.8120942189274827</v>
      </c>
      <c r="AG90" s="296">
        <f t="shared" si="104"/>
        <v>1.7526210763194325</v>
      </c>
      <c r="AH90" s="297">
        <f t="shared" si="104"/>
        <v>7.9170946280411663</v>
      </c>
      <c r="AI90" s="296">
        <f t="shared" si="104"/>
        <v>2.2345018478090979</v>
      </c>
      <c r="AJ90" s="296">
        <f t="shared" si="104"/>
        <v>2.1990689138619262</v>
      </c>
      <c r="AK90" s="296">
        <f t="shared" si="104"/>
        <v>2.2732443991637217</v>
      </c>
      <c r="AL90" s="296">
        <f t="shared" si="104"/>
        <v>2.1259169924504824</v>
      </c>
      <c r="AM90" s="297">
        <f t="shared" si="104"/>
        <v>8.8291863319600807</v>
      </c>
      <c r="AN90" s="296">
        <f t="shared" si="104"/>
        <v>2.9026823921955893</v>
      </c>
      <c r="AO90" s="296">
        <f t="shared" si="104"/>
        <v>2.9563452341230119</v>
      </c>
      <c r="AP90" s="296">
        <f t="shared" si="104"/>
        <v>2.8453568061578238</v>
      </c>
      <c r="AQ90" s="296">
        <f t="shared" si="104"/>
        <v>2.0960020667148198</v>
      </c>
      <c r="AR90" s="297">
        <f t="shared" si="104"/>
        <v>10.800082685110103</v>
      </c>
      <c r="AS90" s="296">
        <f>((AS36*(1-AS59))+AS85)/AS65</f>
        <v>4.2599272204766834</v>
      </c>
      <c r="AT90" s="296">
        <f>((AT36*(1-AT59))+AT85)/AT65</f>
        <v>3.3858954897976665</v>
      </c>
      <c r="AU90" s="296">
        <f t="shared" si="104"/>
        <v>2.8531542961927294</v>
      </c>
      <c r="AV90" s="296">
        <f t="shared" si="104"/>
        <v>2.5385321784021246</v>
      </c>
      <c r="AW90" s="297">
        <f t="shared" si="104"/>
        <v>13.036909040507895</v>
      </c>
      <c r="AX90" s="296">
        <f t="shared" si="104"/>
        <v>3.087672023357324</v>
      </c>
      <c r="AY90" s="296">
        <f>((AY36*(1-AY59))+AY85)/AY65</f>
        <v>2.3691166111387156</v>
      </c>
      <c r="AZ90" s="296">
        <f>((AZ36*(1-AZ59))+AZ85)/AZ65</f>
        <v>2.0477578964945855</v>
      </c>
      <c r="BA90" s="296">
        <f t="shared" si="104"/>
        <v>1.7636729175708776</v>
      </c>
      <c r="BB90" s="297">
        <f t="shared" si="104"/>
        <v>9.2795626814982537</v>
      </c>
      <c r="BC90" s="296">
        <f t="shared" ref="BC90:BT90" si="105">((BC36*(1-BC59))+BC85)/BC65</f>
        <v>3.2402801364613234</v>
      </c>
      <c r="BD90" s="296">
        <f t="shared" si="105"/>
        <v>2.5057740800113053</v>
      </c>
      <c r="BE90" s="296">
        <f t="shared" si="105"/>
        <v>2.6295531648959916</v>
      </c>
      <c r="BF90" s="296">
        <f t="shared" si="105"/>
        <v>2.3953038005325586</v>
      </c>
      <c r="BG90" s="297">
        <f t="shared" si="105"/>
        <v>10.773828783282777</v>
      </c>
      <c r="BH90" s="296">
        <f t="shared" ref="BH90:BO90" si="106">((BH36*(1-BH59))+BH85)/BH65</f>
        <v>3.5914188844288732</v>
      </c>
      <c r="BI90" s="296">
        <f>((BI36*(1-BI59))+BI85)/BI65</f>
        <v>3.5140488079223573</v>
      </c>
      <c r="BJ90" s="296">
        <f>((BJ36*(1-BJ59))+BJ85)/BJ65</f>
        <v>3.2346148599933748</v>
      </c>
      <c r="BK90" s="296">
        <f>((BK36*(1-BK59))+BK85)/BK65</f>
        <v>3.0503446287706062</v>
      </c>
      <c r="BL90" s="297">
        <f t="shared" si="106"/>
        <v>13.396290887308389</v>
      </c>
      <c r="BM90" s="296">
        <f t="shared" si="106"/>
        <v>4.0704611970584272</v>
      </c>
      <c r="BN90" s="296">
        <f t="shared" si="106"/>
        <v>3.8054938956714763</v>
      </c>
      <c r="BO90" s="296">
        <f t="shared" ca="1" si="106"/>
        <v>4.3206275132485246</v>
      </c>
      <c r="BP90" s="296">
        <f ca="1">((BP36*(1-BP59))+BP85)/BP65</f>
        <v>3.5778075533234932</v>
      </c>
      <c r="BQ90" s="297">
        <f t="shared" ca="1" si="105"/>
        <v>15.785693530962236</v>
      </c>
      <c r="BR90" s="296">
        <f t="shared" ca="1" si="105"/>
        <v>4.5872986341824191</v>
      </c>
      <c r="BS90" s="296">
        <f t="shared" ca="1" si="105"/>
        <v>4.4021153772581796</v>
      </c>
      <c r="BT90" s="296">
        <f t="shared" ca="1" si="105"/>
        <v>4.4229046309568227</v>
      </c>
      <c r="BU90" s="296">
        <f t="shared" ref="BU90:CA90" ca="1" si="107">((BU36*(1-BU59))+BU85)/BU65</f>
        <v>3.7954624655409068</v>
      </c>
      <c r="BV90" s="297">
        <f t="shared" ca="1" si="107"/>
        <v>17.211074456793398</v>
      </c>
      <c r="BW90" s="296">
        <f t="shared" ca="1" si="107"/>
        <v>5.0514174348810466</v>
      </c>
      <c r="BX90" s="296">
        <f t="shared" ca="1" si="107"/>
        <v>4.8958148587799508</v>
      </c>
      <c r="BY90" s="296">
        <f t="shared" ca="1" si="107"/>
        <v>4.92181279201706</v>
      </c>
      <c r="BZ90" s="296">
        <f t="shared" ca="1" si="107"/>
        <v>4.2240810763948513</v>
      </c>
      <c r="CA90" s="297">
        <f t="shared" ca="1" si="107"/>
        <v>19.096913899131607</v>
      </c>
    </row>
    <row r="91" spans="1:79" ht="12.75" customHeight="1" x14ac:dyDescent="0.35">
      <c r="A91" s="41"/>
      <c r="B91" s="42"/>
      <c r="C91" s="42"/>
      <c r="D91" s="101"/>
      <c r="E91" s="101"/>
      <c r="F91" s="101"/>
      <c r="G91" s="101"/>
      <c r="H91" s="101"/>
      <c r="I91" s="102"/>
      <c r="J91" s="273"/>
      <c r="K91" s="273"/>
      <c r="L91" s="273"/>
      <c r="M91" s="273"/>
      <c r="N91" s="102"/>
      <c r="O91" s="273"/>
      <c r="P91" s="273"/>
      <c r="Q91" s="273"/>
      <c r="R91" s="273"/>
      <c r="S91" s="102"/>
      <c r="T91" s="394"/>
      <c r="U91" s="394"/>
      <c r="V91" s="394"/>
      <c r="W91" s="394"/>
      <c r="X91" s="102"/>
      <c r="Y91" s="394"/>
      <c r="Z91" s="394"/>
      <c r="AA91" s="394"/>
      <c r="AB91" s="394"/>
      <c r="AC91" s="108"/>
      <c r="AD91" s="394"/>
      <c r="AE91" s="440"/>
      <c r="AF91" s="440"/>
      <c r="AG91" s="440"/>
      <c r="AH91" s="441"/>
      <c r="AI91" s="440"/>
      <c r="AJ91" s="440"/>
      <c r="AK91" s="440"/>
      <c r="AL91" s="661"/>
      <c r="AM91" s="441"/>
      <c r="AN91" s="440"/>
      <c r="AO91" s="440"/>
      <c r="AP91" s="440"/>
      <c r="AQ91" s="661"/>
      <c r="AR91" s="441"/>
      <c r="AS91" s="440"/>
      <c r="AT91" s="440"/>
      <c r="AU91" s="440"/>
      <c r="AV91" s="661"/>
      <c r="AW91" s="441"/>
      <c r="AX91" s="440"/>
      <c r="AY91" s="440"/>
      <c r="AZ91" s="440"/>
      <c r="BA91" s="661"/>
      <c r="BB91" s="441"/>
      <c r="BC91" s="440"/>
      <c r="BD91" s="440"/>
      <c r="BE91" s="440"/>
      <c r="BF91" s="661"/>
      <c r="BG91" s="441"/>
      <c r="BH91" s="440"/>
      <c r="BI91" s="440"/>
      <c r="BJ91" s="440"/>
      <c r="BK91" s="661"/>
      <c r="BL91" s="441"/>
      <c r="BM91" s="662"/>
      <c r="BN91" s="440"/>
      <c r="BO91" s="440"/>
      <c r="BP91" s="661"/>
      <c r="BQ91" s="441"/>
      <c r="BR91" s="440"/>
      <c r="BS91" s="440"/>
      <c r="BT91" s="440"/>
      <c r="BU91" s="440"/>
      <c r="BV91" s="441"/>
      <c r="BW91" s="440"/>
      <c r="BX91" s="440"/>
      <c r="BY91" s="440"/>
      <c r="BZ91" s="440"/>
      <c r="CA91" s="441"/>
    </row>
    <row r="92" spans="1:79" ht="12.75" customHeight="1" x14ac:dyDescent="0.35">
      <c r="B92" s="91" t="s">
        <v>36</v>
      </c>
      <c r="C92" s="120"/>
      <c r="D92" s="120"/>
      <c r="E92" s="120"/>
      <c r="F92" s="120"/>
      <c r="G92" s="120"/>
      <c r="H92" s="120"/>
      <c r="I92" s="232"/>
      <c r="J92" s="123"/>
      <c r="K92" s="123"/>
      <c r="L92" s="123"/>
      <c r="M92" s="123"/>
      <c r="N92" s="233"/>
      <c r="O92" s="121"/>
      <c r="P92" s="121"/>
      <c r="Q92" s="121"/>
      <c r="R92" s="121"/>
      <c r="S92" s="233"/>
      <c r="T92" s="121"/>
      <c r="U92" s="121"/>
      <c r="V92" s="121"/>
      <c r="W92" s="121"/>
      <c r="X92" s="233"/>
      <c r="Y92" s="121"/>
      <c r="Z92" s="234"/>
      <c r="AA92" s="28"/>
      <c r="AB92" s="402"/>
      <c r="AC92" s="235"/>
      <c r="AD92" s="121"/>
      <c r="AE92" s="121"/>
      <c r="AF92" s="121"/>
      <c r="AG92" s="121"/>
      <c r="AH92" s="236"/>
      <c r="AI92" s="121"/>
      <c r="AJ92" s="442"/>
      <c r="AK92" s="121"/>
      <c r="AL92" s="447"/>
      <c r="AM92" s="233"/>
      <c r="AN92" s="121"/>
      <c r="AO92" s="123"/>
      <c r="AP92" s="123"/>
      <c r="AQ92" s="123"/>
      <c r="AR92" s="452"/>
      <c r="AS92" s="121"/>
      <c r="AT92" s="123"/>
      <c r="AU92" s="123"/>
      <c r="AV92" s="123"/>
      <c r="AW92" s="232"/>
      <c r="AX92" s="121"/>
      <c r="AY92" s="123"/>
      <c r="AZ92" s="123"/>
      <c r="BA92" s="123"/>
      <c r="BB92" s="232"/>
      <c r="BC92" s="121"/>
      <c r="BD92" s="123"/>
      <c r="BE92" s="123"/>
      <c r="BF92" s="123"/>
      <c r="BG92" s="232"/>
      <c r="BH92" s="121"/>
      <c r="BI92" s="123"/>
      <c r="BJ92" s="123"/>
      <c r="BK92" s="123"/>
      <c r="BL92" s="232"/>
      <c r="BM92" s="123"/>
      <c r="BN92" s="123"/>
      <c r="BO92" s="123"/>
      <c r="BP92" s="123"/>
      <c r="BQ92" s="232"/>
      <c r="BR92" s="121"/>
      <c r="BS92" s="123"/>
      <c r="BT92" s="123"/>
      <c r="BU92" s="123"/>
      <c r="BV92" s="232"/>
      <c r="BW92" s="121"/>
      <c r="BX92" s="123"/>
      <c r="BY92" s="123"/>
      <c r="BZ92" s="123"/>
      <c r="CA92" s="232"/>
    </row>
    <row r="93" spans="1:79" ht="12.75" customHeight="1" x14ac:dyDescent="0.35">
      <c r="A93" s="24"/>
      <c r="B93" s="95" t="s">
        <v>38</v>
      </c>
      <c r="C93" s="101"/>
      <c r="D93" s="101"/>
      <c r="E93" s="101"/>
      <c r="F93" s="101"/>
      <c r="G93" s="101"/>
      <c r="H93" s="101"/>
      <c r="I93" s="110"/>
      <c r="J93" s="112"/>
      <c r="K93" s="112"/>
      <c r="L93" s="112"/>
      <c r="M93" s="112"/>
      <c r="N93" s="111"/>
      <c r="O93" s="100"/>
      <c r="P93" s="100"/>
      <c r="Q93" s="100"/>
      <c r="R93" s="100"/>
      <c r="S93" s="111"/>
      <c r="T93" s="100"/>
      <c r="U93" s="100"/>
      <c r="V93" s="100"/>
      <c r="W93" s="100"/>
      <c r="X93" s="111"/>
      <c r="Y93" s="222">
        <v>-512.4</v>
      </c>
      <c r="Z93" s="222">
        <v>-40.6</v>
      </c>
      <c r="AA93" s="222">
        <v>349.8</v>
      </c>
      <c r="AB93" s="222">
        <v>754.6</v>
      </c>
      <c r="AC93" s="227">
        <v>754.6</v>
      </c>
      <c r="AD93" s="222">
        <v>391.5</v>
      </c>
      <c r="AE93" s="222">
        <v>777.3</v>
      </c>
      <c r="AF93" s="222">
        <v>1084.5999999999999</v>
      </c>
      <c r="AG93" s="222">
        <v>1461.1</v>
      </c>
      <c r="AH93" s="227">
        <v>1461.1</v>
      </c>
      <c r="AI93" s="222">
        <v>367.1</v>
      </c>
      <c r="AJ93" s="335">
        <f>'BS &amp; CFS'!W57</f>
        <v>747.79999999999654</v>
      </c>
      <c r="AK93" s="335">
        <f>'BS &amp; CFS'!X57</f>
        <v>83.700000000000244</v>
      </c>
      <c r="AL93" s="448">
        <f>'BS &amp; CFS'!Y57</f>
        <v>476.70000000000391</v>
      </c>
      <c r="AM93" s="337">
        <f>'BS &amp; CFS'!Z57</f>
        <v>1675.3000000000006</v>
      </c>
      <c r="AN93" s="335">
        <f>'BS &amp; CFS'!AA57</f>
        <v>345.4</v>
      </c>
      <c r="AO93" s="335">
        <f>'BS &amp; CFS'!AB57</f>
        <v>632</v>
      </c>
      <c r="AP93" s="335">
        <f>'BS &amp; CFS'!AC57</f>
        <v>511</v>
      </c>
      <c r="AQ93" s="335">
        <f>'BS &amp; CFS'!AD57</f>
        <v>658</v>
      </c>
      <c r="AR93" s="337">
        <f>'BS &amp; CFS'!AE57</f>
        <v>2146</v>
      </c>
      <c r="AS93" s="335">
        <f>'BS &amp; CFS'!AF57</f>
        <v>676</v>
      </c>
      <c r="AT93" s="335">
        <f>'BS &amp; CFS'!AG57</f>
        <v>594</v>
      </c>
      <c r="AU93" s="335">
        <f>'BS &amp; CFS'!AH57</f>
        <v>436</v>
      </c>
      <c r="AV93" s="335">
        <f>'BS &amp; CFS'!AI57</f>
        <v>299</v>
      </c>
      <c r="AW93" s="337">
        <f>'BS &amp; CFS'!AJ57</f>
        <v>2005</v>
      </c>
      <c r="AX93" s="335">
        <f>'BS &amp; CFS'!AK57</f>
        <v>470</v>
      </c>
      <c r="AY93" s="335">
        <f>'BS &amp; CFS'!AL57</f>
        <v>291</v>
      </c>
      <c r="AZ93" s="335">
        <f>'BS &amp; CFS'!AM57</f>
        <v>336</v>
      </c>
      <c r="BA93" s="335">
        <f>'BS &amp; CFS'!AN57</f>
        <v>377</v>
      </c>
      <c r="BB93" s="337">
        <f>'BS &amp; CFS'!AO57</f>
        <v>1474</v>
      </c>
      <c r="BC93" s="335">
        <f>'BS &amp; CFS'!AP57</f>
        <v>608</v>
      </c>
      <c r="BD93" s="335">
        <f>'BS &amp; CFS'!AQ57</f>
        <v>604</v>
      </c>
      <c r="BE93" s="335">
        <f>'BS &amp; CFS'!AR57</f>
        <v>462</v>
      </c>
      <c r="BF93" s="335">
        <f>'BS &amp; CFS'!AS57</f>
        <v>477</v>
      </c>
      <c r="BG93" s="337">
        <f>'BS &amp; CFS'!AT57</f>
        <v>2151</v>
      </c>
      <c r="BH93" s="335">
        <f>'BS &amp; CFS'!AU57</f>
        <v>775</v>
      </c>
      <c r="BI93" s="335">
        <f>'BS &amp; CFS'!AV57</f>
        <v>686</v>
      </c>
      <c r="BJ93" s="335">
        <f>'BS &amp; CFS'!AW57</f>
        <v>703</v>
      </c>
      <c r="BK93" s="335">
        <f>'BS &amp; CFS'!AX57</f>
        <v>674</v>
      </c>
      <c r="BL93" s="337">
        <f>'BS &amp; CFS'!AY57</f>
        <v>2838</v>
      </c>
      <c r="BM93" s="335">
        <f>'BS &amp; CFS'!AZ57</f>
        <v>757</v>
      </c>
      <c r="BN93" s="335">
        <f>'BS &amp; CFS'!BA57</f>
        <v>543</v>
      </c>
      <c r="BO93" s="335">
        <f ca="1">'BS &amp; CFS'!BB57</f>
        <v>709.98859780160672</v>
      </c>
      <c r="BP93" s="335">
        <f ca="1">'BS &amp; CFS'!BC57</f>
        <v>813.15961614574212</v>
      </c>
      <c r="BQ93" s="337">
        <f ca="1">'BS &amp; CFS'!BD57</f>
        <v>2823.1482139473487</v>
      </c>
      <c r="BR93" s="335">
        <f ca="1">'BS &amp; CFS'!BE57</f>
        <v>1143.5390881446542</v>
      </c>
      <c r="BS93" s="335">
        <f ca="1">'BS &amp; CFS'!BF57</f>
        <v>644.65116815881061</v>
      </c>
      <c r="BT93" s="335">
        <f ca="1">'BS &amp; CFS'!BG57</f>
        <v>722.53358029030858</v>
      </c>
      <c r="BU93" s="335">
        <f ca="1">'BS &amp; CFS'!BH57</f>
        <v>922.9386450055357</v>
      </c>
      <c r="BV93" s="337">
        <f ca="1">'BS &amp; CFS'!BI57</f>
        <v>3433.6624815993091</v>
      </c>
      <c r="BW93" s="335">
        <f ca="1">'BS &amp; CFS'!BJ57</f>
        <v>1247.1057881973163</v>
      </c>
      <c r="BX93" s="335">
        <f ca="1">'BS &amp; CFS'!BK57</f>
        <v>729.00454302072148</v>
      </c>
      <c r="BY93" s="335">
        <f ca="1">'BS &amp; CFS'!BL57</f>
        <v>814.42138206094296</v>
      </c>
      <c r="BZ93" s="335">
        <f ca="1">'BS &amp; CFS'!BM57</f>
        <v>1020.764717543341</v>
      </c>
      <c r="CA93" s="337">
        <f ca="1">'BS &amp; CFS'!BN57</f>
        <v>3811.2964308223218</v>
      </c>
    </row>
    <row r="94" spans="1:79" ht="12.75" customHeight="1" x14ac:dyDescent="0.35">
      <c r="B94" s="42" t="s">
        <v>35</v>
      </c>
      <c r="C94" s="84"/>
      <c r="D94" s="84"/>
      <c r="E94" s="84"/>
      <c r="F94" s="84"/>
      <c r="G94" s="84"/>
      <c r="H94" s="84"/>
      <c r="I94" s="85"/>
      <c r="J94" s="88"/>
      <c r="K94" s="88"/>
      <c r="L94" s="88"/>
      <c r="M94" s="88"/>
      <c r="N94" s="86"/>
      <c r="O94" s="87"/>
      <c r="P94" s="87"/>
      <c r="Q94" s="87"/>
      <c r="R94" s="87"/>
      <c r="S94" s="86"/>
      <c r="T94" s="87"/>
      <c r="U94" s="87"/>
      <c r="V94" s="87"/>
      <c r="W94" s="87"/>
      <c r="X94" s="86"/>
      <c r="Y94" s="411" t="str">
        <f t="shared" ref="Y94:AH94" si="108">IFERROR(Y93/T93-1,"NA")</f>
        <v>NA</v>
      </c>
      <c r="Z94" s="411" t="str">
        <f t="shared" si="108"/>
        <v>NA</v>
      </c>
      <c r="AA94" s="411" t="str">
        <f t="shared" si="108"/>
        <v>NA</v>
      </c>
      <c r="AB94" s="411" t="str">
        <f t="shared" si="108"/>
        <v>NA</v>
      </c>
      <c r="AC94" s="192" t="str">
        <f t="shared" si="108"/>
        <v>NA</v>
      </c>
      <c r="AD94" s="166" t="s">
        <v>264</v>
      </c>
      <c r="AE94" s="166" t="s">
        <v>264</v>
      </c>
      <c r="AF94" s="166" t="s">
        <v>264</v>
      </c>
      <c r="AG94" s="166" t="s">
        <v>264</v>
      </c>
      <c r="AH94" s="103">
        <f t="shared" si="108"/>
        <v>0.93625761993108925</v>
      </c>
      <c r="AI94" s="412">
        <f t="shared" ref="AI94:BQ94" si="109">IFERROR(AI93/AD93-1,"NA")</f>
        <v>-6.2324393358876073E-2</v>
      </c>
      <c r="AJ94" s="412">
        <f t="shared" si="109"/>
        <v>-3.7951884729195196E-2</v>
      </c>
      <c r="AK94" s="412">
        <f t="shared" si="109"/>
        <v>-0.92282869260556866</v>
      </c>
      <c r="AL94" s="412">
        <f t="shared" si="109"/>
        <v>-0.67373896379439879</v>
      </c>
      <c r="AM94" s="413">
        <f t="shared" si="109"/>
        <v>0.14660187529943247</v>
      </c>
      <c r="AN94" s="412">
        <f t="shared" si="109"/>
        <v>-5.9111958594388558E-2</v>
      </c>
      <c r="AO94" s="412">
        <f t="shared" si="109"/>
        <v>-0.15485423910136009</v>
      </c>
      <c r="AP94" s="412">
        <f t="shared" si="109"/>
        <v>5.1051373954599581</v>
      </c>
      <c r="AQ94" s="412">
        <f t="shared" si="109"/>
        <v>0.38032305433185365</v>
      </c>
      <c r="AR94" s="413">
        <f t="shared" si="109"/>
        <v>0.28096460335462248</v>
      </c>
      <c r="AS94" s="412">
        <f t="shared" si="109"/>
        <v>0.95715112912565159</v>
      </c>
      <c r="AT94" s="412">
        <f t="shared" si="109"/>
        <v>-6.0126582278481E-2</v>
      </c>
      <c r="AU94" s="412">
        <f t="shared" si="109"/>
        <v>-0.14677103718199613</v>
      </c>
      <c r="AV94" s="412">
        <f t="shared" si="109"/>
        <v>-0.54559270516717318</v>
      </c>
      <c r="AW94" s="413">
        <f t="shared" si="109"/>
        <v>-6.5703634669151856E-2</v>
      </c>
      <c r="AX94" s="412">
        <f t="shared" si="109"/>
        <v>-0.30473372781065089</v>
      </c>
      <c r="AY94" s="412">
        <f t="shared" si="109"/>
        <v>-0.51010101010101017</v>
      </c>
      <c r="AZ94" s="412">
        <f t="shared" si="109"/>
        <v>-0.22935779816513757</v>
      </c>
      <c r="BA94" s="412">
        <f t="shared" si="109"/>
        <v>0.26086956521739135</v>
      </c>
      <c r="BB94" s="413">
        <f t="shared" si="109"/>
        <v>-0.26483790523690776</v>
      </c>
      <c r="BC94" s="412">
        <f t="shared" si="109"/>
        <v>0.29361702127659584</v>
      </c>
      <c r="BD94" s="412">
        <f t="shared" si="109"/>
        <v>1.0756013745704469</v>
      </c>
      <c r="BE94" s="412">
        <f t="shared" si="109"/>
        <v>0.375</v>
      </c>
      <c r="BF94" s="412">
        <f t="shared" si="109"/>
        <v>0.26525198938992034</v>
      </c>
      <c r="BG94" s="413">
        <f t="shared" si="109"/>
        <v>0.45929443690637717</v>
      </c>
      <c r="BH94" s="412">
        <f t="shared" si="109"/>
        <v>0.27467105263157898</v>
      </c>
      <c r="BI94" s="412">
        <f t="shared" si="109"/>
        <v>0.13576158940397343</v>
      </c>
      <c r="BJ94" s="412">
        <f t="shared" si="109"/>
        <v>0.52164502164502169</v>
      </c>
      <c r="BK94" s="412">
        <f t="shared" si="109"/>
        <v>0.41299790356394128</v>
      </c>
      <c r="BL94" s="413">
        <f t="shared" si="109"/>
        <v>0.31938633193863319</v>
      </c>
      <c r="BM94" s="412">
        <f t="shared" si="109"/>
        <v>-2.3225806451612874E-2</v>
      </c>
      <c r="BN94" s="412">
        <f t="shared" si="109"/>
        <v>-0.20845481049562686</v>
      </c>
      <c r="BO94" s="412">
        <f t="shared" ca="1" si="109"/>
        <v>9.9411064034233831E-3</v>
      </c>
      <c r="BP94" s="412">
        <f t="shared" ca="1" si="109"/>
        <v>0.20646827321326722</v>
      </c>
      <c r="BQ94" s="413">
        <f t="shared" ca="1" si="109"/>
        <v>-5.2331874745071838E-3</v>
      </c>
      <c r="BR94" s="412">
        <f t="shared" ref="BR94:CA94" ca="1" si="110">IFERROR(BR93/BM93-1,"NA")</f>
        <v>0.51061966729809005</v>
      </c>
      <c r="BS94" s="412">
        <f t="shared" ca="1" si="110"/>
        <v>0.18720288795361073</v>
      </c>
      <c r="BT94" s="412">
        <f t="shared" ca="1" si="110"/>
        <v>1.7669273179239608E-2</v>
      </c>
      <c r="BU94" s="412">
        <f t="shared" ca="1" si="110"/>
        <v>0.13500305066812124</v>
      </c>
      <c r="BV94" s="413">
        <f t="shared" ca="1" si="110"/>
        <v>0.21625299891653027</v>
      </c>
      <c r="BW94" s="412">
        <f t="shared" ca="1" si="110"/>
        <v>9.0566821131313313E-2</v>
      </c>
      <c r="BX94" s="412">
        <f t="shared" ca="1" si="110"/>
        <v>0.1308511936817438</v>
      </c>
      <c r="BY94" s="412">
        <f t="shared" ca="1" si="110"/>
        <v>0.12717443766933934</v>
      </c>
      <c r="BZ94" s="412">
        <f t="shared" ca="1" si="110"/>
        <v>0.10599412330081659</v>
      </c>
      <c r="CA94" s="413">
        <f t="shared" ca="1" si="110"/>
        <v>0.1099799270448738</v>
      </c>
    </row>
    <row r="95" spans="1:79" ht="12.75" customHeight="1" x14ac:dyDescent="0.35">
      <c r="B95" s="76" t="s">
        <v>39</v>
      </c>
      <c r="C95" s="84"/>
      <c r="D95" s="84"/>
      <c r="E95" s="84"/>
      <c r="F95" s="84"/>
      <c r="G95" s="84"/>
      <c r="H95" s="84"/>
      <c r="I95" s="85"/>
      <c r="J95" s="88"/>
      <c r="K95" s="88"/>
      <c r="L95" s="88"/>
      <c r="M95" s="88"/>
      <c r="N95" s="86"/>
      <c r="O95" s="87"/>
      <c r="P95" s="87"/>
      <c r="Q95" s="87"/>
      <c r="R95" s="87"/>
      <c r="S95" s="86"/>
      <c r="T95" s="87"/>
      <c r="U95" s="87"/>
      <c r="V95" s="87"/>
      <c r="W95" s="87"/>
      <c r="X95" s="403"/>
      <c r="Y95" s="180">
        <v>-18.7</v>
      </c>
      <c r="Z95" s="180">
        <v>-42.8</v>
      </c>
      <c r="AA95" s="180">
        <v>-69.400000000000006</v>
      </c>
      <c r="AB95" s="180">
        <v>-90.6</v>
      </c>
      <c r="AC95" s="228">
        <v>-90.6</v>
      </c>
      <c r="AD95" s="180">
        <v>-15</v>
      </c>
      <c r="AE95" s="180">
        <v>-37.9</v>
      </c>
      <c r="AF95" s="180">
        <v>-62.9</v>
      </c>
      <c r="AG95" s="180">
        <v>-90.4</v>
      </c>
      <c r="AH95" s="228">
        <v>-90.4</v>
      </c>
      <c r="AI95" s="180">
        <v>-20</v>
      </c>
      <c r="AJ95" s="336">
        <f>'BS &amp; CFS'!W60</f>
        <v>-38.700000000000003</v>
      </c>
      <c r="AK95" s="336">
        <f>'BS &amp; CFS'!X60</f>
        <v>-10</v>
      </c>
      <c r="AL95" s="336">
        <f>'BS &amp; CFS'!Y60</f>
        <v>0</v>
      </c>
      <c r="AM95" s="338">
        <f>'BS &amp; CFS'!Z60</f>
        <v>-68.7</v>
      </c>
      <c r="AN95" s="336">
        <f>'BS &amp; CFS'!AA60</f>
        <v>-21</v>
      </c>
      <c r="AO95" s="336">
        <f>'BS &amp; CFS'!AB60</f>
        <v>-41</v>
      </c>
      <c r="AP95" s="336">
        <f>'BS &amp; CFS'!AC60</f>
        <v>-21</v>
      </c>
      <c r="AQ95" s="336">
        <f>'BS &amp; CFS'!AD60</f>
        <v>-20</v>
      </c>
      <c r="AR95" s="338">
        <f>'BS &amp; CFS'!AE60</f>
        <v>-103</v>
      </c>
      <c r="AS95" s="336">
        <f>'BS &amp; CFS'!AF60</f>
        <v>-14</v>
      </c>
      <c r="AT95" s="336">
        <f>'BS &amp; CFS'!AG60</f>
        <v>-30</v>
      </c>
      <c r="AU95" s="336">
        <f>'BS &amp; CFS'!AH60</f>
        <v>-33</v>
      </c>
      <c r="AV95" s="336">
        <f>'BS &amp; CFS'!AI60</f>
        <v>-62</v>
      </c>
      <c r="AW95" s="338">
        <f>'BS &amp; CFS'!AJ60</f>
        <v>-139</v>
      </c>
      <c r="AX95" s="336">
        <f>'BS &amp; CFS'!AK60</f>
        <v>-59</v>
      </c>
      <c r="AY95" s="336">
        <f>'BS &amp; CFS'!AL60</f>
        <v>-74</v>
      </c>
      <c r="AZ95" s="336">
        <f>'BS &amp; CFS'!AM60</f>
        <v>-71</v>
      </c>
      <c r="BA95" s="336">
        <f>'BS &amp; CFS'!AN60</f>
        <v>-79</v>
      </c>
      <c r="BB95" s="338">
        <f>'BS &amp; CFS'!AO60</f>
        <v>-283</v>
      </c>
      <c r="BC95" s="336">
        <f>'BS &amp; CFS'!AP60</f>
        <v>-73</v>
      </c>
      <c r="BD95" s="336">
        <f>'BS &amp; CFS'!AQ60</f>
        <v>-54</v>
      </c>
      <c r="BE95" s="336">
        <f>'BS &amp; CFS'!AR60</f>
        <v>-71</v>
      </c>
      <c r="BF95" s="336">
        <f>'BS &amp; CFS'!AS60</f>
        <v>-73</v>
      </c>
      <c r="BG95" s="338">
        <f>'BS &amp; CFS'!AT60</f>
        <v>-271</v>
      </c>
      <c r="BH95" s="336">
        <f>'BS &amp; CFS'!AU60</f>
        <v>-78</v>
      </c>
      <c r="BI95" s="336">
        <f>'BS &amp; CFS'!AV60</f>
        <v>-93</v>
      </c>
      <c r="BJ95" s="336">
        <f>'BS &amp; CFS'!AW60</f>
        <v>-72</v>
      </c>
      <c r="BK95" s="336">
        <f>'BS &amp; CFS'!AX60</f>
        <v>-74</v>
      </c>
      <c r="BL95" s="338">
        <f>'BS &amp; CFS'!AY60</f>
        <v>-317</v>
      </c>
      <c r="BM95" s="336">
        <f>'BS &amp; CFS'!AZ60</f>
        <v>-85</v>
      </c>
      <c r="BN95" s="336">
        <f>'BS &amp; CFS'!BA60</f>
        <v>-75</v>
      </c>
      <c r="BO95" s="336">
        <f>'BS &amp; CFS'!BB60</f>
        <v>-85</v>
      </c>
      <c r="BP95" s="336">
        <f>'BS &amp; CFS'!BC60</f>
        <v>-94</v>
      </c>
      <c r="BQ95" s="338">
        <f>'BS &amp; CFS'!BD60</f>
        <v>-339</v>
      </c>
      <c r="BR95" s="336">
        <f>'BS &amp; CFS'!BE60</f>
        <v>-87.5</v>
      </c>
      <c r="BS95" s="336">
        <f>'BS &amp; CFS'!BF60</f>
        <v>-77.5</v>
      </c>
      <c r="BT95" s="336">
        <f>'BS &amp; CFS'!BG60</f>
        <v>-87.5</v>
      </c>
      <c r="BU95" s="336">
        <f>'BS &amp; CFS'!BH60</f>
        <v>-96.5</v>
      </c>
      <c r="BV95" s="338">
        <f>'BS &amp; CFS'!BI60</f>
        <v>-349</v>
      </c>
      <c r="BW95" s="336">
        <f>'BS &amp; CFS'!BJ60</f>
        <v>-90</v>
      </c>
      <c r="BX95" s="336">
        <f>'BS &amp; CFS'!BK60</f>
        <v>-80</v>
      </c>
      <c r="BY95" s="336">
        <f>'BS &amp; CFS'!BL60</f>
        <v>-90</v>
      </c>
      <c r="BZ95" s="336">
        <f>'BS &amp; CFS'!BM60</f>
        <v>-99</v>
      </c>
      <c r="CA95" s="338">
        <f>'BS &amp; CFS'!BN60</f>
        <v>-359</v>
      </c>
    </row>
    <row r="96" spans="1:79" ht="12.75" customHeight="1" thickBot="1" x14ac:dyDescent="0.4">
      <c r="B96" s="77" t="s">
        <v>30</v>
      </c>
      <c r="C96" s="84"/>
      <c r="D96" s="84"/>
      <c r="E96" s="84"/>
      <c r="F96" s="84"/>
      <c r="G96" s="84"/>
      <c r="H96" s="84"/>
      <c r="I96" s="85"/>
      <c r="J96" s="88"/>
      <c r="K96" s="88"/>
      <c r="L96" s="88"/>
      <c r="M96" s="88"/>
      <c r="N96" s="86"/>
      <c r="O96" s="87"/>
      <c r="P96" s="87"/>
      <c r="Q96" s="87"/>
      <c r="R96" s="87"/>
      <c r="S96" s="86"/>
      <c r="T96" s="87"/>
      <c r="U96" s="87"/>
      <c r="V96" s="87"/>
      <c r="W96" s="87"/>
      <c r="X96" s="404"/>
      <c r="Y96" s="154">
        <f t="shared" ref="Y96:BB96" si="111">IFERROR(Y95/Y25,"NA")</f>
        <v>-1.9175553732567678E-2</v>
      </c>
      <c r="Z96" s="154">
        <f t="shared" si="111"/>
        <v>-4.277861069465267E-2</v>
      </c>
      <c r="AA96" s="154">
        <f t="shared" si="111"/>
        <v>-6.5293066139806191E-2</v>
      </c>
      <c r="AB96" s="154">
        <f t="shared" si="111"/>
        <v>-7.7734877734877736E-2</v>
      </c>
      <c r="AC96" s="192">
        <f t="shared" si="111"/>
        <v>-2.1550391284698267E-2</v>
      </c>
      <c r="AD96" s="154">
        <f t="shared" si="111"/>
        <v>-1.3313215585337712E-2</v>
      </c>
      <c r="AE96" s="154">
        <f t="shared" si="111"/>
        <v>-3.2252574249000084E-2</v>
      </c>
      <c r="AF96" s="154">
        <f t="shared" si="111"/>
        <v>-5.8197631384159884E-2</v>
      </c>
      <c r="AG96" s="154">
        <f t="shared" si="111"/>
        <v>-8.5274974059051045E-2</v>
      </c>
      <c r="AH96" s="192">
        <f t="shared" si="111"/>
        <v>-2.0347986584734509E-2</v>
      </c>
      <c r="AI96" s="154">
        <f t="shared" si="111"/>
        <v>-1.7511601435951318E-2</v>
      </c>
      <c r="AJ96" s="154">
        <f t="shared" si="111"/>
        <v>-3.1888595912986158E-2</v>
      </c>
      <c r="AK96" s="154">
        <f t="shared" si="111"/>
        <v>-8.0612656187021361E-3</v>
      </c>
      <c r="AL96" s="154">
        <f t="shared" si="111"/>
        <v>0</v>
      </c>
      <c r="AM96" s="192">
        <f t="shared" si="111"/>
        <v>-1.4225958750931833E-2</v>
      </c>
      <c r="AN96" s="154">
        <f t="shared" si="111"/>
        <v>-1.627906976744186E-2</v>
      </c>
      <c r="AO96" s="154">
        <f t="shared" si="111"/>
        <v>-2.8571428571428571E-2</v>
      </c>
      <c r="AP96" s="154">
        <f t="shared" si="111"/>
        <v>-1.5486725663716814E-2</v>
      </c>
      <c r="AQ96" s="154">
        <f t="shared" si="111"/>
        <v>-1.5503875968992248E-2</v>
      </c>
      <c r="AR96" s="192">
        <f t="shared" si="111"/>
        <v>-1.9177061999627629E-2</v>
      </c>
      <c r="AS96" s="154">
        <f>IFERROR(AS95/AS25,"NA")</f>
        <v>-8.7500000000000008E-3</v>
      </c>
      <c r="AT96" s="154">
        <f t="shared" si="111"/>
        <v>-1.9317450096587252E-2</v>
      </c>
      <c r="AU96" s="154">
        <f>IFERROR(AU95/AU25,"NA")</f>
        <v>-2.1625163826998691E-2</v>
      </c>
      <c r="AV96" s="154">
        <f t="shared" si="111"/>
        <v>-4.028589993502274E-2</v>
      </c>
      <c r="AW96" s="192">
        <f t="shared" si="111"/>
        <v>-2.2354454808620135E-2</v>
      </c>
      <c r="AX96" s="154">
        <f t="shared" si="111"/>
        <v>-3.8764783180026283E-2</v>
      </c>
      <c r="AY96" s="154">
        <f t="shared" si="111"/>
        <v>-5.3584359160028967E-2</v>
      </c>
      <c r="AZ96" s="154">
        <f t="shared" si="111"/>
        <v>-5.5686274509803922E-2</v>
      </c>
      <c r="BA96" s="154">
        <f t="shared" si="111"/>
        <v>-6.1240310077519379E-2</v>
      </c>
      <c r="BB96" s="192">
        <f t="shared" si="111"/>
        <v>-5.1755669348939284E-2</v>
      </c>
      <c r="BC96" s="154">
        <f t="shared" ref="BC96:BQ96" si="112">IFERROR(BC95/BC25,"NA")</f>
        <v>-4.9659863945578232E-2</v>
      </c>
      <c r="BD96" s="154">
        <f t="shared" si="112"/>
        <v>-3.614457831325301E-2</v>
      </c>
      <c r="BE96" s="154">
        <f t="shared" si="112"/>
        <v>-4.8233695652173912E-2</v>
      </c>
      <c r="BF96" s="154">
        <f t="shared" si="112"/>
        <v>-4.9324324324324327E-2</v>
      </c>
      <c r="BG96" s="192">
        <f t="shared" si="112"/>
        <v>-4.58079783637593E-2</v>
      </c>
      <c r="BH96" s="154">
        <f t="shared" si="112"/>
        <v>-4.3673012318029114E-2</v>
      </c>
      <c r="BI96" s="154">
        <f t="shared" si="112"/>
        <v>-5.1183269124931208E-2</v>
      </c>
      <c r="BJ96" s="154">
        <f t="shared" si="112"/>
        <v>-3.9713182570325425E-2</v>
      </c>
      <c r="BK96" s="154">
        <f t="shared" si="112"/>
        <v>-4.4258373205741629E-2</v>
      </c>
      <c r="BL96" s="192">
        <f t="shared" si="112"/>
        <v>-4.4723476297968398E-2</v>
      </c>
      <c r="BM96" s="154">
        <f t="shared" si="112"/>
        <v>-4.4178794178794181E-2</v>
      </c>
      <c r="BN96" s="154">
        <f t="shared" si="112"/>
        <v>-3.9515279241306642E-2</v>
      </c>
      <c r="BO96" s="154">
        <f t="shared" si="112"/>
        <v>-4.2406070553723502E-2</v>
      </c>
      <c r="BP96" s="154">
        <f t="shared" si="112"/>
        <v>-5.0859248911480415E-2</v>
      </c>
      <c r="BQ96" s="192">
        <f t="shared" si="112"/>
        <v>-4.4171291442348326E-2</v>
      </c>
      <c r="BR96" s="154">
        <f t="shared" ref="BR96:CA96" si="113">IFERROR(BR95/BR25,"NA")</f>
        <v>-4.1526260983003396E-2</v>
      </c>
      <c r="BS96" s="154">
        <f t="shared" si="113"/>
        <v>-3.7698208672851848E-2</v>
      </c>
      <c r="BT96" s="154">
        <f t="shared" si="113"/>
        <v>-4.0557784787484626E-2</v>
      </c>
      <c r="BU96" s="154">
        <f t="shared" si="113"/>
        <v>-4.8434105131526052E-2</v>
      </c>
      <c r="BV96" s="192">
        <f t="shared" si="113"/>
        <v>-4.1983879847470894E-2</v>
      </c>
      <c r="BW96" s="154">
        <f t="shared" si="113"/>
        <v>-3.9690461425501082E-2</v>
      </c>
      <c r="BX96" s="154">
        <f t="shared" si="113"/>
        <v>-3.6166008892825834E-2</v>
      </c>
      <c r="BY96" s="154">
        <f t="shared" si="113"/>
        <v>-3.8762606463622451E-2</v>
      </c>
      <c r="BZ96" s="154">
        <f t="shared" si="113"/>
        <v>-4.6154626152697997E-2</v>
      </c>
      <c r="CA96" s="192">
        <f t="shared" si="113"/>
        <v>-4.0128060278236524E-2</v>
      </c>
    </row>
    <row r="97" spans="1:79" ht="12.75" customHeight="1" thickBot="1" x14ac:dyDescent="0.4">
      <c r="A97" s="24"/>
      <c r="B97" s="105" t="s">
        <v>40</v>
      </c>
      <c r="C97" s="106"/>
      <c r="D97" s="106"/>
      <c r="E97" s="106"/>
      <c r="F97" s="106"/>
      <c r="G97" s="106"/>
      <c r="H97" s="106"/>
      <c r="I97" s="113"/>
      <c r="J97" s="116"/>
      <c r="K97" s="116"/>
      <c r="L97" s="116"/>
      <c r="M97" s="116"/>
      <c r="N97" s="114"/>
      <c r="O97" s="115"/>
      <c r="P97" s="115"/>
      <c r="Q97" s="115"/>
      <c r="R97" s="115"/>
      <c r="S97" s="114"/>
      <c r="T97" s="115"/>
      <c r="U97" s="115"/>
      <c r="V97" s="115"/>
      <c r="W97" s="115"/>
      <c r="X97" s="405"/>
      <c r="Y97" s="176">
        <f>Y93+Y95</f>
        <v>-531.1</v>
      </c>
      <c r="Z97" s="176">
        <f>Z93+Z95</f>
        <v>-83.4</v>
      </c>
      <c r="AA97" s="176">
        <f>AA93+AA95</f>
        <v>280.39999999999998</v>
      </c>
      <c r="AB97" s="176">
        <f t="shared" ref="AB97:AG97" si="114">AB93+AB95</f>
        <v>664</v>
      </c>
      <c r="AC97" s="214">
        <f t="shared" si="114"/>
        <v>664</v>
      </c>
      <c r="AD97" s="176">
        <f>AD93+AD95</f>
        <v>376.5</v>
      </c>
      <c r="AE97" s="176">
        <f>AE93+AE95</f>
        <v>739.4</v>
      </c>
      <c r="AF97" s="176">
        <f t="shared" si="114"/>
        <v>1021.6999999999999</v>
      </c>
      <c r="AG97" s="176">
        <f t="shared" si="114"/>
        <v>1370.6999999999998</v>
      </c>
      <c r="AH97" s="214">
        <f t="shared" ref="AH97:BQ97" si="115">AH93+AH95</f>
        <v>1370.6999999999998</v>
      </c>
      <c r="AI97" s="176">
        <f t="shared" si="115"/>
        <v>347.1</v>
      </c>
      <c r="AJ97" s="176">
        <f t="shared" si="115"/>
        <v>709.0999999999965</v>
      </c>
      <c r="AK97" s="176">
        <f t="shared" si="115"/>
        <v>73.700000000000244</v>
      </c>
      <c r="AL97" s="176">
        <f t="shared" si="115"/>
        <v>476.70000000000391</v>
      </c>
      <c r="AM97" s="214">
        <f t="shared" si="115"/>
        <v>1606.6000000000006</v>
      </c>
      <c r="AN97" s="176">
        <f t="shared" si="115"/>
        <v>324.39999999999998</v>
      </c>
      <c r="AO97" s="176">
        <f t="shared" si="115"/>
        <v>591</v>
      </c>
      <c r="AP97" s="176">
        <f t="shared" si="115"/>
        <v>490</v>
      </c>
      <c r="AQ97" s="176">
        <f t="shared" si="115"/>
        <v>638</v>
      </c>
      <c r="AR97" s="214">
        <f t="shared" si="115"/>
        <v>2043</v>
      </c>
      <c r="AS97" s="176">
        <f t="shared" si="115"/>
        <v>662</v>
      </c>
      <c r="AT97" s="176">
        <f t="shared" si="115"/>
        <v>564</v>
      </c>
      <c r="AU97" s="176">
        <f t="shared" si="115"/>
        <v>403</v>
      </c>
      <c r="AV97" s="176">
        <f t="shared" si="115"/>
        <v>237</v>
      </c>
      <c r="AW97" s="214">
        <f t="shared" si="115"/>
        <v>1866</v>
      </c>
      <c r="AX97" s="176">
        <f t="shared" si="115"/>
        <v>411</v>
      </c>
      <c r="AY97" s="176">
        <f t="shared" si="115"/>
        <v>217</v>
      </c>
      <c r="AZ97" s="176">
        <f t="shared" si="115"/>
        <v>265</v>
      </c>
      <c r="BA97" s="176">
        <f t="shared" si="115"/>
        <v>298</v>
      </c>
      <c r="BB97" s="214">
        <f t="shared" si="115"/>
        <v>1191</v>
      </c>
      <c r="BC97" s="176">
        <f t="shared" si="115"/>
        <v>535</v>
      </c>
      <c r="BD97" s="176">
        <f t="shared" si="115"/>
        <v>550</v>
      </c>
      <c r="BE97" s="176">
        <f t="shared" si="115"/>
        <v>391</v>
      </c>
      <c r="BF97" s="176">
        <f t="shared" si="115"/>
        <v>404</v>
      </c>
      <c r="BG97" s="214">
        <f t="shared" si="115"/>
        <v>1880</v>
      </c>
      <c r="BH97" s="176">
        <f t="shared" si="115"/>
        <v>697</v>
      </c>
      <c r="BI97" s="176">
        <f t="shared" si="115"/>
        <v>593</v>
      </c>
      <c r="BJ97" s="176">
        <f t="shared" si="115"/>
        <v>631</v>
      </c>
      <c r="BK97" s="176">
        <f t="shared" si="115"/>
        <v>600</v>
      </c>
      <c r="BL97" s="214">
        <f t="shared" si="115"/>
        <v>2521</v>
      </c>
      <c r="BM97" s="176">
        <f t="shared" si="115"/>
        <v>672</v>
      </c>
      <c r="BN97" s="176">
        <f t="shared" si="115"/>
        <v>468</v>
      </c>
      <c r="BO97" s="176">
        <f t="shared" ca="1" si="115"/>
        <v>624.98859780160672</v>
      </c>
      <c r="BP97" s="176">
        <f t="shared" ca="1" si="115"/>
        <v>719.15961614574212</v>
      </c>
      <c r="BQ97" s="214">
        <f t="shared" ca="1" si="115"/>
        <v>2484.1482139473487</v>
      </c>
      <c r="BR97" s="176">
        <f t="shared" ref="BR97:CA97" ca="1" si="116">BR93+BR95</f>
        <v>1056.0390881446542</v>
      </c>
      <c r="BS97" s="176">
        <f t="shared" ca="1" si="116"/>
        <v>567.15116815881061</v>
      </c>
      <c r="BT97" s="176">
        <f t="shared" ca="1" si="116"/>
        <v>635.03358029030858</v>
      </c>
      <c r="BU97" s="176">
        <f t="shared" ca="1" si="116"/>
        <v>826.4386450055357</v>
      </c>
      <c r="BV97" s="214">
        <f t="shared" ca="1" si="116"/>
        <v>3084.6624815993091</v>
      </c>
      <c r="BW97" s="176">
        <f t="shared" ca="1" si="116"/>
        <v>1157.1057881973163</v>
      </c>
      <c r="BX97" s="176">
        <f t="shared" ca="1" si="116"/>
        <v>649.00454302072148</v>
      </c>
      <c r="BY97" s="176">
        <f t="shared" ca="1" si="116"/>
        <v>724.42138206094296</v>
      </c>
      <c r="BZ97" s="176">
        <f t="shared" ca="1" si="116"/>
        <v>921.76471754334102</v>
      </c>
      <c r="CA97" s="214">
        <f t="shared" ca="1" si="116"/>
        <v>3452.2964308223218</v>
      </c>
    </row>
    <row r="98" spans="1:79" ht="12.75" customHeight="1" x14ac:dyDescent="0.35">
      <c r="A98" s="24"/>
      <c r="B98" s="77" t="s">
        <v>43</v>
      </c>
      <c r="C98" s="101"/>
      <c r="D98" s="101"/>
      <c r="E98" s="101"/>
      <c r="F98" s="101"/>
      <c r="G98" s="101"/>
      <c r="H98" s="101"/>
      <c r="I98" s="110"/>
      <c r="J98" s="112"/>
      <c r="K98" s="112"/>
      <c r="L98" s="112"/>
      <c r="M98" s="112"/>
      <c r="N98" s="111"/>
      <c r="O98" s="100"/>
      <c r="P98" s="100"/>
      <c r="Q98" s="100"/>
      <c r="R98" s="100"/>
      <c r="S98" s="111"/>
      <c r="T98" s="100"/>
      <c r="U98" s="100"/>
      <c r="V98" s="100"/>
      <c r="W98" s="100"/>
      <c r="X98" s="406"/>
      <c r="Y98" s="154" t="str">
        <f t="shared" ref="Y98:AI98" si="117">IFERROR(Y97/T97-1,"NA")</f>
        <v>NA</v>
      </c>
      <c r="Z98" s="154" t="str">
        <f t="shared" si="117"/>
        <v>NA</v>
      </c>
      <c r="AA98" s="154" t="str">
        <f t="shared" si="117"/>
        <v>NA</v>
      </c>
      <c r="AB98" s="154" t="str">
        <f t="shared" si="117"/>
        <v>NA</v>
      </c>
      <c r="AC98" s="192" t="str">
        <f t="shared" si="117"/>
        <v>NA</v>
      </c>
      <c r="AD98" s="154">
        <f t="shared" si="117"/>
        <v>-1.708906044059499</v>
      </c>
      <c r="AE98" s="154">
        <f t="shared" si="117"/>
        <v>-9.8657074340527569</v>
      </c>
      <c r="AF98" s="154">
        <f t="shared" si="117"/>
        <v>2.6437232524964336</v>
      </c>
      <c r="AG98" s="154">
        <f t="shared" si="117"/>
        <v>1.0643072289156623</v>
      </c>
      <c r="AH98" s="192">
        <f t="shared" si="117"/>
        <v>1.0643072289156623</v>
      </c>
      <c r="AI98" s="154">
        <f t="shared" si="117"/>
        <v>-7.8087649402390324E-2</v>
      </c>
      <c r="AJ98" s="154">
        <f t="shared" ref="AJ98:BQ98" si="118">IFERROR(AJ97/AE97-1,"NA")</f>
        <v>-4.0979172301871092E-2</v>
      </c>
      <c r="AK98" s="154">
        <f t="shared" si="118"/>
        <v>-0.92786532250171261</v>
      </c>
      <c r="AL98" s="154">
        <f t="shared" si="118"/>
        <v>-0.65222149266797702</v>
      </c>
      <c r="AM98" s="192">
        <f t="shared" si="118"/>
        <v>0.17210184577223364</v>
      </c>
      <c r="AN98" s="154">
        <f t="shared" si="118"/>
        <v>-6.5399020455200407E-2</v>
      </c>
      <c r="AO98" s="154">
        <f t="shared" si="118"/>
        <v>-0.16654914680580601</v>
      </c>
      <c r="AP98" s="154">
        <f t="shared" si="118"/>
        <v>5.6485753052917014</v>
      </c>
      <c r="AQ98" s="154">
        <f t="shared" si="118"/>
        <v>0.33836794629745071</v>
      </c>
      <c r="AR98" s="192">
        <f t="shared" si="118"/>
        <v>0.27162952819619024</v>
      </c>
      <c r="AS98" s="154">
        <f t="shared" si="118"/>
        <v>1.0406905055487052</v>
      </c>
      <c r="AT98" s="154">
        <f t="shared" si="118"/>
        <v>-4.5685279187817285E-2</v>
      </c>
      <c r="AU98" s="154">
        <f t="shared" si="118"/>
        <v>-0.17755102040816328</v>
      </c>
      <c r="AV98" s="154">
        <f t="shared" si="118"/>
        <v>-0.62852664576802508</v>
      </c>
      <c r="AW98" s="192">
        <f t="shared" si="118"/>
        <v>-8.6637298091042592E-2</v>
      </c>
      <c r="AX98" s="154">
        <f t="shared" si="118"/>
        <v>-0.37915407854984895</v>
      </c>
      <c r="AY98" s="154">
        <f t="shared" si="118"/>
        <v>-0.61524822695035464</v>
      </c>
      <c r="AZ98" s="154">
        <f t="shared" si="118"/>
        <v>-0.34243176178660051</v>
      </c>
      <c r="BA98" s="154">
        <f t="shared" si="118"/>
        <v>0.2573839662447257</v>
      </c>
      <c r="BB98" s="192">
        <f t="shared" si="118"/>
        <v>-0.36173633440514474</v>
      </c>
      <c r="BC98" s="154">
        <f t="shared" si="118"/>
        <v>0.30170316301703171</v>
      </c>
      <c r="BD98" s="154">
        <f t="shared" si="118"/>
        <v>1.5345622119815667</v>
      </c>
      <c r="BE98" s="154">
        <f t="shared" si="118"/>
        <v>0.47547169811320744</v>
      </c>
      <c r="BF98" s="154">
        <f t="shared" si="118"/>
        <v>0.35570469798657722</v>
      </c>
      <c r="BG98" s="192">
        <f t="shared" si="118"/>
        <v>0.57850545759865657</v>
      </c>
      <c r="BH98" s="154">
        <f t="shared" si="118"/>
        <v>0.30280373831775709</v>
      </c>
      <c r="BI98" s="154">
        <f t="shared" si="118"/>
        <v>7.818181818181813E-2</v>
      </c>
      <c r="BJ98" s="154">
        <f t="shared" si="118"/>
        <v>0.61381074168797944</v>
      </c>
      <c r="BK98" s="154">
        <f t="shared" si="118"/>
        <v>0.48514851485148514</v>
      </c>
      <c r="BL98" s="192">
        <f t="shared" si="118"/>
        <v>0.34095744680851059</v>
      </c>
      <c r="BM98" s="154">
        <f t="shared" si="118"/>
        <v>-3.5868005738880937E-2</v>
      </c>
      <c r="BN98" s="154">
        <f t="shared" si="118"/>
        <v>-0.2107925801011804</v>
      </c>
      <c r="BO98" s="154">
        <f t="shared" ca="1" si="118"/>
        <v>-9.5267863682936271E-3</v>
      </c>
      <c r="BP98" s="154">
        <f t="shared" ca="1" si="118"/>
        <v>0.19859936024290348</v>
      </c>
      <c r="BQ98" s="192">
        <f t="shared" ca="1" si="118"/>
        <v>-1.461792386063121E-2</v>
      </c>
      <c r="BR98" s="154">
        <f t="shared" ref="BR98:CA98" ca="1" si="119">IFERROR(BR97/BM97-1,"NA")</f>
        <v>0.57148673831049734</v>
      </c>
      <c r="BS98" s="154">
        <f t="shared" ca="1" si="119"/>
        <v>0.21186147042480896</v>
      </c>
      <c r="BT98" s="154">
        <f t="shared" ca="1" si="119"/>
        <v>1.6072265196573232E-2</v>
      </c>
      <c r="BU98" s="154">
        <f t="shared" ca="1" si="119"/>
        <v>0.14917276561598936</v>
      </c>
      <c r="BV98" s="192">
        <f t="shared" ca="1" si="119"/>
        <v>0.24173850186568946</v>
      </c>
      <c r="BW98" s="154">
        <f t="shared" ca="1" si="119"/>
        <v>9.5703559827719387E-2</v>
      </c>
      <c r="BX98" s="154">
        <f t="shared" ca="1" si="119"/>
        <v>0.14432373493585171</v>
      </c>
      <c r="BY98" s="154">
        <f t="shared" ca="1" si="119"/>
        <v>0.14076074800606664</v>
      </c>
      <c r="BZ98" s="154">
        <f t="shared" ca="1" si="119"/>
        <v>0.11534561351153516</v>
      </c>
      <c r="CA98" s="192">
        <f t="shared" ca="1" si="119"/>
        <v>0.11918125610695829</v>
      </c>
    </row>
    <row r="99" spans="1:79" ht="12.75" customHeight="1" x14ac:dyDescent="0.35">
      <c r="A99" s="24"/>
      <c r="B99" s="77" t="s">
        <v>41</v>
      </c>
      <c r="C99" s="101"/>
      <c r="D99" s="101"/>
      <c r="E99" s="101"/>
      <c r="F99" s="101"/>
      <c r="G99" s="101"/>
      <c r="H99" s="101"/>
      <c r="I99" s="110"/>
      <c r="J99" s="112"/>
      <c r="K99" s="112"/>
      <c r="L99" s="112"/>
      <c r="M99" s="112"/>
      <c r="N99" s="111"/>
      <c r="O99" s="100"/>
      <c r="P99" s="100"/>
      <c r="Q99" s="100"/>
      <c r="R99" s="100"/>
      <c r="S99" s="111"/>
      <c r="T99" s="100"/>
      <c r="U99" s="100"/>
      <c r="V99" s="100"/>
      <c r="W99" s="100"/>
      <c r="X99" s="117"/>
      <c r="Y99" s="296">
        <f t="shared" ref="Y99:BB99" si="120">Y97/Y65</f>
        <v>-2.7334019557385485</v>
      </c>
      <c r="Z99" s="296">
        <f t="shared" si="120"/>
        <v>-0.43034055727554182</v>
      </c>
      <c r="AA99" s="296">
        <f t="shared" si="120"/>
        <v>1.4446161772282329</v>
      </c>
      <c r="AB99" s="296">
        <f t="shared" si="120"/>
        <v>3.4156378600823043</v>
      </c>
      <c r="AC99" s="297">
        <f t="shared" si="120"/>
        <v>3.4191555097837285</v>
      </c>
      <c r="AD99" s="296">
        <f t="shared" si="120"/>
        <v>1.9357326478149099</v>
      </c>
      <c r="AE99" s="296">
        <f t="shared" si="120"/>
        <v>3.8034979423868309</v>
      </c>
      <c r="AF99" s="296">
        <f t="shared" si="120"/>
        <v>5.2529562982005134</v>
      </c>
      <c r="AG99" s="296">
        <f t="shared" si="120"/>
        <v>7.0654639175257721</v>
      </c>
      <c r="AH99" s="297">
        <f t="shared" si="120"/>
        <v>7.0509259259259247</v>
      </c>
      <c r="AI99" s="296">
        <f t="shared" si="120"/>
        <v>1.8003112033195021</v>
      </c>
      <c r="AJ99" s="296">
        <f t="shared" si="120"/>
        <v>3.7067433350757786</v>
      </c>
      <c r="AK99" s="296">
        <f t="shared" si="120"/>
        <v>0.38566195709052981</v>
      </c>
      <c r="AL99" s="296">
        <f t="shared" si="120"/>
        <v>2.5010493179433575</v>
      </c>
      <c r="AM99" s="297">
        <f t="shared" si="120"/>
        <v>8.3917471924784568</v>
      </c>
      <c r="AN99" s="296">
        <f t="shared" si="120"/>
        <v>1.710970464135021</v>
      </c>
      <c r="AO99" s="296">
        <f t="shared" si="120"/>
        <v>3.126984126984127</v>
      </c>
      <c r="AP99" s="296">
        <f t="shared" si="120"/>
        <v>2.5884838880084522</v>
      </c>
      <c r="AQ99" s="296">
        <f t="shared" si="120"/>
        <v>3.3720930232558142</v>
      </c>
      <c r="AR99" s="297">
        <f t="shared" si="120"/>
        <v>10.793818518029321</v>
      </c>
      <c r="AS99" s="296">
        <f>AS97/AS65</f>
        <v>3.5100742311770943</v>
      </c>
      <c r="AT99" s="296">
        <f t="shared" si="120"/>
        <v>3.001596593932943</v>
      </c>
      <c r="AU99" s="296">
        <f>AU97/AU65</f>
        <v>2.1516284036305393</v>
      </c>
      <c r="AV99" s="296">
        <f t="shared" si="120"/>
        <v>1.264674493062967</v>
      </c>
      <c r="AW99" s="297">
        <f t="shared" si="120"/>
        <v>9.9308142629058</v>
      </c>
      <c r="AX99" s="296">
        <f t="shared" si="120"/>
        <v>2.2084900591080063</v>
      </c>
      <c r="AY99" s="296">
        <f t="shared" si="120"/>
        <v>1.1736073553272039</v>
      </c>
      <c r="AZ99" s="296">
        <f t="shared" si="120"/>
        <v>1.4410005437737901</v>
      </c>
      <c r="BA99" s="296">
        <f t="shared" si="120"/>
        <v>1.6204458945078846</v>
      </c>
      <c r="BB99" s="297">
        <f t="shared" si="120"/>
        <v>6.4482945316729836</v>
      </c>
      <c r="BC99" s="296">
        <f t="shared" ref="BC99:BQ99" si="121">BC97/BC65</f>
        <v>2.9060293318848451</v>
      </c>
      <c r="BD99" s="296">
        <f t="shared" si="121"/>
        <v>2.9875067897881586</v>
      </c>
      <c r="BE99" s="296">
        <f t="shared" si="121"/>
        <v>2.125</v>
      </c>
      <c r="BF99" s="296">
        <f t="shared" si="121"/>
        <v>2.2004357298474946</v>
      </c>
      <c r="BG99" s="297">
        <f t="shared" si="121"/>
        <v>10.217391304347826</v>
      </c>
      <c r="BH99" s="296">
        <f t="shared" si="121"/>
        <v>3.8004362050163576</v>
      </c>
      <c r="BI99" s="296">
        <f t="shared" si="121"/>
        <v>3.2404371584699452</v>
      </c>
      <c r="BJ99" s="296">
        <f t="shared" si="121"/>
        <v>3.4575342465753423</v>
      </c>
      <c r="BK99" s="296">
        <f t="shared" si="121"/>
        <v>3.3021463951568522</v>
      </c>
      <c r="BL99" s="297">
        <f t="shared" si="121"/>
        <v>13.802354229400494</v>
      </c>
      <c r="BM99" s="296">
        <f t="shared" si="121"/>
        <v>3.7188710570005536</v>
      </c>
      <c r="BN99" s="296">
        <f t="shared" si="121"/>
        <v>2.5971143174250835</v>
      </c>
      <c r="BO99" s="296">
        <f t="shared" ca="1" si="121"/>
        <v>3.480861029248715</v>
      </c>
      <c r="BP99" s="296">
        <f t="shared" ca="1" si="121"/>
        <v>4.0198972394954851</v>
      </c>
      <c r="BQ99" s="297">
        <f t="shared" ca="1" si="121"/>
        <v>13.813293745449915</v>
      </c>
      <c r="BR99" s="296">
        <f t="shared" ref="BR99:CA99" ca="1" si="122">BR97/BR65</f>
        <v>5.9228215824153354</v>
      </c>
      <c r="BS99" s="296">
        <f t="shared" ca="1" si="122"/>
        <v>3.1916216553675332</v>
      </c>
      <c r="BT99" s="296">
        <f t="shared" ca="1" si="122"/>
        <v>3.5857345019215616</v>
      </c>
      <c r="BU99" s="296">
        <f t="shared" ca="1" si="122"/>
        <v>4.6823719263769732</v>
      </c>
      <c r="BV99" s="297">
        <f t="shared" ca="1" si="122"/>
        <v>17.388176333705236</v>
      </c>
      <c r="BW99" s="296">
        <f t="shared" ca="1" si="122"/>
        <v>6.580072722191165</v>
      </c>
      <c r="BX99" s="296">
        <f t="shared" ca="1" si="122"/>
        <v>3.7033069501895661</v>
      </c>
      <c r="BY99" s="296">
        <f t="shared" ca="1" si="122"/>
        <v>4.1478464475290178</v>
      </c>
      <c r="BZ99" s="296">
        <f t="shared" ca="1" si="122"/>
        <v>5.295976544345538</v>
      </c>
      <c r="CA99" s="297">
        <f t="shared" ca="1" si="122"/>
        <v>19.733046189324504</v>
      </c>
    </row>
    <row r="100" spans="1:79" ht="12.75" customHeight="1" x14ac:dyDescent="0.35">
      <c r="B100" s="469" t="s">
        <v>42</v>
      </c>
      <c r="C100" s="101"/>
      <c r="D100" s="101"/>
      <c r="E100" s="101"/>
      <c r="F100" s="101"/>
      <c r="G100" s="101"/>
      <c r="H100" s="101"/>
      <c r="I100" s="110"/>
      <c r="J100" s="112"/>
      <c r="K100" s="112"/>
      <c r="L100" s="112"/>
      <c r="M100" s="112"/>
      <c r="N100" s="111"/>
      <c r="O100" s="100"/>
      <c r="P100" s="100"/>
      <c r="Q100" s="100"/>
      <c r="R100" s="100"/>
      <c r="S100" s="111"/>
      <c r="T100" s="100"/>
      <c r="U100" s="100"/>
      <c r="V100" s="100"/>
      <c r="W100" s="100"/>
      <c r="X100" s="555"/>
      <c r="Y100" s="556">
        <f t="shared" ref="Y100:BB100" si="123">IFERROR(Y97/Y72,"NA")</f>
        <v>-1.1083055091819698</v>
      </c>
      <c r="Z100" s="556">
        <f t="shared" si="123"/>
        <v>-0.16693354683747003</v>
      </c>
      <c r="AA100" s="556">
        <f t="shared" si="123"/>
        <v>0.55901116427432207</v>
      </c>
      <c r="AB100" s="556">
        <f t="shared" si="123"/>
        <v>1.2739831158864163</v>
      </c>
      <c r="AC100" s="557">
        <f t="shared" si="123"/>
        <v>0.33173461231015189</v>
      </c>
      <c r="AD100" s="556">
        <f t="shared" si="123"/>
        <v>0.69631958572221186</v>
      </c>
      <c r="AE100" s="556">
        <f t="shared" si="123"/>
        <v>1.2652292950034225</v>
      </c>
      <c r="AF100" s="556">
        <f t="shared" si="123"/>
        <v>1.9869700505639827</v>
      </c>
      <c r="AG100" s="556">
        <f t="shared" si="123"/>
        <v>2.8687735454164929</v>
      </c>
      <c r="AH100" s="557">
        <f t="shared" si="123"/>
        <v>0.6474422559161116</v>
      </c>
      <c r="AI100" s="556">
        <f t="shared" si="123"/>
        <v>0.66891501252649854</v>
      </c>
      <c r="AJ100" s="556">
        <f t="shared" si="123"/>
        <v>1.1838063439065045</v>
      </c>
      <c r="AK100" s="556">
        <f t="shared" si="123"/>
        <v>0.12005212575338044</v>
      </c>
      <c r="AL100" s="556">
        <f t="shared" si="123"/>
        <v>0.85277280858676907</v>
      </c>
      <c r="AM100" s="557">
        <f t="shared" si="123"/>
        <v>0.70132704731971385</v>
      </c>
      <c r="AN100" s="556">
        <f t="shared" si="123"/>
        <v>0.49984591679506929</v>
      </c>
      <c r="AO100" s="556">
        <f t="shared" si="123"/>
        <v>0.77154046997389036</v>
      </c>
      <c r="AP100" s="556">
        <f t="shared" si="123"/>
        <v>0.67961165048543692</v>
      </c>
      <c r="AQ100" s="556">
        <f t="shared" si="123"/>
        <v>1.2015065913370999</v>
      </c>
      <c r="AR100" s="557">
        <f t="shared" si="123"/>
        <v>0.76602924634420699</v>
      </c>
      <c r="AS100" s="556">
        <f>IFERROR(AS97/AS72,"NA")</f>
        <v>0.72428884026258211</v>
      </c>
      <c r="AT100" s="556">
        <f t="shared" si="123"/>
        <v>0.65505226480836232</v>
      </c>
      <c r="AU100" s="556">
        <f>IFERROR(AU97/AU72,"NA")</f>
        <v>0.54681139755766617</v>
      </c>
      <c r="AV100" s="556">
        <f t="shared" si="123"/>
        <v>0.40237691001697795</v>
      </c>
      <c r="AW100" s="557">
        <f t="shared" si="123"/>
        <v>0.60174137375040304</v>
      </c>
      <c r="AX100" s="556">
        <f t="shared" si="123"/>
        <v>0.55994550408719346</v>
      </c>
      <c r="AY100" s="556">
        <f t="shared" si="123"/>
        <v>0.35</v>
      </c>
      <c r="AZ100" s="556">
        <f t="shared" si="123"/>
        <v>0.53319919517102621</v>
      </c>
      <c r="BA100" s="556">
        <f t="shared" si="123"/>
        <v>0.62473794549266248</v>
      </c>
      <c r="BB100" s="557">
        <f t="shared" si="123"/>
        <v>0.51159793814432986</v>
      </c>
      <c r="BC100" s="556">
        <f t="shared" ref="BC100:BQ100" si="124">IFERROR(BC97/BC72,"NA")</f>
        <v>0.81554878048780488</v>
      </c>
      <c r="BD100" s="556">
        <f t="shared" si="124"/>
        <v>0.84226646248085757</v>
      </c>
      <c r="BE100" s="556">
        <f t="shared" si="124"/>
        <v>0.59512937595129378</v>
      </c>
      <c r="BF100" s="556">
        <f t="shared" si="124"/>
        <v>0.64025356576862125</v>
      </c>
      <c r="BG100" s="557">
        <f t="shared" si="124"/>
        <v>0.72391220639199072</v>
      </c>
      <c r="BH100" s="556">
        <f t="shared" si="124"/>
        <v>0.76931567328918327</v>
      </c>
      <c r="BI100" s="556">
        <f t="shared" si="124"/>
        <v>0.65742793791574283</v>
      </c>
      <c r="BJ100" s="556">
        <f t="shared" si="124"/>
        <v>0.72779700115340251</v>
      </c>
      <c r="BK100" s="556">
        <f t="shared" si="124"/>
        <v>0.81855388813096863</v>
      </c>
      <c r="BL100" s="557">
        <f t="shared" si="124"/>
        <v>0.73973004694835676</v>
      </c>
      <c r="BM100" s="556">
        <f t="shared" si="124"/>
        <v>0.676056338028169</v>
      </c>
      <c r="BN100" s="556">
        <f t="shared" si="124"/>
        <v>0.48447204968944102</v>
      </c>
      <c r="BO100" s="556">
        <f t="shared" ca="1" si="124"/>
        <v>0.59350643962820804</v>
      </c>
      <c r="BP100" s="556">
        <f t="shared" ca="1" si="124"/>
        <v>0.80716043864611164</v>
      </c>
      <c r="BQ100" s="557">
        <f t="shared" ca="1" si="124"/>
        <v>0.63630533546906798</v>
      </c>
      <c r="BR100" s="556">
        <f t="shared" ref="BR100:CA100" ca="1" si="125">IFERROR(BR97/BR72,"NA")</f>
        <v>0.94595860227954387</v>
      </c>
      <c r="BS100" s="556">
        <f t="shared" ca="1" si="125"/>
        <v>0.52629669912860566</v>
      </c>
      <c r="BT100" s="556">
        <f t="shared" ca="1" si="125"/>
        <v>0.55710830355719432</v>
      </c>
      <c r="BU100" s="556">
        <f t="shared" ca="1" si="125"/>
        <v>0.85247952568784824</v>
      </c>
      <c r="BV100" s="557">
        <f t="shared" ca="1" si="125"/>
        <v>0.71680944345630893</v>
      </c>
      <c r="BW100" s="556">
        <f t="shared" ca="1" si="125"/>
        <v>0.94550940100888381</v>
      </c>
      <c r="BX100" s="556">
        <f t="shared" ca="1" si="125"/>
        <v>0.54930707791783517</v>
      </c>
      <c r="BY100" s="556">
        <f t="shared" ca="1" si="125"/>
        <v>0.58087755235322869</v>
      </c>
      <c r="BZ100" s="556">
        <f t="shared" ca="1" si="125"/>
        <v>0.86680586309087915</v>
      </c>
      <c r="CA100" s="557">
        <f t="shared" ca="1" si="125"/>
        <v>0.73206906466372357</v>
      </c>
    </row>
    <row r="101" spans="1:79" ht="12.75" customHeight="1" x14ac:dyDescent="0.35">
      <c r="B101" s="84"/>
      <c r="C101" s="84"/>
      <c r="D101" s="84"/>
      <c r="E101" s="84"/>
      <c r="F101" s="84"/>
      <c r="G101" s="84"/>
      <c r="H101" s="84"/>
      <c r="I101" s="85"/>
      <c r="J101" s="88"/>
      <c r="K101" s="88"/>
      <c r="L101" s="88"/>
      <c r="M101" s="88"/>
      <c r="N101" s="86"/>
      <c r="O101" s="87"/>
      <c r="P101" s="87"/>
      <c r="Q101" s="87"/>
      <c r="R101" s="87"/>
      <c r="S101" s="86"/>
      <c r="T101" s="87"/>
      <c r="U101" s="87"/>
      <c r="V101" s="87"/>
      <c r="W101" s="87"/>
      <c r="X101" s="86"/>
      <c r="Y101" s="87"/>
      <c r="Z101" s="87"/>
      <c r="AA101" s="87"/>
      <c r="AB101" s="118"/>
      <c r="AC101" s="119"/>
      <c r="AD101" s="87"/>
      <c r="AE101" s="87"/>
      <c r="AF101" s="87"/>
      <c r="AG101" s="87"/>
      <c r="AH101" s="109"/>
      <c r="AI101" s="87"/>
      <c r="AJ101" s="87"/>
      <c r="AK101" s="87"/>
      <c r="AL101" s="87"/>
      <c r="AM101" s="510"/>
      <c r="AN101" s="87"/>
      <c r="AO101" s="88"/>
      <c r="AP101" s="88"/>
      <c r="AQ101" s="88"/>
      <c r="AR101" s="510"/>
      <c r="AS101" s="87"/>
      <c r="AT101" s="88"/>
      <c r="AU101" s="88"/>
      <c r="AV101" s="88"/>
      <c r="AW101" s="510"/>
      <c r="AX101" s="87"/>
      <c r="AY101" s="88"/>
      <c r="AZ101" s="88"/>
      <c r="BA101" s="88"/>
      <c r="BB101" s="510"/>
      <c r="BC101" s="87"/>
      <c r="BD101" s="88"/>
      <c r="BE101" s="88"/>
      <c r="BF101" s="88"/>
      <c r="BG101" s="510"/>
      <c r="BH101" s="87"/>
      <c r="BI101" s="88"/>
      <c r="BJ101" s="88"/>
      <c r="BK101" s="88"/>
      <c r="BL101" s="85"/>
      <c r="BM101" s="87"/>
      <c r="BN101" s="88"/>
      <c r="BO101" s="88"/>
      <c r="BP101" s="88"/>
      <c r="BQ101" s="85"/>
      <c r="BR101" s="87"/>
      <c r="BS101" s="88"/>
      <c r="BT101" s="88"/>
      <c r="BU101" s="88"/>
      <c r="BV101" s="85"/>
      <c r="BW101" s="87"/>
      <c r="BX101" s="88"/>
      <c r="BY101" s="88"/>
      <c r="BZ101" s="88"/>
      <c r="CA101" s="85"/>
    </row>
    <row r="102" spans="1:79" ht="12.75" hidden="1" customHeight="1" outlineLevel="1" x14ac:dyDescent="0.35">
      <c r="B102" s="91" t="s">
        <v>51</v>
      </c>
      <c r="C102" s="91"/>
      <c r="D102" s="120"/>
      <c r="E102" s="120"/>
      <c r="F102" s="120"/>
      <c r="G102" s="120"/>
      <c r="H102" s="120"/>
      <c r="I102" s="407"/>
      <c r="J102" s="408"/>
      <c r="K102" s="408"/>
      <c r="L102" s="408"/>
      <c r="M102" s="408"/>
      <c r="N102" s="407"/>
      <c r="O102" s="408"/>
      <c r="P102" s="408"/>
      <c r="Q102" s="408"/>
      <c r="R102" s="408"/>
      <c r="S102" s="407"/>
      <c r="T102" s="121"/>
      <c r="U102" s="121"/>
      <c r="V102" s="121"/>
      <c r="W102" s="122"/>
      <c r="X102" s="407"/>
      <c r="Y102" s="122"/>
      <c r="Z102" s="122"/>
      <c r="AA102" s="122"/>
      <c r="AB102" s="122"/>
      <c r="AC102" s="407"/>
      <c r="AD102" s="122"/>
      <c r="AE102" s="121"/>
      <c r="AF102" s="121"/>
      <c r="AG102" s="414">
        <v>2019</v>
      </c>
      <c r="AH102" s="407"/>
      <c r="AI102" s="414">
        <v>2019</v>
      </c>
      <c r="AJ102" s="414">
        <v>2019</v>
      </c>
      <c r="AK102" s="414">
        <v>2019</v>
      </c>
      <c r="AL102" s="414" t="s">
        <v>292</v>
      </c>
      <c r="AM102" s="407"/>
      <c r="AN102" s="414">
        <v>2020</v>
      </c>
      <c r="AO102" s="414">
        <v>2020</v>
      </c>
      <c r="AP102" s="414">
        <v>2020</v>
      </c>
      <c r="AQ102" s="414">
        <v>2021</v>
      </c>
      <c r="AR102" s="407"/>
      <c r="AS102" s="414">
        <v>2021</v>
      </c>
      <c r="AT102" s="414">
        <v>2021</v>
      </c>
      <c r="AU102" s="414">
        <v>2021</v>
      </c>
      <c r="AV102" s="414">
        <v>2022</v>
      </c>
      <c r="AW102" s="407"/>
      <c r="AX102" s="504">
        <v>2022</v>
      </c>
      <c r="AY102" s="504">
        <v>2022</v>
      </c>
      <c r="AZ102" s="504">
        <v>2022</v>
      </c>
      <c r="BA102" s="123"/>
      <c r="BB102" s="407"/>
      <c r="BC102" s="121"/>
      <c r="BD102" s="123"/>
      <c r="BE102" s="123"/>
      <c r="BF102" s="123"/>
      <c r="BG102" s="407"/>
      <c r="BH102" s="121"/>
      <c r="BI102" s="123"/>
      <c r="BJ102" s="123"/>
      <c r="BK102" s="123"/>
      <c r="BL102" s="407"/>
      <c r="BM102" s="121"/>
      <c r="BN102" s="123"/>
      <c r="BO102" s="123"/>
      <c r="BP102" s="123"/>
      <c r="BQ102" s="407"/>
      <c r="BR102" s="121"/>
      <c r="BS102" s="123"/>
      <c r="BT102" s="123"/>
      <c r="BU102" s="123"/>
      <c r="BV102" s="407"/>
      <c r="BW102" s="121"/>
      <c r="BX102" s="123"/>
      <c r="BY102" s="123"/>
      <c r="BZ102" s="123"/>
      <c r="CA102" s="407"/>
    </row>
    <row r="103" spans="1:79" ht="12.75" hidden="1" customHeight="1" outlineLevel="1" x14ac:dyDescent="0.35">
      <c r="B103" s="136" t="s">
        <v>146</v>
      </c>
      <c r="C103" s="137"/>
      <c r="D103" s="138"/>
      <c r="E103" s="138"/>
      <c r="F103" s="138"/>
      <c r="G103" s="138"/>
      <c r="H103" s="138"/>
      <c r="I103" s="409"/>
      <c r="J103" s="410"/>
      <c r="K103" s="410"/>
      <c r="L103" s="410"/>
      <c r="M103" s="410"/>
      <c r="N103" s="409"/>
      <c r="O103" s="410"/>
      <c r="P103" s="410"/>
      <c r="Q103" s="410"/>
      <c r="R103" s="410"/>
      <c r="S103" s="409"/>
      <c r="T103" s="139"/>
      <c r="U103" s="139"/>
      <c r="V103" s="139"/>
      <c r="W103" s="140"/>
      <c r="X103" s="409"/>
      <c r="Y103" s="140"/>
      <c r="Z103" s="140"/>
      <c r="AA103" s="140"/>
      <c r="AB103" s="140"/>
      <c r="AC103" s="409"/>
      <c r="AD103" s="141"/>
      <c r="AE103" s="141"/>
      <c r="AF103" s="141"/>
      <c r="AG103" s="291" t="s">
        <v>170</v>
      </c>
      <c r="AH103" s="409"/>
      <c r="AI103" s="291" t="s">
        <v>170</v>
      </c>
      <c r="AJ103" s="291" t="s">
        <v>170</v>
      </c>
      <c r="AK103" s="291" t="s">
        <v>183</v>
      </c>
      <c r="AL103" s="291" t="s">
        <v>170</v>
      </c>
      <c r="AM103" s="409"/>
      <c r="AN103" s="462" t="s">
        <v>294</v>
      </c>
      <c r="AO103" s="464" t="s">
        <v>177</v>
      </c>
      <c r="AP103" s="464" t="s">
        <v>183</v>
      </c>
      <c r="AQ103" s="464" t="s">
        <v>170</v>
      </c>
      <c r="AR103" s="409"/>
      <c r="AS103" s="464" t="s">
        <v>183</v>
      </c>
      <c r="AT103" s="464" t="s">
        <v>181</v>
      </c>
      <c r="AU103" s="464" t="s">
        <v>344</v>
      </c>
      <c r="AV103" s="464" t="s">
        <v>183</v>
      </c>
      <c r="AW103" s="409"/>
      <c r="AX103" s="563" t="s">
        <v>419</v>
      </c>
      <c r="AY103" s="563" t="s">
        <v>443</v>
      </c>
      <c r="AZ103" s="563" t="s">
        <v>456</v>
      </c>
      <c r="BA103" s="142"/>
      <c r="BB103" s="409"/>
      <c r="BC103" s="139"/>
      <c r="BD103" s="142"/>
      <c r="BE103" s="142"/>
      <c r="BF103" s="142"/>
      <c r="BG103" s="409"/>
      <c r="BH103" s="139"/>
      <c r="BI103" s="142"/>
      <c r="BJ103" s="142"/>
      <c r="BK103" s="142"/>
      <c r="BL103" s="409"/>
      <c r="BM103" s="139"/>
      <c r="BN103" s="142"/>
      <c r="BO103" s="142"/>
      <c r="BP103" s="142"/>
      <c r="BQ103" s="409"/>
      <c r="BR103" s="139"/>
      <c r="BS103" s="142"/>
      <c r="BT103" s="142"/>
      <c r="BU103" s="142"/>
      <c r="BV103" s="409"/>
      <c r="BW103" s="139"/>
      <c r="BX103" s="142"/>
      <c r="BY103" s="142"/>
      <c r="BZ103" s="142"/>
      <c r="CA103" s="409"/>
    </row>
    <row r="104" spans="1:79" ht="12.75" hidden="1" customHeight="1" outlineLevel="1" x14ac:dyDescent="0.35">
      <c r="B104" s="104" t="s">
        <v>147</v>
      </c>
      <c r="C104" s="95"/>
      <c r="D104" s="84"/>
      <c r="E104" s="84"/>
      <c r="F104" s="84"/>
      <c r="G104" s="84"/>
      <c r="H104" s="84"/>
      <c r="I104" s="80"/>
      <c r="J104" s="329"/>
      <c r="K104" s="329"/>
      <c r="L104" s="329"/>
      <c r="M104" s="329"/>
      <c r="N104" s="80"/>
      <c r="O104" s="329"/>
      <c r="P104" s="329"/>
      <c r="Q104" s="329"/>
      <c r="R104" s="329"/>
      <c r="S104" s="80"/>
      <c r="T104" s="87"/>
      <c r="U104" s="87"/>
      <c r="V104" s="87"/>
      <c r="W104" s="134"/>
      <c r="X104" s="80"/>
      <c r="Y104" s="134"/>
      <c r="Z104" s="134"/>
      <c r="AA104" s="134"/>
      <c r="AB104" s="134"/>
      <c r="AC104" s="80"/>
      <c r="AD104" s="135"/>
      <c r="AE104" s="135"/>
      <c r="AF104" s="135"/>
      <c r="AG104" s="292" t="s">
        <v>185</v>
      </c>
      <c r="AH104" s="80"/>
      <c r="AI104" s="292" t="s">
        <v>185</v>
      </c>
      <c r="AJ104" s="292" t="s">
        <v>275</v>
      </c>
      <c r="AK104" s="292" t="s">
        <v>275</v>
      </c>
      <c r="AL104" s="292" t="s">
        <v>282</v>
      </c>
      <c r="AM104" s="80"/>
      <c r="AN104" s="292" t="s">
        <v>296</v>
      </c>
      <c r="AO104" s="292" t="s">
        <v>306</v>
      </c>
      <c r="AP104" s="292" t="s">
        <v>313</v>
      </c>
      <c r="AQ104" s="292" t="s">
        <v>313</v>
      </c>
      <c r="AR104" s="80"/>
      <c r="AS104" s="292" t="s">
        <v>329</v>
      </c>
      <c r="AT104" s="292" t="s">
        <v>336</v>
      </c>
      <c r="AU104" s="292" t="s">
        <v>345</v>
      </c>
      <c r="AV104" s="292" t="s">
        <v>385</v>
      </c>
      <c r="AW104" s="80"/>
      <c r="AX104" s="505" t="s">
        <v>420</v>
      </c>
      <c r="AY104" s="505" t="s">
        <v>444</v>
      </c>
      <c r="AZ104" s="505" t="s">
        <v>457</v>
      </c>
      <c r="BA104" s="88"/>
      <c r="BB104" s="80"/>
      <c r="BC104" s="87"/>
      <c r="BD104" s="88"/>
      <c r="BE104" s="88"/>
      <c r="BF104" s="88"/>
      <c r="BG104" s="80"/>
      <c r="BH104" s="87"/>
      <c r="BI104" s="88"/>
      <c r="BJ104" s="88"/>
      <c r="BK104" s="88"/>
      <c r="BL104" s="80"/>
      <c r="BM104" s="87"/>
      <c r="BN104" s="88"/>
      <c r="BO104" s="88"/>
      <c r="BP104" s="88"/>
      <c r="BQ104" s="80"/>
      <c r="BR104" s="87"/>
      <c r="BS104" s="88"/>
      <c r="BT104" s="88"/>
      <c r="BU104" s="88"/>
      <c r="BV104" s="80"/>
      <c r="BW104" s="87"/>
      <c r="BX104" s="88"/>
      <c r="BY104" s="88"/>
      <c r="BZ104" s="88"/>
      <c r="CA104" s="80"/>
    </row>
    <row r="105" spans="1:79" ht="12.75" hidden="1" customHeight="1" outlineLevel="1" x14ac:dyDescent="0.35">
      <c r="B105" s="104" t="s">
        <v>184</v>
      </c>
      <c r="C105" s="95"/>
      <c r="D105" s="84"/>
      <c r="E105" s="84"/>
      <c r="F105" s="84"/>
      <c r="G105" s="84"/>
      <c r="H105" s="84"/>
      <c r="I105" s="80"/>
      <c r="J105" s="329"/>
      <c r="K105" s="329"/>
      <c r="L105" s="329"/>
      <c r="M105" s="329"/>
      <c r="N105" s="80"/>
      <c r="O105" s="329"/>
      <c r="P105" s="329"/>
      <c r="Q105" s="329"/>
      <c r="R105" s="329"/>
      <c r="S105" s="80"/>
      <c r="T105" s="87"/>
      <c r="U105" s="87"/>
      <c r="V105" s="87"/>
      <c r="W105" s="134"/>
      <c r="X105" s="80"/>
      <c r="Y105" s="134"/>
      <c r="Z105" s="134"/>
      <c r="AA105" s="134"/>
      <c r="AB105" s="134"/>
      <c r="AC105" s="80"/>
      <c r="AD105" s="135"/>
      <c r="AE105" s="135"/>
      <c r="AF105" s="135"/>
      <c r="AG105" s="292" t="s">
        <v>171</v>
      </c>
      <c r="AH105" s="80"/>
      <c r="AI105" s="292" t="s">
        <v>171</v>
      </c>
      <c r="AJ105" s="292" t="s">
        <v>171</v>
      </c>
      <c r="AK105" s="292" t="s">
        <v>171</v>
      </c>
      <c r="AL105" s="451" t="s">
        <v>283</v>
      </c>
      <c r="AM105" s="80"/>
      <c r="AN105" s="451" t="s">
        <v>295</v>
      </c>
      <c r="AO105" s="451" t="s">
        <v>283</v>
      </c>
      <c r="AP105" s="451" t="s">
        <v>314</v>
      </c>
      <c r="AQ105" s="451" t="s">
        <v>320</v>
      </c>
      <c r="AR105" s="80"/>
      <c r="AS105" s="292" t="s">
        <v>314</v>
      </c>
      <c r="AT105" s="292" t="s">
        <v>337</v>
      </c>
      <c r="AU105" s="292" t="s">
        <v>337</v>
      </c>
      <c r="AV105" s="292" t="s">
        <v>320</v>
      </c>
      <c r="AW105" s="80"/>
      <c r="AX105" s="505" t="s">
        <v>336</v>
      </c>
      <c r="AY105" s="505" t="s">
        <v>282</v>
      </c>
      <c r="AZ105" s="505" t="s">
        <v>275</v>
      </c>
      <c r="BA105" s="88"/>
      <c r="BB105" s="80"/>
      <c r="BC105" s="87"/>
      <c r="BD105" s="88"/>
      <c r="BE105" s="88"/>
      <c r="BF105" s="88"/>
      <c r="BG105" s="80"/>
      <c r="BH105" s="87"/>
      <c r="BI105" s="88"/>
      <c r="BJ105" s="88"/>
      <c r="BK105" s="88"/>
      <c r="BL105" s="80"/>
      <c r="BM105" s="87"/>
      <c r="BN105" s="88"/>
      <c r="BO105" s="88"/>
      <c r="BP105" s="88"/>
      <c r="BQ105" s="80"/>
      <c r="BR105" s="87"/>
      <c r="BS105" s="88"/>
      <c r="BT105" s="88"/>
      <c r="BU105" s="88"/>
      <c r="BV105" s="80"/>
      <c r="BW105" s="87"/>
      <c r="BX105" s="88"/>
      <c r="BY105" s="88"/>
      <c r="BZ105" s="88"/>
      <c r="CA105" s="80"/>
    </row>
    <row r="106" spans="1:79" ht="12.75" hidden="1" customHeight="1" outlineLevel="1" x14ac:dyDescent="0.35">
      <c r="B106" s="104" t="s">
        <v>186</v>
      </c>
      <c r="C106" s="95"/>
      <c r="D106" s="84"/>
      <c r="E106" s="84"/>
      <c r="F106" s="84"/>
      <c r="G106" s="84"/>
      <c r="H106" s="84"/>
      <c r="I106" s="80"/>
      <c r="J106" s="329"/>
      <c r="K106" s="329"/>
      <c r="L106" s="329"/>
      <c r="M106" s="329"/>
      <c r="N106" s="80"/>
      <c r="O106" s="329"/>
      <c r="P106" s="329"/>
      <c r="Q106" s="329"/>
      <c r="R106" s="329"/>
      <c r="S106" s="80"/>
      <c r="T106" s="87"/>
      <c r="U106" s="87"/>
      <c r="V106" s="87"/>
      <c r="W106" s="134"/>
      <c r="X106" s="80"/>
      <c r="Y106" s="134"/>
      <c r="Z106" s="134"/>
      <c r="AA106" s="134"/>
      <c r="AB106" s="134"/>
      <c r="AC106" s="80"/>
      <c r="AD106" s="135"/>
      <c r="AE106" s="135"/>
      <c r="AF106" s="135"/>
      <c r="AG106" s="292" t="s">
        <v>170</v>
      </c>
      <c r="AH106" s="80"/>
      <c r="AI106" s="292" t="s">
        <v>183</v>
      </c>
      <c r="AJ106" s="292" t="s">
        <v>183</v>
      </c>
      <c r="AK106" s="292" t="s">
        <v>183</v>
      </c>
      <c r="AL106" s="292" t="s">
        <v>177</v>
      </c>
      <c r="AM106" s="80"/>
      <c r="AN106" s="463" t="s">
        <v>294</v>
      </c>
      <c r="AO106" s="465" t="s">
        <v>307</v>
      </c>
      <c r="AP106" s="465" t="s">
        <v>315</v>
      </c>
      <c r="AQ106" s="465" t="s">
        <v>328</v>
      </c>
      <c r="AR106" s="80"/>
      <c r="AS106" s="465" t="s">
        <v>328</v>
      </c>
      <c r="AT106" s="465" t="s">
        <v>328</v>
      </c>
      <c r="AU106" s="465" t="s">
        <v>346</v>
      </c>
      <c r="AV106" s="465" t="s">
        <v>386</v>
      </c>
      <c r="AW106" s="80"/>
      <c r="AX106" s="564" t="s">
        <v>341</v>
      </c>
      <c r="AY106" s="564" t="s">
        <v>341</v>
      </c>
      <c r="AZ106" s="564" t="s">
        <v>328</v>
      </c>
      <c r="BA106" s="88"/>
      <c r="BB106" s="80"/>
      <c r="BC106" s="87"/>
      <c r="BD106" s="88"/>
      <c r="BE106" s="88"/>
      <c r="BF106" s="88"/>
      <c r="BG106" s="80"/>
      <c r="BH106" s="87"/>
      <c r="BI106" s="88"/>
      <c r="BJ106" s="88"/>
      <c r="BK106" s="88"/>
      <c r="BL106" s="80"/>
      <c r="BM106" s="87"/>
      <c r="BN106" s="88"/>
      <c r="BO106" s="88"/>
      <c r="BP106" s="88"/>
      <c r="BQ106" s="80"/>
      <c r="BR106" s="87"/>
      <c r="BS106" s="88"/>
      <c r="BT106" s="88"/>
      <c r="BU106" s="88"/>
      <c r="BV106" s="80"/>
      <c r="BW106" s="87"/>
      <c r="BX106" s="88"/>
      <c r="BY106" s="88"/>
      <c r="BZ106" s="88"/>
      <c r="CA106" s="80"/>
    </row>
    <row r="107" spans="1:79" ht="12.75" hidden="1" customHeight="1" outlineLevel="1" x14ac:dyDescent="0.35">
      <c r="B107" s="104" t="s">
        <v>32</v>
      </c>
      <c r="C107" s="95"/>
      <c r="D107" s="84"/>
      <c r="E107" s="84"/>
      <c r="F107" s="84"/>
      <c r="G107" s="84"/>
      <c r="H107" s="84"/>
      <c r="I107" s="80"/>
      <c r="J107" s="329"/>
      <c r="K107" s="329"/>
      <c r="L107" s="329"/>
      <c r="M107" s="329"/>
      <c r="N107" s="80"/>
      <c r="O107" s="329"/>
      <c r="P107" s="329"/>
      <c r="Q107" s="329"/>
      <c r="R107" s="329"/>
      <c r="S107" s="80"/>
      <c r="T107" s="87"/>
      <c r="U107" s="87"/>
      <c r="V107" s="87"/>
      <c r="W107" s="134"/>
      <c r="X107" s="80"/>
      <c r="Y107" s="134"/>
      <c r="Z107" s="134"/>
      <c r="AA107" s="134"/>
      <c r="AB107" s="134"/>
      <c r="AC107" s="80"/>
      <c r="AD107" s="135"/>
      <c r="AE107" s="135"/>
      <c r="AF107" s="135"/>
      <c r="AG107" s="292" t="s">
        <v>173</v>
      </c>
      <c r="AH107" s="80"/>
      <c r="AI107" s="292" t="s">
        <v>173</v>
      </c>
      <c r="AJ107" s="292" t="s">
        <v>270</v>
      </c>
      <c r="AK107" s="292" t="s">
        <v>270</v>
      </c>
      <c r="AL107" s="451" t="s">
        <v>284</v>
      </c>
      <c r="AM107" s="80"/>
      <c r="AN107" s="451" t="s">
        <v>284</v>
      </c>
      <c r="AO107" s="292" t="s">
        <v>284</v>
      </c>
      <c r="AP107" s="292" t="s">
        <v>284</v>
      </c>
      <c r="AQ107" s="292" t="s">
        <v>321</v>
      </c>
      <c r="AR107" s="80"/>
      <c r="AS107" s="292" t="s">
        <v>330</v>
      </c>
      <c r="AT107" s="292" t="s">
        <v>330</v>
      </c>
      <c r="AU107" s="292" t="s">
        <v>330</v>
      </c>
      <c r="AV107" s="292" t="s">
        <v>387</v>
      </c>
      <c r="AW107" s="80"/>
      <c r="AX107" s="505" t="s">
        <v>387</v>
      </c>
      <c r="AY107" s="505" t="s">
        <v>445</v>
      </c>
      <c r="AZ107" s="505" t="s">
        <v>445</v>
      </c>
      <c r="BA107" s="88"/>
      <c r="BB107" s="80"/>
      <c r="BC107" s="87"/>
      <c r="BD107" s="88"/>
      <c r="BE107" s="88"/>
      <c r="BF107" s="88"/>
      <c r="BG107" s="80"/>
      <c r="BH107" s="87"/>
      <c r="BI107" s="88"/>
      <c r="BJ107" s="88"/>
      <c r="BK107" s="88"/>
      <c r="BL107" s="80"/>
      <c r="BM107" s="87"/>
      <c r="BN107" s="88"/>
      <c r="BO107" s="88"/>
      <c r="BP107" s="88"/>
      <c r="BQ107" s="80"/>
      <c r="BR107" s="87"/>
      <c r="BS107" s="88"/>
      <c r="BT107" s="88"/>
      <c r="BU107" s="88"/>
      <c r="BV107" s="80"/>
      <c r="BW107" s="87"/>
      <c r="BX107" s="88"/>
      <c r="BY107" s="88"/>
      <c r="BZ107" s="88"/>
      <c r="CA107" s="80"/>
    </row>
    <row r="108" spans="1:79" ht="12.75" hidden="1" customHeight="1" outlineLevel="1" x14ac:dyDescent="0.35">
      <c r="B108" s="104" t="s">
        <v>148</v>
      </c>
      <c r="C108" s="95"/>
      <c r="D108" s="84"/>
      <c r="E108" s="84"/>
      <c r="F108" s="84"/>
      <c r="G108" s="84"/>
      <c r="H108" s="84"/>
      <c r="I108" s="80"/>
      <c r="J108" s="329"/>
      <c r="K108" s="329"/>
      <c r="L108" s="329"/>
      <c r="M108" s="329"/>
      <c r="N108" s="80"/>
      <c r="O108" s="329"/>
      <c r="P108" s="329"/>
      <c r="Q108" s="329"/>
      <c r="R108" s="329"/>
      <c r="S108" s="80"/>
      <c r="T108" s="87"/>
      <c r="U108" s="87"/>
      <c r="V108" s="87"/>
      <c r="W108" s="134"/>
      <c r="X108" s="80"/>
      <c r="Y108" s="134"/>
      <c r="Z108" s="134"/>
      <c r="AA108" s="134"/>
      <c r="AB108" s="134"/>
      <c r="AC108" s="80"/>
      <c r="AD108" s="135"/>
      <c r="AE108" s="135"/>
      <c r="AF108" s="135"/>
      <c r="AG108" s="292" t="s">
        <v>174</v>
      </c>
      <c r="AH108" s="80"/>
      <c r="AI108" s="292" t="s">
        <v>174</v>
      </c>
      <c r="AJ108" s="292" t="s">
        <v>174</v>
      </c>
      <c r="AK108" s="292" t="s">
        <v>276</v>
      </c>
      <c r="AL108" s="292" t="s">
        <v>285</v>
      </c>
      <c r="AM108" s="80"/>
      <c r="AN108" s="292" t="s">
        <v>297</v>
      </c>
      <c r="AO108" s="292" t="s">
        <v>297</v>
      </c>
      <c r="AP108" s="292" t="s">
        <v>297</v>
      </c>
      <c r="AQ108" s="292" t="s">
        <v>322</v>
      </c>
      <c r="AR108" s="80"/>
      <c r="AS108" s="292" t="s">
        <v>322</v>
      </c>
      <c r="AT108" s="292" t="s">
        <v>322</v>
      </c>
      <c r="AU108" s="292" t="s">
        <v>347</v>
      </c>
      <c r="AV108" s="292" t="s">
        <v>388</v>
      </c>
      <c r="AW108" s="80"/>
      <c r="AX108" s="505" t="s">
        <v>388</v>
      </c>
      <c r="AY108" s="505" t="s">
        <v>388</v>
      </c>
      <c r="AZ108" s="505" t="s">
        <v>388</v>
      </c>
      <c r="BA108" s="532"/>
      <c r="BB108" s="80"/>
      <c r="BC108" s="87"/>
      <c r="BD108" s="88"/>
      <c r="BE108" s="88"/>
      <c r="BF108" s="88"/>
      <c r="BG108" s="80"/>
      <c r="BH108" s="87"/>
      <c r="BI108" s="88"/>
      <c r="BJ108" s="88"/>
      <c r="BK108" s="88"/>
      <c r="BL108" s="80"/>
      <c r="BM108" s="87"/>
      <c r="BN108" s="88"/>
      <c r="BO108" s="88"/>
      <c r="BP108" s="88"/>
      <c r="BQ108" s="80"/>
      <c r="BR108" s="87"/>
      <c r="BS108" s="88"/>
      <c r="BT108" s="88"/>
      <c r="BU108" s="88"/>
      <c r="BV108" s="80"/>
      <c r="BW108" s="87"/>
      <c r="BX108" s="88"/>
      <c r="BY108" s="88"/>
      <c r="BZ108" s="88"/>
      <c r="CA108" s="80"/>
    </row>
    <row r="109" spans="1:79" ht="12.75" hidden="1" customHeight="1" outlineLevel="1" x14ac:dyDescent="0.35">
      <c r="B109" s="104" t="s">
        <v>50</v>
      </c>
      <c r="C109" s="95"/>
      <c r="D109" s="84"/>
      <c r="E109" s="84"/>
      <c r="F109" s="84"/>
      <c r="G109" s="84"/>
      <c r="H109" s="84"/>
      <c r="I109" s="80"/>
      <c r="J109" s="329"/>
      <c r="K109" s="329"/>
      <c r="L109" s="329"/>
      <c r="M109" s="329"/>
      <c r="N109" s="80"/>
      <c r="O109" s="329"/>
      <c r="P109" s="329"/>
      <c r="Q109" s="329"/>
      <c r="R109" s="329"/>
      <c r="S109" s="80"/>
      <c r="T109" s="87"/>
      <c r="U109" s="87"/>
      <c r="V109" s="87"/>
      <c r="W109" s="134"/>
      <c r="X109" s="80"/>
      <c r="Y109" s="134"/>
      <c r="Z109" s="134"/>
      <c r="AA109" s="134"/>
      <c r="AB109" s="134"/>
      <c r="AC109" s="80"/>
      <c r="AD109" s="135"/>
      <c r="AE109" s="135"/>
      <c r="AF109" s="135"/>
      <c r="AG109" s="292" t="s">
        <v>175</v>
      </c>
      <c r="AH109" s="80"/>
      <c r="AI109" s="292" t="s">
        <v>175</v>
      </c>
      <c r="AJ109" s="292" t="s">
        <v>271</v>
      </c>
      <c r="AK109" s="292" t="s">
        <v>277</v>
      </c>
      <c r="AL109" s="292" t="s">
        <v>286</v>
      </c>
      <c r="AM109" s="80"/>
      <c r="AN109" s="292" t="s">
        <v>298</v>
      </c>
      <c r="AO109" s="292" t="s">
        <v>308</v>
      </c>
      <c r="AP109" s="292" t="s">
        <v>316</v>
      </c>
      <c r="AQ109" s="292" t="s">
        <v>323</v>
      </c>
      <c r="AR109" s="80"/>
      <c r="AS109" s="292" t="s">
        <v>331</v>
      </c>
      <c r="AT109" s="292" t="s">
        <v>338</v>
      </c>
      <c r="AU109" s="292" t="s">
        <v>348</v>
      </c>
      <c r="AV109" s="292" t="s">
        <v>389</v>
      </c>
      <c r="AW109" s="80"/>
      <c r="AX109" s="505" t="s">
        <v>421</v>
      </c>
      <c r="AY109" s="505" t="s">
        <v>446</v>
      </c>
      <c r="AZ109" s="505" t="s">
        <v>458</v>
      </c>
      <c r="BA109" s="88"/>
      <c r="BB109" s="80"/>
      <c r="BC109" s="87"/>
      <c r="BD109" s="88"/>
      <c r="BE109" s="88"/>
      <c r="BF109" s="88"/>
      <c r="BG109" s="80"/>
      <c r="BH109" s="87"/>
      <c r="BI109" s="88"/>
      <c r="BJ109" s="88"/>
      <c r="BK109" s="88"/>
      <c r="BL109" s="80"/>
      <c r="BM109" s="87"/>
      <c r="BN109" s="88"/>
      <c r="BO109" s="88"/>
      <c r="BP109" s="88"/>
      <c r="BQ109" s="80"/>
      <c r="BR109" s="87"/>
      <c r="BS109" s="88"/>
      <c r="BT109" s="88"/>
      <c r="BU109" s="88"/>
      <c r="BV109" s="80"/>
      <c r="BW109" s="87"/>
      <c r="BX109" s="88"/>
      <c r="BY109" s="88"/>
      <c r="BZ109" s="88"/>
      <c r="CA109" s="80"/>
    </row>
    <row r="110" spans="1:79" ht="12.75" hidden="1" customHeight="1" outlineLevel="1" x14ac:dyDescent="0.35">
      <c r="B110" s="104" t="s">
        <v>149</v>
      </c>
      <c r="C110" s="95"/>
      <c r="D110" s="84"/>
      <c r="E110" s="84"/>
      <c r="F110" s="84"/>
      <c r="G110" s="84"/>
      <c r="H110" s="84"/>
      <c r="I110" s="80"/>
      <c r="J110" s="329"/>
      <c r="K110" s="329"/>
      <c r="L110" s="329"/>
      <c r="M110" s="329"/>
      <c r="N110" s="80"/>
      <c r="O110" s="329"/>
      <c r="P110" s="329"/>
      <c r="Q110" s="329"/>
      <c r="R110" s="329"/>
      <c r="S110" s="80"/>
      <c r="T110" s="87"/>
      <c r="U110" s="87"/>
      <c r="V110" s="87"/>
      <c r="W110" s="134"/>
      <c r="X110" s="80"/>
      <c r="Y110" s="134"/>
      <c r="Z110" s="134"/>
      <c r="AA110" s="134"/>
      <c r="AB110" s="134"/>
      <c r="AC110" s="80"/>
      <c r="AD110" s="135"/>
      <c r="AE110" s="135"/>
      <c r="AF110" s="135"/>
      <c r="AG110" s="292" t="s">
        <v>176</v>
      </c>
      <c r="AH110" s="80"/>
      <c r="AI110" s="292" t="s">
        <v>176</v>
      </c>
      <c r="AJ110" s="292" t="s">
        <v>272</v>
      </c>
      <c r="AK110" s="292" t="s">
        <v>278</v>
      </c>
      <c r="AL110" s="292" t="s">
        <v>287</v>
      </c>
      <c r="AM110" s="80"/>
      <c r="AN110" s="292" t="s">
        <v>299</v>
      </c>
      <c r="AO110" s="292" t="s">
        <v>309</v>
      </c>
      <c r="AP110" s="292" t="s">
        <v>317</v>
      </c>
      <c r="AQ110" s="292" t="s">
        <v>324</v>
      </c>
      <c r="AR110" s="80"/>
      <c r="AS110" s="292" t="s">
        <v>332</v>
      </c>
      <c r="AT110" s="292" t="s">
        <v>339</v>
      </c>
      <c r="AU110" s="292" t="s">
        <v>349</v>
      </c>
      <c r="AV110" s="292" t="s">
        <v>390</v>
      </c>
      <c r="AW110" s="80"/>
      <c r="AX110" s="505" t="s">
        <v>422</v>
      </c>
      <c r="AY110" s="505" t="s">
        <v>439</v>
      </c>
      <c r="AZ110" s="505" t="s">
        <v>459</v>
      </c>
      <c r="BA110" s="532"/>
      <c r="BB110" s="80"/>
      <c r="BC110" s="87"/>
      <c r="BD110" s="88"/>
      <c r="BE110" s="88"/>
      <c r="BF110" s="88"/>
      <c r="BG110" s="80"/>
      <c r="BH110" s="87"/>
      <c r="BI110" s="88"/>
      <c r="BJ110" s="88"/>
      <c r="BK110" s="88"/>
      <c r="BL110" s="80"/>
      <c r="BM110" s="87"/>
      <c r="BN110" s="88"/>
      <c r="BO110" s="88"/>
      <c r="BP110" s="88"/>
      <c r="BQ110" s="80"/>
      <c r="BR110" s="87"/>
      <c r="BS110" s="88"/>
      <c r="BT110" s="88"/>
      <c r="BU110" s="88"/>
      <c r="BV110" s="80"/>
      <c r="BW110" s="87"/>
      <c r="BX110" s="88"/>
      <c r="BY110" s="88"/>
      <c r="BZ110" s="88"/>
      <c r="CA110" s="80"/>
    </row>
    <row r="111" spans="1:79" ht="12.75" hidden="1" customHeight="1" outlineLevel="1" x14ac:dyDescent="0.35">
      <c r="B111" s="104" t="s">
        <v>36</v>
      </c>
      <c r="C111" s="95"/>
      <c r="D111" s="84"/>
      <c r="E111" s="84"/>
      <c r="F111" s="84"/>
      <c r="G111" s="84"/>
      <c r="H111" s="84"/>
      <c r="I111" s="80"/>
      <c r="J111" s="329"/>
      <c r="K111" s="329"/>
      <c r="L111" s="329"/>
      <c r="M111" s="329"/>
      <c r="N111" s="80"/>
      <c r="O111" s="329"/>
      <c r="P111" s="329"/>
      <c r="Q111" s="329"/>
      <c r="R111" s="329"/>
      <c r="S111" s="80"/>
      <c r="T111" s="87"/>
      <c r="U111" s="87"/>
      <c r="V111" s="87"/>
      <c r="W111" s="134"/>
      <c r="X111" s="80"/>
      <c r="Y111" s="134"/>
      <c r="Z111" s="134"/>
      <c r="AA111" s="134"/>
      <c r="AB111" s="134"/>
      <c r="AC111" s="80"/>
      <c r="AD111" s="135"/>
      <c r="AE111" s="135"/>
      <c r="AF111" s="135"/>
      <c r="AG111" s="292" t="s">
        <v>172</v>
      </c>
      <c r="AH111" s="80"/>
      <c r="AI111" s="292" t="s">
        <v>172</v>
      </c>
      <c r="AJ111" s="292" t="s">
        <v>172</v>
      </c>
      <c r="AK111" s="292" t="s">
        <v>172</v>
      </c>
      <c r="AL111" s="292" t="s">
        <v>288</v>
      </c>
      <c r="AM111" s="80"/>
      <c r="AN111" s="292" t="s">
        <v>300</v>
      </c>
      <c r="AO111" s="292" t="s">
        <v>310</v>
      </c>
      <c r="AP111" s="292" t="s">
        <v>310</v>
      </c>
      <c r="AQ111" s="292" t="s">
        <v>325</v>
      </c>
      <c r="AR111" s="80"/>
      <c r="AS111" s="292" t="s">
        <v>333</v>
      </c>
      <c r="AT111" s="292" t="s">
        <v>340</v>
      </c>
      <c r="AU111" s="292" t="s">
        <v>340</v>
      </c>
      <c r="AV111" s="292" t="s">
        <v>391</v>
      </c>
      <c r="AW111" s="80"/>
      <c r="AX111" s="505" t="s">
        <v>447</v>
      </c>
      <c r="AY111" s="505" t="s">
        <v>448</v>
      </c>
      <c r="AZ111" s="505" t="s">
        <v>460</v>
      </c>
      <c r="BA111" s="532"/>
      <c r="BB111" s="80"/>
      <c r="BC111" s="87"/>
      <c r="BD111" s="88"/>
      <c r="BE111" s="88"/>
      <c r="BF111" s="88"/>
      <c r="BG111" s="80"/>
      <c r="BH111" s="87"/>
      <c r="BI111" s="88"/>
      <c r="BJ111" s="88"/>
      <c r="BK111" s="88"/>
      <c r="BL111" s="80"/>
      <c r="BM111" s="87"/>
      <c r="BN111" s="88"/>
      <c r="BO111" s="88"/>
      <c r="BP111" s="88"/>
      <c r="BQ111" s="80"/>
      <c r="BR111" s="87"/>
      <c r="BS111" s="88"/>
      <c r="BT111" s="88"/>
      <c r="BU111" s="88"/>
      <c r="BV111" s="80"/>
      <c r="BW111" s="87"/>
      <c r="BX111" s="88"/>
      <c r="BY111" s="88"/>
      <c r="BZ111" s="88"/>
      <c r="CA111" s="80"/>
    </row>
    <row r="112" spans="1:79" ht="12.75" hidden="1" customHeight="1" outlineLevel="1" x14ac:dyDescent="0.35">
      <c r="B112" s="104" t="s">
        <v>350</v>
      </c>
      <c r="C112" s="95"/>
      <c r="D112" s="84"/>
      <c r="E112" s="84"/>
      <c r="F112" s="84"/>
      <c r="G112" s="84"/>
      <c r="H112" s="84"/>
      <c r="I112" s="80"/>
      <c r="J112" s="329"/>
      <c r="K112" s="329"/>
      <c r="L112" s="329"/>
      <c r="M112" s="329"/>
      <c r="N112" s="80"/>
      <c r="O112" s="329"/>
      <c r="P112" s="329"/>
      <c r="Q112" s="329"/>
      <c r="R112" s="329"/>
      <c r="S112" s="80"/>
      <c r="T112" s="87"/>
      <c r="U112" s="87"/>
      <c r="V112" s="87"/>
      <c r="W112" s="134"/>
      <c r="X112" s="80"/>
      <c r="Y112" s="134"/>
      <c r="Z112" s="134"/>
      <c r="AA112" s="134"/>
      <c r="AB112" s="134"/>
      <c r="AC112" s="80"/>
      <c r="AD112" s="135"/>
      <c r="AE112" s="135"/>
      <c r="AF112" s="135"/>
      <c r="AG112" s="292"/>
      <c r="AH112" s="80"/>
      <c r="AI112" s="292"/>
      <c r="AJ112" s="292"/>
      <c r="AK112" s="292"/>
      <c r="AL112" s="292"/>
      <c r="AM112" s="80"/>
      <c r="AN112" s="292"/>
      <c r="AO112" s="292"/>
      <c r="AP112" s="292"/>
      <c r="AQ112" s="292"/>
      <c r="AR112" s="80"/>
      <c r="AS112" s="292"/>
      <c r="AT112" s="292"/>
      <c r="AU112" s="292" t="s">
        <v>351</v>
      </c>
      <c r="AV112" s="292" t="s">
        <v>392</v>
      </c>
      <c r="AW112" s="80"/>
      <c r="AX112" s="505" t="s">
        <v>392</v>
      </c>
      <c r="AY112" s="505" t="s">
        <v>449</v>
      </c>
      <c r="AZ112" s="505" t="s">
        <v>449</v>
      </c>
      <c r="BA112" s="88"/>
      <c r="BB112" s="80"/>
      <c r="BC112" s="87"/>
      <c r="BD112" s="88"/>
      <c r="BE112" s="88"/>
      <c r="BF112" s="88"/>
      <c r="BG112" s="80"/>
      <c r="BH112" s="87"/>
      <c r="BI112" s="88"/>
      <c r="BJ112" s="88"/>
      <c r="BK112" s="88"/>
      <c r="BL112" s="80"/>
      <c r="BM112" s="87"/>
      <c r="BN112" s="88"/>
      <c r="BO112" s="88"/>
      <c r="BP112" s="88"/>
      <c r="BQ112" s="80"/>
      <c r="BR112" s="87"/>
      <c r="BS112" s="88"/>
      <c r="BT112" s="88"/>
      <c r="BU112" s="88"/>
      <c r="BV112" s="80"/>
      <c r="BW112" s="87"/>
      <c r="BX112" s="88"/>
      <c r="BY112" s="88"/>
      <c r="BZ112" s="88"/>
      <c r="CA112" s="80"/>
    </row>
    <row r="113" spans="2:79" ht="12.75" hidden="1" customHeight="1" outlineLevel="1" x14ac:dyDescent="0.35">
      <c r="B113" s="104"/>
      <c r="C113" s="95"/>
      <c r="D113" s="84"/>
      <c r="E113" s="84"/>
      <c r="F113" s="84"/>
      <c r="G113" s="84"/>
      <c r="H113" s="84"/>
      <c r="I113" s="80"/>
      <c r="J113" s="329"/>
      <c r="K113" s="329"/>
      <c r="L113" s="329"/>
      <c r="M113" s="329"/>
      <c r="N113" s="80"/>
      <c r="O113" s="329"/>
      <c r="P113" s="329"/>
      <c r="Q113" s="329"/>
      <c r="R113" s="329"/>
      <c r="S113" s="80"/>
      <c r="T113" s="87"/>
      <c r="U113" s="87"/>
      <c r="V113" s="87"/>
      <c r="W113" s="134"/>
      <c r="X113" s="80"/>
      <c r="Y113" s="134"/>
      <c r="Z113" s="134"/>
      <c r="AA113" s="134"/>
      <c r="AB113" s="134"/>
      <c r="AC113" s="80"/>
      <c r="AD113" s="135"/>
      <c r="AE113" s="135"/>
      <c r="AF113" s="135"/>
      <c r="AG113" s="135"/>
      <c r="AH113" s="80"/>
      <c r="AI113" s="135"/>
      <c r="AJ113" s="446"/>
      <c r="AK113" s="446"/>
      <c r="AL113" s="444"/>
      <c r="AM113" s="80"/>
      <c r="AN113" s="87"/>
      <c r="AO113" s="87"/>
      <c r="AP113" s="88"/>
      <c r="AQ113" s="88"/>
      <c r="AR113" s="80"/>
      <c r="AS113" s="87"/>
      <c r="AT113" s="87"/>
      <c r="AU113" s="88"/>
      <c r="AV113" s="88"/>
      <c r="AW113" s="80"/>
      <c r="AX113" s="565"/>
      <c r="AY113" s="565"/>
      <c r="AZ113" s="88"/>
      <c r="BA113" s="88"/>
      <c r="BB113" s="80"/>
      <c r="BC113" s="87"/>
      <c r="BD113" s="88"/>
      <c r="BE113" s="88"/>
      <c r="BF113" s="88"/>
      <c r="BG113" s="80"/>
      <c r="BH113" s="87"/>
      <c r="BI113" s="88"/>
      <c r="BJ113" s="88"/>
      <c r="BK113" s="88"/>
      <c r="BL113" s="80"/>
      <c r="BM113" s="87"/>
      <c r="BN113" s="88"/>
      <c r="BO113" s="88"/>
      <c r="BP113" s="88"/>
      <c r="BQ113" s="80"/>
      <c r="BR113" s="87"/>
      <c r="BS113" s="88"/>
      <c r="BT113" s="88"/>
      <c r="BU113" s="88"/>
      <c r="BV113" s="80"/>
      <c r="BW113" s="87"/>
      <c r="BX113" s="88"/>
      <c r="BY113" s="88"/>
      <c r="BZ113" s="88"/>
      <c r="CA113" s="80"/>
    </row>
    <row r="114" spans="2:79" ht="12.75" hidden="1" customHeight="1" outlineLevel="1" x14ac:dyDescent="0.35">
      <c r="B114" s="143" t="s">
        <v>150</v>
      </c>
      <c r="C114" s="95"/>
      <c r="D114" s="84"/>
      <c r="E114" s="84"/>
      <c r="F114" s="84"/>
      <c r="G114" s="84"/>
      <c r="H114" s="84"/>
      <c r="I114" s="80"/>
      <c r="J114" s="329"/>
      <c r="K114" s="329"/>
      <c r="L114" s="329"/>
      <c r="M114" s="329"/>
      <c r="N114" s="80"/>
      <c r="O114" s="329"/>
      <c r="P114" s="329"/>
      <c r="Q114" s="329"/>
      <c r="R114" s="329"/>
      <c r="S114" s="80"/>
      <c r="T114" s="87"/>
      <c r="U114" s="87"/>
      <c r="V114" s="87"/>
      <c r="W114" s="134"/>
      <c r="X114" s="80"/>
      <c r="Y114" s="134"/>
      <c r="Z114" s="134"/>
      <c r="AA114" s="134"/>
      <c r="AB114" s="134"/>
      <c r="AC114" s="80"/>
      <c r="AD114" s="134"/>
      <c r="AE114" s="87"/>
      <c r="AF114" s="134"/>
      <c r="AG114" s="87"/>
      <c r="AH114" s="80"/>
      <c r="AI114" s="87"/>
      <c r="AJ114" s="443"/>
      <c r="AK114" s="87"/>
      <c r="AL114" s="444"/>
      <c r="AM114" s="80"/>
      <c r="AN114" s="444"/>
      <c r="AO114" s="444"/>
      <c r="AP114" s="88"/>
      <c r="AQ114" s="88"/>
      <c r="AR114" s="80"/>
      <c r="AS114" s="444"/>
      <c r="AT114" s="444"/>
      <c r="AU114" s="88"/>
      <c r="AV114" s="88"/>
      <c r="AW114" s="80"/>
      <c r="AX114" s="565"/>
      <c r="AY114" s="565"/>
      <c r="AZ114" s="88"/>
      <c r="BA114" s="88"/>
      <c r="BB114" s="80"/>
      <c r="BC114" s="87"/>
      <c r="BD114" s="88"/>
      <c r="BE114" s="88"/>
      <c r="BF114" s="88"/>
      <c r="BG114" s="80"/>
      <c r="BH114" s="87"/>
      <c r="BI114" s="88"/>
      <c r="BJ114" s="88"/>
      <c r="BK114" s="88"/>
      <c r="BL114" s="80"/>
      <c r="BM114" s="87"/>
      <c r="BN114" s="88"/>
      <c r="BO114" s="88"/>
      <c r="BP114" s="88"/>
      <c r="BQ114" s="80"/>
      <c r="BR114" s="87"/>
      <c r="BS114" s="88"/>
      <c r="BT114" s="88"/>
      <c r="BU114" s="88"/>
      <c r="BV114" s="80"/>
      <c r="BW114" s="87"/>
      <c r="BX114" s="88"/>
      <c r="BY114" s="88"/>
      <c r="BZ114" s="88"/>
      <c r="CA114" s="80"/>
    </row>
    <row r="115" spans="2:79" ht="12.75" hidden="1" customHeight="1" outlineLevel="1" x14ac:dyDescent="0.35">
      <c r="B115" s="136" t="s">
        <v>151</v>
      </c>
      <c r="C115" s="137"/>
      <c r="D115" s="138"/>
      <c r="E115" s="138"/>
      <c r="F115" s="138"/>
      <c r="G115" s="138"/>
      <c r="H115" s="138"/>
      <c r="I115" s="409"/>
      <c r="J115" s="410"/>
      <c r="K115" s="410"/>
      <c r="L115" s="410"/>
      <c r="M115" s="410"/>
      <c r="N115" s="409"/>
      <c r="O115" s="410"/>
      <c r="P115" s="410"/>
      <c r="Q115" s="410"/>
      <c r="R115" s="410"/>
      <c r="S115" s="409"/>
      <c r="T115" s="139"/>
      <c r="U115" s="139"/>
      <c r="V115" s="139"/>
      <c r="W115" s="140"/>
      <c r="X115" s="409"/>
      <c r="Y115" s="140"/>
      <c r="Z115" s="140"/>
      <c r="AA115" s="140"/>
      <c r="AB115" s="140"/>
      <c r="AC115" s="409"/>
      <c r="AD115" s="141"/>
      <c r="AE115" s="141"/>
      <c r="AF115" s="141"/>
      <c r="AG115" s="291" t="s">
        <v>177</v>
      </c>
      <c r="AH115" s="409"/>
      <c r="AI115" s="291" t="s">
        <v>177</v>
      </c>
      <c r="AJ115" s="291" t="s">
        <v>177</v>
      </c>
      <c r="AK115" s="291" t="s">
        <v>170</v>
      </c>
      <c r="AL115" s="291" t="s">
        <v>177</v>
      </c>
      <c r="AM115" s="409"/>
      <c r="AN115" s="464" t="s">
        <v>301</v>
      </c>
      <c r="AO115" s="464" t="s">
        <v>177</v>
      </c>
      <c r="AP115" s="142"/>
      <c r="AQ115" s="291" t="s">
        <v>178</v>
      </c>
      <c r="AR115" s="409"/>
      <c r="AS115" s="291" t="s">
        <v>328</v>
      </c>
      <c r="AT115" s="291" t="s">
        <v>341</v>
      </c>
      <c r="AU115" s="291" t="s">
        <v>344</v>
      </c>
      <c r="AV115" s="291" t="s">
        <v>315</v>
      </c>
      <c r="AW115" s="409"/>
      <c r="AX115" s="512" t="s">
        <v>423</v>
      </c>
      <c r="AY115" s="512" t="s">
        <v>450</v>
      </c>
      <c r="AZ115" s="512" t="s">
        <v>461</v>
      </c>
      <c r="BA115" s="142"/>
      <c r="BB115" s="409"/>
      <c r="BC115" s="139"/>
      <c r="BD115" s="142"/>
      <c r="BE115" s="142"/>
      <c r="BF115" s="142"/>
      <c r="BG115" s="409"/>
      <c r="BH115" s="139"/>
      <c r="BI115" s="142"/>
      <c r="BJ115" s="142"/>
      <c r="BK115" s="142"/>
      <c r="BL115" s="409"/>
      <c r="BM115" s="139"/>
      <c r="BN115" s="142"/>
      <c r="BO115" s="142"/>
      <c r="BP115" s="142"/>
      <c r="BQ115" s="409"/>
      <c r="BR115" s="139"/>
      <c r="BS115" s="142"/>
      <c r="BT115" s="142"/>
      <c r="BU115" s="142"/>
      <c r="BV115" s="409"/>
      <c r="BW115" s="139"/>
      <c r="BX115" s="142"/>
      <c r="BY115" s="142"/>
      <c r="BZ115" s="142"/>
      <c r="CA115" s="409"/>
    </row>
    <row r="116" spans="2:79" ht="12.75" hidden="1" customHeight="1" outlineLevel="1" x14ac:dyDescent="0.35">
      <c r="B116" s="104" t="s">
        <v>152</v>
      </c>
      <c r="C116" s="95"/>
      <c r="D116" s="84"/>
      <c r="E116" s="84"/>
      <c r="F116" s="84"/>
      <c r="G116" s="84"/>
      <c r="H116" s="84"/>
      <c r="I116" s="80"/>
      <c r="J116" s="329"/>
      <c r="K116" s="329"/>
      <c r="L116" s="329"/>
      <c r="M116" s="329"/>
      <c r="N116" s="80"/>
      <c r="O116" s="329"/>
      <c r="P116" s="329"/>
      <c r="Q116" s="329"/>
      <c r="R116" s="329"/>
      <c r="S116" s="80"/>
      <c r="T116" s="87"/>
      <c r="U116" s="87"/>
      <c r="V116" s="87"/>
      <c r="W116" s="134"/>
      <c r="X116" s="80"/>
      <c r="Y116" s="134"/>
      <c r="Z116" s="134"/>
      <c r="AA116" s="134"/>
      <c r="AB116" s="134"/>
      <c r="AC116" s="80"/>
      <c r="AD116" s="135"/>
      <c r="AE116" s="135"/>
      <c r="AF116" s="135"/>
      <c r="AG116" s="292" t="s">
        <v>177</v>
      </c>
      <c r="AH116" s="80"/>
      <c r="AI116" s="292" t="s">
        <v>177</v>
      </c>
      <c r="AJ116" s="292" t="s">
        <v>170</v>
      </c>
      <c r="AK116" s="292" t="s">
        <v>170</v>
      </c>
      <c r="AL116" s="87"/>
      <c r="AM116" s="80"/>
      <c r="AN116" s="87"/>
      <c r="AO116" s="87"/>
      <c r="AP116" s="88"/>
      <c r="AQ116" s="292"/>
      <c r="AR116" s="80"/>
      <c r="AS116" s="292"/>
      <c r="AT116" s="292"/>
      <c r="AU116" s="88"/>
      <c r="AV116" s="88"/>
      <c r="AW116" s="80"/>
      <c r="AX116" s="565"/>
      <c r="AY116" s="565"/>
      <c r="AZ116" s="88"/>
      <c r="BA116" s="88"/>
      <c r="BB116" s="80"/>
      <c r="BC116" s="87"/>
      <c r="BD116" s="88"/>
      <c r="BE116" s="88"/>
      <c r="BF116" s="88"/>
      <c r="BG116" s="80"/>
      <c r="BH116" s="87"/>
      <c r="BI116" s="88"/>
      <c r="BJ116" s="88"/>
      <c r="BK116" s="88"/>
      <c r="BL116" s="80"/>
      <c r="BM116" s="87"/>
      <c r="BN116" s="88"/>
      <c r="BO116" s="88"/>
      <c r="BP116" s="88"/>
      <c r="BQ116" s="80"/>
      <c r="BR116" s="87"/>
      <c r="BS116" s="88"/>
      <c r="BT116" s="88"/>
      <c r="BU116" s="88"/>
      <c r="BV116" s="80"/>
      <c r="BW116" s="87"/>
      <c r="BX116" s="88"/>
      <c r="BY116" s="88"/>
      <c r="BZ116" s="88"/>
      <c r="CA116" s="80"/>
    </row>
    <row r="117" spans="2:79" ht="12.75" hidden="1" customHeight="1" outlineLevel="1" x14ac:dyDescent="0.35">
      <c r="B117" s="104" t="s">
        <v>153</v>
      </c>
      <c r="C117" s="95"/>
      <c r="D117" s="84"/>
      <c r="E117" s="84"/>
      <c r="F117" s="84"/>
      <c r="G117" s="84"/>
      <c r="H117" s="84"/>
      <c r="I117" s="80"/>
      <c r="J117" s="329"/>
      <c r="K117" s="329"/>
      <c r="L117" s="329"/>
      <c r="M117" s="329"/>
      <c r="N117" s="80"/>
      <c r="O117" s="329"/>
      <c r="P117" s="329"/>
      <c r="Q117" s="329"/>
      <c r="R117" s="329"/>
      <c r="S117" s="80"/>
      <c r="T117" s="87"/>
      <c r="U117" s="87"/>
      <c r="V117" s="87"/>
      <c r="W117" s="134"/>
      <c r="X117" s="80"/>
      <c r="Y117" s="134"/>
      <c r="Z117" s="134"/>
      <c r="AA117" s="134"/>
      <c r="AB117" s="134"/>
      <c r="AC117" s="80"/>
      <c r="AD117" s="135"/>
      <c r="AE117" s="135"/>
      <c r="AF117" s="135"/>
      <c r="AG117" s="292" t="s">
        <v>178</v>
      </c>
      <c r="AH117" s="80"/>
      <c r="AI117" s="292" t="s">
        <v>178</v>
      </c>
      <c r="AJ117" s="292" t="s">
        <v>178</v>
      </c>
      <c r="AK117" s="292" t="s">
        <v>177</v>
      </c>
      <c r="AL117" s="87"/>
      <c r="AM117" s="80"/>
      <c r="AN117" s="87"/>
      <c r="AO117" s="87"/>
      <c r="AP117" s="88"/>
      <c r="AQ117" s="292"/>
      <c r="AR117" s="80"/>
      <c r="AS117" s="292"/>
      <c r="AT117" s="292"/>
      <c r="AU117" s="88"/>
      <c r="AV117" s="88"/>
      <c r="AW117" s="80"/>
      <c r="AX117" s="565"/>
      <c r="AY117" s="565"/>
      <c r="AZ117" s="88"/>
      <c r="BA117" s="88"/>
      <c r="BB117" s="80"/>
      <c r="BC117" s="87"/>
      <c r="BD117" s="88"/>
      <c r="BE117" s="88"/>
      <c r="BF117" s="88"/>
      <c r="BG117" s="80"/>
      <c r="BH117" s="87">
        <v>0</v>
      </c>
      <c r="BI117" s="88"/>
      <c r="BJ117" s="88"/>
      <c r="BK117" s="88"/>
      <c r="BL117" s="80"/>
      <c r="BM117" s="87">
        <v>0</v>
      </c>
      <c r="BN117" s="88"/>
      <c r="BO117" s="88"/>
      <c r="BP117" s="88"/>
      <c r="BQ117" s="80"/>
      <c r="BR117" s="87">
        <v>0</v>
      </c>
      <c r="BS117" s="88"/>
      <c r="BT117" s="88"/>
      <c r="BU117" s="88"/>
      <c r="BV117" s="80"/>
      <c r="BW117" s="87">
        <v>0</v>
      </c>
      <c r="BX117" s="88"/>
      <c r="BY117" s="88"/>
      <c r="BZ117" s="88"/>
      <c r="CA117" s="80"/>
    </row>
    <row r="118" spans="2:79" ht="12.75" hidden="1" customHeight="1" outlineLevel="1" x14ac:dyDescent="0.35">
      <c r="B118" s="104" t="s">
        <v>154</v>
      </c>
      <c r="C118" s="95"/>
      <c r="D118" s="84"/>
      <c r="E118" s="84"/>
      <c r="F118" s="84"/>
      <c r="G118" s="84"/>
      <c r="H118" s="84"/>
      <c r="I118" s="80"/>
      <c r="J118" s="329"/>
      <c r="K118" s="329"/>
      <c r="L118" s="329"/>
      <c r="M118" s="329"/>
      <c r="N118" s="80"/>
      <c r="O118" s="329"/>
      <c r="P118" s="329"/>
      <c r="Q118" s="329"/>
      <c r="R118" s="329"/>
      <c r="S118" s="80"/>
      <c r="T118" s="87"/>
      <c r="U118" s="87"/>
      <c r="V118" s="87"/>
      <c r="W118" s="134"/>
      <c r="X118" s="80"/>
      <c r="Y118" s="134"/>
      <c r="Z118" s="134"/>
      <c r="AA118" s="134"/>
      <c r="AB118" s="134"/>
      <c r="AC118" s="80"/>
      <c r="AD118" s="135"/>
      <c r="AE118" s="135"/>
      <c r="AF118" s="135"/>
      <c r="AG118" s="292" t="s">
        <v>179</v>
      </c>
      <c r="AH118" s="80"/>
      <c r="AI118" s="292" t="s">
        <v>179</v>
      </c>
      <c r="AJ118" s="292" t="s">
        <v>179</v>
      </c>
      <c r="AK118" s="292" t="s">
        <v>179</v>
      </c>
      <c r="AL118" s="451" t="s">
        <v>289</v>
      </c>
      <c r="AM118" s="80"/>
      <c r="AN118" s="451" t="s">
        <v>302</v>
      </c>
      <c r="AO118" s="451" t="s">
        <v>179</v>
      </c>
      <c r="AP118" s="88"/>
      <c r="AQ118" s="451" t="s">
        <v>326</v>
      </c>
      <c r="AR118" s="80"/>
      <c r="AS118" s="292" t="s">
        <v>334</v>
      </c>
      <c r="AT118" s="292" t="s">
        <v>334</v>
      </c>
      <c r="AU118" s="292" t="s">
        <v>352</v>
      </c>
      <c r="AV118" s="292" t="s">
        <v>352</v>
      </c>
      <c r="AW118" s="80"/>
      <c r="AX118" s="505" t="s">
        <v>424</v>
      </c>
      <c r="AY118" s="505" t="s">
        <v>440</v>
      </c>
      <c r="AZ118" s="505" t="s">
        <v>337</v>
      </c>
      <c r="BA118" s="88"/>
      <c r="BB118" s="80"/>
      <c r="BC118" s="87"/>
      <c r="BD118" s="88"/>
      <c r="BE118" s="88"/>
      <c r="BF118" s="88"/>
      <c r="BG118" s="80"/>
      <c r="BH118" s="87"/>
      <c r="BI118" s="88"/>
      <c r="BJ118" s="88"/>
      <c r="BK118" s="88"/>
      <c r="BL118" s="80"/>
      <c r="BM118" s="87"/>
      <c r="BN118" s="88"/>
      <c r="BO118" s="88"/>
      <c r="BP118" s="88"/>
      <c r="BQ118" s="80"/>
      <c r="BR118" s="87"/>
      <c r="BS118" s="88"/>
      <c r="BT118" s="88"/>
      <c r="BU118" s="88"/>
      <c r="BV118" s="80"/>
      <c r="BW118" s="87"/>
      <c r="BX118" s="88"/>
      <c r="BY118" s="88"/>
      <c r="BZ118" s="88"/>
      <c r="CA118" s="80"/>
    </row>
    <row r="119" spans="2:79" ht="12.75" hidden="1" customHeight="1" outlineLevel="1" x14ac:dyDescent="0.35">
      <c r="B119" s="104"/>
      <c r="C119" s="95"/>
      <c r="D119" s="84"/>
      <c r="E119" s="84"/>
      <c r="F119" s="84"/>
      <c r="G119" s="84"/>
      <c r="H119" s="84"/>
      <c r="I119" s="80"/>
      <c r="J119" s="329"/>
      <c r="K119" s="329"/>
      <c r="L119" s="329"/>
      <c r="M119" s="329"/>
      <c r="N119" s="80"/>
      <c r="O119" s="329"/>
      <c r="P119" s="329"/>
      <c r="Q119" s="329"/>
      <c r="R119" s="329"/>
      <c r="S119" s="80"/>
      <c r="T119" s="87"/>
      <c r="U119" s="87"/>
      <c r="V119" s="87"/>
      <c r="W119" s="134"/>
      <c r="X119" s="80"/>
      <c r="Y119" s="134"/>
      <c r="Z119" s="134"/>
      <c r="AA119" s="134"/>
      <c r="AB119" s="134"/>
      <c r="AC119" s="80"/>
      <c r="AD119" s="135"/>
      <c r="AE119" s="135"/>
      <c r="AF119" s="135"/>
      <c r="AG119" s="135"/>
      <c r="AH119" s="80"/>
      <c r="AI119" s="135"/>
      <c r="AJ119" s="87"/>
      <c r="AK119" s="87"/>
      <c r="AL119" s="87"/>
      <c r="AM119" s="80"/>
      <c r="AN119" s="87"/>
      <c r="AO119" s="87"/>
      <c r="AP119" s="88"/>
      <c r="AQ119" s="87"/>
      <c r="AR119" s="80"/>
      <c r="AS119" s="87"/>
      <c r="AT119" s="87"/>
      <c r="AU119" s="88"/>
      <c r="AV119" s="88"/>
      <c r="AW119" s="80"/>
      <c r="AX119" s="565"/>
      <c r="AY119" s="565"/>
      <c r="AZ119" s="88"/>
      <c r="BA119" s="88"/>
      <c r="BB119" s="80"/>
      <c r="BC119" s="87"/>
      <c r="BD119" s="88"/>
      <c r="BE119" s="88"/>
      <c r="BF119" s="88"/>
      <c r="BG119" s="80"/>
      <c r="BH119" s="87"/>
      <c r="BI119" s="88"/>
      <c r="BJ119" s="88"/>
      <c r="BK119" s="88"/>
      <c r="BL119" s="80"/>
      <c r="BM119" s="87"/>
      <c r="BN119" s="88"/>
      <c r="BO119" s="88"/>
      <c r="BP119" s="88"/>
      <c r="BQ119" s="80"/>
      <c r="BR119" s="87"/>
      <c r="BS119" s="88"/>
      <c r="BT119" s="88"/>
      <c r="BU119" s="88"/>
      <c r="BV119" s="80"/>
      <c r="BW119" s="87"/>
      <c r="BX119" s="88"/>
      <c r="BY119" s="88"/>
      <c r="BZ119" s="88"/>
      <c r="CA119" s="80"/>
    </row>
    <row r="120" spans="2:79" ht="12.75" hidden="1" customHeight="1" outlineLevel="1" x14ac:dyDescent="0.35">
      <c r="B120" s="143" t="s">
        <v>155</v>
      </c>
      <c r="C120" s="95"/>
      <c r="D120" s="84"/>
      <c r="E120" s="84"/>
      <c r="F120" s="84"/>
      <c r="G120" s="84"/>
      <c r="H120" s="84"/>
      <c r="I120" s="80"/>
      <c r="J120" s="329"/>
      <c r="K120" s="329"/>
      <c r="L120" s="329"/>
      <c r="M120" s="329"/>
      <c r="N120" s="80"/>
      <c r="O120" s="329"/>
      <c r="P120" s="329"/>
      <c r="Q120" s="329"/>
      <c r="R120" s="329"/>
      <c r="S120" s="80"/>
      <c r="T120" s="87"/>
      <c r="U120" s="87"/>
      <c r="V120" s="87"/>
      <c r="W120" s="134"/>
      <c r="X120" s="80"/>
      <c r="Y120" s="134"/>
      <c r="Z120" s="134"/>
      <c r="AA120" s="134"/>
      <c r="AB120" s="134"/>
      <c r="AC120" s="80"/>
      <c r="AD120" s="134"/>
      <c r="AE120" s="87"/>
      <c r="AF120" s="134"/>
      <c r="AG120" s="87"/>
      <c r="AH120" s="80"/>
      <c r="AI120" s="87"/>
      <c r="AJ120" s="87"/>
      <c r="AK120" s="87"/>
      <c r="AL120" s="87"/>
      <c r="AM120" s="80"/>
      <c r="AN120" s="87"/>
      <c r="AO120" s="87"/>
      <c r="AP120" s="88"/>
      <c r="AQ120" s="88"/>
      <c r="AR120" s="80"/>
      <c r="AS120" s="88"/>
      <c r="AT120" s="88"/>
      <c r="AU120" s="88"/>
      <c r="AV120" s="88"/>
      <c r="AW120" s="80"/>
      <c r="AX120" s="565"/>
      <c r="AY120" s="565"/>
      <c r="AZ120" s="88"/>
      <c r="BA120" s="88"/>
      <c r="BB120" s="80"/>
      <c r="BC120" s="87"/>
      <c r="BD120" s="88"/>
      <c r="BE120" s="88"/>
      <c r="BF120" s="88"/>
      <c r="BG120" s="80"/>
      <c r="BH120" s="87"/>
      <c r="BI120" s="88"/>
      <c r="BJ120" s="88"/>
      <c r="BK120" s="88"/>
      <c r="BL120" s="80"/>
      <c r="BM120" s="87"/>
      <c r="BN120" s="88"/>
      <c r="BO120" s="88"/>
      <c r="BP120" s="88"/>
      <c r="BQ120" s="80"/>
      <c r="BR120" s="87"/>
      <c r="BS120" s="88"/>
      <c r="BT120" s="88"/>
      <c r="BU120" s="88"/>
      <c r="BV120" s="80"/>
      <c r="BW120" s="87"/>
      <c r="BX120" s="88"/>
      <c r="BY120" s="88"/>
      <c r="BZ120" s="88"/>
      <c r="CA120" s="80"/>
    </row>
    <row r="121" spans="2:79" ht="12.75" hidden="1" customHeight="1" outlineLevel="1" x14ac:dyDescent="0.35">
      <c r="B121" s="136" t="s">
        <v>156</v>
      </c>
      <c r="C121" s="137"/>
      <c r="D121" s="138"/>
      <c r="E121" s="138"/>
      <c r="F121" s="138"/>
      <c r="G121" s="138"/>
      <c r="H121" s="138"/>
      <c r="I121" s="409"/>
      <c r="J121" s="410"/>
      <c r="K121" s="410"/>
      <c r="L121" s="410"/>
      <c r="M121" s="410"/>
      <c r="N121" s="409"/>
      <c r="O121" s="410"/>
      <c r="P121" s="410"/>
      <c r="Q121" s="410"/>
      <c r="R121" s="410"/>
      <c r="S121" s="409"/>
      <c r="T121" s="139"/>
      <c r="U121" s="139"/>
      <c r="V121" s="139"/>
      <c r="W121" s="140"/>
      <c r="X121" s="409"/>
      <c r="Y121" s="140"/>
      <c r="Z121" s="140"/>
      <c r="AA121" s="140"/>
      <c r="AB121" s="140"/>
      <c r="AC121" s="409"/>
      <c r="AD121" s="141"/>
      <c r="AE121" s="141"/>
      <c r="AF121" s="141"/>
      <c r="AG121" s="291" t="s">
        <v>181</v>
      </c>
      <c r="AH121" s="409"/>
      <c r="AI121" s="291" t="s">
        <v>181</v>
      </c>
      <c r="AJ121" s="291" t="s">
        <v>181</v>
      </c>
      <c r="AK121" s="291" t="s">
        <v>181</v>
      </c>
      <c r="AL121" s="291" t="s">
        <v>183</v>
      </c>
      <c r="AM121" s="409"/>
      <c r="AN121" s="291" t="s">
        <v>170</v>
      </c>
      <c r="AO121" s="291" t="s">
        <v>170</v>
      </c>
      <c r="AP121" s="142"/>
      <c r="AQ121" s="291" t="s">
        <v>181</v>
      </c>
      <c r="AR121" s="409"/>
      <c r="AS121" s="291" t="s">
        <v>181</v>
      </c>
      <c r="AT121" s="291" t="s">
        <v>181</v>
      </c>
      <c r="AU121" s="291" t="s">
        <v>182</v>
      </c>
      <c r="AV121" s="291" t="s">
        <v>393</v>
      </c>
      <c r="AW121" s="409"/>
      <c r="AX121" s="512" t="s">
        <v>393</v>
      </c>
      <c r="AY121" s="512" t="s">
        <v>451</v>
      </c>
      <c r="AZ121" s="512" t="s">
        <v>451</v>
      </c>
      <c r="BA121" s="142"/>
      <c r="BB121" s="409"/>
      <c r="BC121" s="139"/>
      <c r="BD121" s="142"/>
      <c r="BE121" s="142"/>
      <c r="BF121" s="142"/>
      <c r="BG121" s="409"/>
      <c r="BH121" s="139"/>
      <c r="BI121" s="142"/>
      <c r="BJ121" s="142"/>
      <c r="BK121" s="142"/>
      <c r="BL121" s="409"/>
      <c r="BM121" s="139"/>
      <c r="BN121" s="142"/>
      <c r="BO121" s="142"/>
      <c r="BP121" s="142"/>
      <c r="BQ121" s="409"/>
      <c r="BR121" s="139"/>
      <c r="BS121" s="142"/>
      <c r="BT121" s="142"/>
      <c r="BU121" s="142"/>
      <c r="BV121" s="409"/>
      <c r="BW121" s="139"/>
      <c r="BX121" s="142"/>
      <c r="BY121" s="142"/>
      <c r="BZ121" s="142"/>
      <c r="CA121" s="409"/>
    </row>
    <row r="122" spans="2:79" ht="12.75" hidden="1" customHeight="1" outlineLevel="1" x14ac:dyDescent="0.35">
      <c r="B122" s="104" t="s">
        <v>157</v>
      </c>
      <c r="C122" s="95"/>
      <c r="D122" s="84"/>
      <c r="E122" s="84"/>
      <c r="F122" s="84"/>
      <c r="G122" s="84"/>
      <c r="H122" s="84"/>
      <c r="I122" s="80"/>
      <c r="J122" s="329"/>
      <c r="K122" s="329"/>
      <c r="L122" s="329"/>
      <c r="M122" s="329"/>
      <c r="N122" s="80"/>
      <c r="O122" s="329"/>
      <c r="P122" s="329"/>
      <c r="Q122" s="329"/>
      <c r="R122" s="329"/>
      <c r="S122" s="80"/>
      <c r="T122" s="87"/>
      <c r="U122" s="87"/>
      <c r="V122" s="87"/>
      <c r="W122" s="134"/>
      <c r="X122" s="80"/>
      <c r="Y122" s="134"/>
      <c r="Z122" s="134"/>
      <c r="AA122" s="134"/>
      <c r="AB122" s="134"/>
      <c r="AC122" s="80"/>
      <c r="AD122" s="135"/>
      <c r="AE122" s="135"/>
      <c r="AF122" s="135"/>
      <c r="AG122" s="292" t="s">
        <v>182</v>
      </c>
      <c r="AH122" s="80"/>
      <c r="AI122" s="292" t="s">
        <v>182</v>
      </c>
      <c r="AJ122" s="292" t="s">
        <v>182</v>
      </c>
      <c r="AK122" s="292" t="s">
        <v>182</v>
      </c>
      <c r="AL122" s="87"/>
      <c r="AM122" s="80"/>
      <c r="AN122" s="87"/>
      <c r="AO122" s="87"/>
      <c r="AP122" s="88"/>
      <c r="AQ122" s="87"/>
      <c r="AR122" s="80"/>
      <c r="AS122" s="87"/>
      <c r="AT122" s="87"/>
      <c r="AU122" s="88"/>
      <c r="AV122" s="88"/>
      <c r="AW122" s="80"/>
      <c r="AX122" s="566"/>
      <c r="AY122" s="566"/>
      <c r="AZ122" s="88"/>
      <c r="BA122" s="88"/>
      <c r="BB122" s="80"/>
      <c r="BC122" s="87"/>
      <c r="BD122" s="88"/>
      <c r="BE122" s="88"/>
      <c r="BF122" s="88"/>
      <c r="BG122" s="80"/>
      <c r="BH122" s="87"/>
      <c r="BI122" s="88"/>
      <c r="BJ122" s="88"/>
      <c r="BK122" s="88"/>
      <c r="BL122" s="80"/>
      <c r="BM122" s="87"/>
      <c r="BN122" s="88"/>
      <c r="BO122" s="88"/>
      <c r="BP122" s="88"/>
      <c r="BQ122" s="80"/>
      <c r="BR122" s="87"/>
      <c r="BS122" s="88"/>
      <c r="BT122" s="88"/>
      <c r="BU122" s="88"/>
      <c r="BV122" s="80"/>
      <c r="BW122" s="87"/>
      <c r="BX122" s="88"/>
      <c r="BY122" s="88"/>
      <c r="BZ122" s="88"/>
      <c r="CA122" s="80"/>
    </row>
    <row r="123" spans="2:79" ht="12.75" hidden="1" customHeight="1" outlineLevel="1" x14ac:dyDescent="0.35">
      <c r="B123" s="104" t="s">
        <v>158</v>
      </c>
      <c r="C123" s="95"/>
      <c r="D123" s="84"/>
      <c r="E123" s="84"/>
      <c r="F123" s="84"/>
      <c r="G123" s="84"/>
      <c r="H123" s="84"/>
      <c r="I123" s="80"/>
      <c r="J123" s="329"/>
      <c r="K123" s="329"/>
      <c r="L123" s="329"/>
      <c r="M123" s="329"/>
      <c r="N123" s="80"/>
      <c r="O123" s="329"/>
      <c r="P123" s="329"/>
      <c r="Q123" s="329"/>
      <c r="R123" s="329"/>
      <c r="S123" s="80"/>
      <c r="T123" s="87"/>
      <c r="U123" s="87"/>
      <c r="V123" s="87"/>
      <c r="W123" s="134"/>
      <c r="X123" s="80"/>
      <c r="Y123" s="134"/>
      <c r="Z123" s="134"/>
      <c r="AA123" s="134"/>
      <c r="AB123" s="134"/>
      <c r="AC123" s="80"/>
      <c r="AD123" s="135"/>
      <c r="AE123" s="135"/>
      <c r="AF123" s="135"/>
      <c r="AG123" s="292" t="s">
        <v>183</v>
      </c>
      <c r="AH123" s="80"/>
      <c r="AI123" s="292" t="s">
        <v>183</v>
      </c>
      <c r="AJ123" s="292" t="s">
        <v>183</v>
      </c>
      <c r="AK123" s="292" t="s">
        <v>183</v>
      </c>
      <c r="AL123" s="87"/>
      <c r="AM123" s="80"/>
      <c r="AN123" s="87"/>
      <c r="AO123" s="87"/>
      <c r="AP123" s="88"/>
      <c r="AQ123" s="87"/>
      <c r="AR123" s="80"/>
      <c r="AS123" s="87"/>
      <c r="AT123" s="87"/>
      <c r="AU123" s="88"/>
      <c r="AV123" s="88"/>
      <c r="AW123" s="80"/>
      <c r="AX123" s="566"/>
      <c r="AY123" s="566"/>
      <c r="AZ123" s="88"/>
      <c r="BA123" s="88"/>
      <c r="BB123" s="80"/>
      <c r="BC123" s="87"/>
      <c r="BD123" s="88"/>
      <c r="BE123" s="88"/>
      <c r="BF123" s="88"/>
      <c r="BG123" s="80"/>
      <c r="BH123" s="87"/>
      <c r="BI123" s="88"/>
      <c r="BJ123" s="88"/>
      <c r="BK123" s="88"/>
      <c r="BL123" s="80"/>
      <c r="BM123" s="87"/>
      <c r="BN123" s="88"/>
      <c r="BO123" s="88"/>
      <c r="BP123" s="88"/>
      <c r="BQ123" s="80"/>
      <c r="BR123" s="87"/>
      <c r="BS123" s="88"/>
      <c r="BT123" s="88"/>
      <c r="BU123" s="88"/>
      <c r="BV123" s="80"/>
      <c r="BW123" s="87"/>
      <c r="BX123" s="88"/>
      <c r="BY123" s="88"/>
      <c r="BZ123" s="88"/>
      <c r="CA123" s="80"/>
    </row>
    <row r="124" spans="2:79" ht="12.75" hidden="1" customHeight="1" outlineLevel="1" x14ac:dyDescent="0.35">
      <c r="B124" s="104" t="s">
        <v>159</v>
      </c>
      <c r="C124" s="95"/>
      <c r="D124" s="84"/>
      <c r="E124" s="84"/>
      <c r="F124" s="84"/>
      <c r="G124" s="84"/>
      <c r="H124" s="84"/>
      <c r="I124" s="80"/>
      <c r="J124" s="329"/>
      <c r="K124" s="329"/>
      <c r="L124" s="329"/>
      <c r="M124" s="329"/>
      <c r="N124" s="80"/>
      <c r="O124" s="329"/>
      <c r="P124" s="329"/>
      <c r="Q124" s="329"/>
      <c r="R124" s="329"/>
      <c r="S124" s="80"/>
      <c r="T124" s="87"/>
      <c r="U124" s="87"/>
      <c r="V124" s="87"/>
      <c r="W124" s="134"/>
      <c r="X124" s="80"/>
      <c r="Y124" s="134"/>
      <c r="Z124" s="134"/>
      <c r="AA124" s="134"/>
      <c r="AB124" s="134"/>
      <c r="AC124" s="80"/>
      <c r="AD124" s="135"/>
      <c r="AE124" s="135"/>
      <c r="AF124" s="135"/>
      <c r="AG124" s="292" t="s">
        <v>180</v>
      </c>
      <c r="AH124" s="80"/>
      <c r="AI124" s="292" t="s">
        <v>180</v>
      </c>
      <c r="AJ124" s="292" t="s">
        <v>273</v>
      </c>
      <c r="AK124" s="292" t="s">
        <v>273</v>
      </c>
      <c r="AL124" s="292" t="s">
        <v>290</v>
      </c>
      <c r="AM124" s="80"/>
      <c r="AN124" s="292" t="s">
        <v>290</v>
      </c>
      <c r="AO124" s="292" t="s">
        <v>290</v>
      </c>
      <c r="AP124" s="88"/>
      <c r="AQ124" s="292" t="s">
        <v>290</v>
      </c>
      <c r="AR124" s="80"/>
      <c r="AS124" s="292" t="s">
        <v>290</v>
      </c>
      <c r="AT124" s="292" t="s">
        <v>342</v>
      </c>
      <c r="AU124" s="292" t="s">
        <v>353</v>
      </c>
      <c r="AV124" s="292" t="s">
        <v>353</v>
      </c>
      <c r="AW124" s="80"/>
      <c r="AX124" s="505" t="s">
        <v>353</v>
      </c>
      <c r="AY124" s="505" t="s">
        <v>353</v>
      </c>
      <c r="AZ124" s="505" t="s">
        <v>290</v>
      </c>
      <c r="BA124" s="88"/>
      <c r="BB124" s="80"/>
      <c r="BC124" s="87"/>
      <c r="BD124" s="88"/>
      <c r="BE124" s="88"/>
      <c r="BF124" s="88"/>
      <c r="BG124" s="80"/>
      <c r="BH124" s="87"/>
      <c r="BI124" s="88"/>
      <c r="BJ124" s="88"/>
      <c r="BK124" s="88"/>
      <c r="BL124" s="80"/>
      <c r="BM124" s="87"/>
      <c r="BN124" s="88"/>
      <c r="BO124" s="88"/>
      <c r="BP124" s="88"/>
      <c r="BQ124" s="80"/>
      <c r="BR124" s="87"/>
      <c r="BS124" s="88"/>
      <c r="BT124" s="88"/>
      <c r="BU124" s="88"/>
      <c r="BV124" s="80"/>
      <c r="BW124" s="87"/>
      <c r="BX124" s="88"/>
      <c r="BY124" s="88"/>
      <c r="BZ124" s="88"/>
      <c r="CA124" s="80"/>
    </row>
    <row r="125" spans="2:79" ht="12.75" hidden="1" customHeight="1" outlineLevel="1" x14ac:dyDescent="0.35">
      <c r="B125" s="104"/>
      <c r="C125" s="95"/>
      <c r="D125" s="84"/>
      <c r="E125" s="84"/>
      <c r="F125" s="84"/>
      <c r="G125" s="84"/>
      <c r="H125" s="84"/>
      <c r="I125" s="78"/>
      <c r="J125" s="274"/>
      <c r="K125" s="274"/>
      <c r="L125" s="274"/>
      <c r="M125" s="274"/>
      <c r="N125" s="78"/>
      <c r="O125" s="274"/>
      <c r="P125" s="274"/>
      <c r="Q125" s="274"/>
      <c r="R125" s="274"/>
      <c r="S125" s="78"/>
      <c r="T125" s="87"/>
      <c r="U125" s="87"/>
      <c r="V125" s="87"/>
      <c r="W125" s="134"/>
      <c r="X125" s="78"/>
      <c r="Y125" s="134"/>
      <c r="Z125" s="134"/>
      <c r="AA125" s="134"/>
      <c r="AB125" s="134"/>
      <c r="AC125" s="78"/>
      <c r="AD125" s="135"/>
      <c r="AE125" s="135"/>
      <c r="AF125" s="135"/>
      <c r="AG125" s="135"/>
      <c r="AH125" s="78"/>
      <c r="AI125" s="135"/>
      <c r="AJ125" s="87"/>
      <c r="AK125" s="87"/>
      <c r="AL125" s="87"/>
      <c r="AM125" s="78"/>
      <c r="AN125" s="87"/>
      <c r="AO125" s="87"/>
      <c r="AP125" s="88"/>
      <c r="AQ125" s="88"/>
      <c r="AR125" s="78"/>
      <c r="AS125" s="87"/>
      <c r="AT125" s="88"/>
      <c r="AU125" s="88"/>
      <c r="AV125" s="88"/>
      <c r="AW125" s="78"/>
      <c r="AX125" s="565"/>
      <c r="AY125" s="565"/>
      <c r="AZ125" s="88"/>
      <c r="BA125" s="88"/>
      <c r="BB125" s="78"/>
      <c r="BC125" s="87"/>
      <c r="BD125" s="88"/>
      <c r="BE125" s="88"/>
      <c r="BF125" s="88"/>
      <c r="BG125" s="78"/>
      <c r="BH125" s="87"/>
      <c r="BI125" s="88"/>
      <c r="BJ125" s="88"/>
      <c r="BK125" s="88"/>
      <c r="BL125" s="78"/>
      <c r="BM125" s="87"/>
      <c r="BN125" s="88"/>
      <c r="BO125" s="88"/>
      <c r="BP125" s="88"/>
      <c r="BQ125" s="78"/>
      <c r="BR125" s="87"/>
      <c r="BS125" s="88"/>
      <c r="BT125" s="88"/>
      <c r="BU125" s="88"/>
      <c r="BV125" s="78"/>
      <c r="BW125" s="87"/>
      <c r="BX125" s="88"/>
      <c r="BY125" s="88"/>
      <c r="BZ125" s="88"/>
      <c r="CA125" s="78"/>
    </row>
    <row r="126" spans="2:79" ht="12.75" hidden="1" customHeight="1" outlineLevel="1" x14ac:dyDescent="0.35">
      <c r="B126" s="91" t="s">
        <v>394</v>
      </c>
      <c r="C126" s="91"/>
      <c r="D126" s="120"/>
      <c r="E126" s="120"/>
      <c r="F126" s="120"/>
      <c r="G126" s="120"/>
      <c r="H126" s="120"/>
      <c r="I126" s="407"/>
      <c r="J126" s="408"/>
      <c r="K126" s="408"/>
      <c r="L126" s="408"/>
      <c r="M126" s="408"/>
      <c r="N126" s="407"/>
      <c r="O126" s="408"/>
      <c r="P126" s="408"/>
      <c r="Q126" s="408"/>
      <c r="R126" s="408"/>
      <c r="S126" s="407"/>
      <c r="T126" s="121"/>
      <c r="U126" s="121"/>
      <c r="V126" s="121"/>
      <c r="W126" s="122"/>
      <c r="X126" s="407"/>
      <c r="Y126" s="122"/>
      <c r="Z126" s="122"/>
      <c r="AA126" s="122"/>
      <c r="AB126" s="122"/>
      <c r="AC126" s="407"/>
      <c r="AD126" s="122"/>
      <c r="AE126" s="121"/>
      <c r="AF126" s="121"/>
      <c r="AG126" s="414">
        <v>2019</v>
      </c>
      <c r="AH126" s="407"/>
      <c r="AI126" s="414">
        <v>2019</v>
      </c>
      <c r="AJ126" s="414">
        <v>2019</v>
      </c>
      <c r="AK126" s="414">
        <v>2019</v>
      </c>
      <c r="AL126" s="414" t="s">
        <v>292</v>
      </c>
      <c r="AM126" s="407"/>
      <c r="AN126" s="414">
        <v>2020</v>
      </c>
      <c r="AO126" s="414">
        <v>2020</v>
      </c>
      <c r="AP126" s="414">
        <v>2020</v>
      </c>
      <c r="AQ126" s="414">
        <v>2021</v>
      </c>
      <c r="AR126" s="407"/>
      <c r="AS126" s="414"/>
      <c r="AT126" s="414"/>
      <c r="AU126" s="414"/>
      <c r="AV126" s="504" t="s">
        <v>398</v>
      </c>
      <c r="AW126" s="407"/>
      <c r="AX126" s="504" t="s">
        <v>398</v>
      </c>
      <c r="AY126" s="504" t="s">
        <v>398</v>
      </c>
      <c r="AZ126" s="504" t="s">
        <v>398</v>
      </c>
      <c r="BA126" s="123"/>
      <c r="BB126" s="407"/>
      <c r="BC126" s="121"/>
      <c r="BD126" s="123"/>
      <c r="BE126" s="123"/>
      <c r="BF126" s="123"/>
      <c r="BG126" s="407"/>
      <c r="BH126" s="121"/>
      <c r="BI126" s="123"/>
      <c r="BJ126" s="123"/>
      <c r="BK126" s="123"/>
      <c r="BL126" s="407"/>
      <c r="BM126" s="121"/>
      <c r="BN126" s="123"/>
      <c r="BO126" s="123"/>
      <c r="BP126" s="123"/>
      <c r="BQ126" s="407"/>
      <c r="BR126" s="121"/>
      <c r="BS126" s="123"/>
      <c r="BT126" s="123"/>
      <c r="BU126" s="123"/>
      <c r="BV126" s="407"/>
      <c r="BW126" s="121"/>
      <c r="BX126" s="123"/>
      <c r="BY126" s="123"/>
      <c r="BZ126" s="123"/>
      <c r="CA126" s="407"/>
    </row>
    <row r="127" spans="2:79" ht="12.75" hidden="1" customHeight="1" outlineLevel="1" x14ac:dyDescent="0.35">
      <c r="B127" s="136" t="s">
        <v>146</v>
      </c>
      <c r="C127" s="137"/>
      <c r="D127" s="138"/>
      <c r="E127" s="138"/>
      <c r="F127" s="138"/>
      <c r="G127" s="138"/>
      <c r="H127" s="138"/>
      <c r="I127" s="409"/>
      <c r="J127" s="410"/>
      <c r="K127" s="410"/>
      <c r="L127" s="410"/>
      <c r="M127" s="410"/>
      <c r="N127" s="409"/>
      <c r="O127" s="410"/>
      <c r="P127" s="410"/>
      <c r="Q127" s="410"/>
      <c r="R127" s="410"/>
      <c r="S127" s="409"/>
      <c r="T127" s="139"/>
      <c r="U127" s="139"/>
      <c r="V127" s="139"/>
      <c r="W127" s="140"/>
      <c r="X127" s="409"/>
      <c r="Y127" s="140"/>
      <c r="Z127" s="140"/>
      <c r="AA127" s="140"/>
      <c r="AB127" s="140"/>
      <c r="AC127" s="409"/>
      <c r="AD127" s="141"/>
      <c r="AE127" s="141"/>
      <c r="AF127" s="141"/>
      <c r="AG127" s="291" t="s">
        <v>170</v>
      </c>
      <c r="AH127" s="409"/>
      <c r="AI127" s="291" t="s">
        <v>170</v>
      </c>
      <c r="AJ127" s="291" t="s">
        <v>170</v>
      </c>
      <c r="AK127" s="291" t="s">
        <v>183</v>
      </c>
      <c r="AL127" s="291" t="s">
        <v>170</v>
      </c>
      <c r="AM127" s="409"/>
      <c r="AN127" s="462" t="s">
        <v>294</v>
      </c>
      <c r="AO127" s="464" t="s">
        <v>177</v>
      </c>
      <c r="AP127" s="464" t="s">
        <v>183</v>
      </c>
      <c r="AQ127" s="464" t="s">
        <v>170</v>
      </c>
      <c r="AR127" s="409"/>
      <c r="AS127" s="464"/>
      <c r="AT127" s="464"/>
      <c r="AU127" s="464"/>
      <c r="AV127" s="464" t="s">
        <v>405</v>
      </c>
      <c r="AW127" s="409"/>
      <c r="AX127" s="563" t="s">
        <v>405</v>
      </c>
      <c r="AY127" s="563" t="s">
        <v>405</v>
      </c>
      <c r="AZ127" s="563" t="s">
        <v>405</v>
      </c>
      <c r="BA127" s="142"/>
      <c r="BB127" s="409"/>
      <c r="BC127" s="139"/>
      <c r="BD127" s="142"/>
      <c r="BE127" s="142"/>
      <c r="BF127" s="142"/>
      <c r="BG127" s="409"/>
      <c r="BH127" s="139"/>
      <c r="BI127" s="142"/>
      <c r="BJ127" s="142"/>
      <c r="BK127" s="142"/>
      <c r="BL127" s="409"/>
      <c r="BM127" s="139"/>
      <c r="BN127" s="142"/>
      <c r="BO127" s="142"/>
      <c r="BP127" s="142"/>
      <c r="BQ127" s="409"/>
      <c r="BR127" s="139"/>
      <c r="BS127" s="142"/>
      <c r="BT127" s="142"/>
      <c r="BU127" s="142"/>
      <c r="BV127" s="409"/>
      <c r="BW127" s="139"/>
      <c r="BX127" s="142"/>
      <c r="BY127" s="142"/>
      <c r="BZ127" s="142"/>
      <c r="CA127" s="409"/>
    </row>
    <row r="128" spans="2:79" ht="12.75" hidden="1" customHeight="1" outlineLevel="1" x14ac:dyDescent="0.35">
      <c r="B128" s="104" t="s">
        <v>396</v>
      </c>
      <c r="C128" s="95"/>
      <c r="D128" s="84"/>
      <c r="E128" s="84"/>
      <c r="F128" s="84"/>
      <c r="G128" s="84"/>
      <c r="H128" s="84"/>
      <c r="I128" s="80"/>
      <c r="J128" s="329"/>
      <c r="K128" s="329"/>
      <c r="L128" s="329"/>
      <c r="M128" s="329"/>
      <c r="N128" s="80"/>
      <c r="O128" s="329"/>
      <c r="P128" s="329"/>
      <c r="Q128" s="329"/>
      <c r="R128" s="329"/>
      <c r="S128" s="80"/>
      <c r="T128" s="87"/>
      <c r="U128" s="87"/>
      <c r="V128" s="87"/>
      <c r="W128" s="134"/>
      <c r="X128" s="80"/>
      <c r="Y128" s="134"/>
      <c r="Z128" s="134"/>
      <c r="AA128" s="134"/>
      <c r="AB128" s="134"/>
      <c r="AC128" s="80"/>
      <c r="AD128" s="135"/>
      <c r="AE128" s="135"/>
      <c r="AF128" s="135"/>
      <c r="AG128" s="292" t="s">
        <v>171</v>
      </c>
      <c r="AH128" s="80"/>
      <c r="AI128" s="292" t="s">
        <v>171</v>
      </c>
      <c r="AJ128" s="292" t="s">
        <v>171</v>
      </c>
      <c r="AK128" s="292" t="s">
        <v>171</v>
      </c>
      <c r="AL128" s="451" t="s">
        <v>283</v>
      </c>
      <c r="AM128" s="80"/>
      <c r="AN128" s="451" t="s">
        <v>295</v>
      </c>
      <c r="AO128" s="451" t="s">
        <v>283</v>
      </c>
      <c r="AP128" s="451" t="s">
        <v>314</v>
      </c>
      <c r="AQ128" s="451" t="s">
        <v>320</v>
      </c>
      <c r="AR128" s="80"/>
      <c r="AS128" s="292"/>
      <c r="AT128" s="292"/>
      <c r="AU128" s="292"/>
      <c r="AV128" s="451" t="s">
        <v>400</v>
      </c>
      <c r="AW128" s="80"/>
      <c r="AX128" s="511" t="s">
        <v>400</v>
      </c>
      <c r="AY128" s="511" t="s">
        <v>400</v>
      </c>
      <c r="AZ128" s="511" t="s">
        <v>400</v>
      </c>
      <c r="BA128" s="88"/>
      <c r="BB128" s="80"/>
      <c r="BC128" s="87"/>
      <c r="BD128" s="88"/>
      <c r="BE128" s="88"/>
      <c r="BF128" s="88"/>
      <c r="BG128" s="80"/>
      <c r="BH128" s="87"/>
      <c r="BI128" s="88"/>
      <c r="BJ128" s="88"/>
      <c r="BK128" s="88"/>
      <c r="BL128" s="80"/>
      <c r="BM128" s="87"/>
      <c r="BN128" s="88"/>
      <c r="BO128" s="88"/>
      <c r="BP128" s="88"/>
      <c r="BQ128" s="80"/>
      <c r="BR128" s="87"/>
      <c r="BS128" s="88"/>
      <c r="BT128" s="88"/>
      <c r="BU128" s="88"/>
      <c r="BV128" s="80"/>
      <c r="BW128" s="87"/>
      <c r="BX128" s="88"/>
      <c r="BY128" s="88"/>
      <c r="BZ128" s="88"/>
      <c r="CA128" s="80"/>
    </row>
    <row r="129" spans="1:79" ht="12.75" hidden="1" customHeight="1" outlineLevel="1" x14ac:dyDescent="0.35">
      <c r="B129" s="104" t="s">
        <v>395</v>
      </c>
      <c r="C129" s="95"/>
      <c r="D129" s="84"/>
      <c r="E129" s="84"/>
      <c r="F129" s="84"/>
      <c r="G129" s="84"/>
      <c r="H129" s="84"/>
      <c r="I129" s="80"/>
      <c r="J129" s="329"/>
      <c r="K129" s="329"/>
      <c r="L129" s="329"/>
      <c r="M129" s="329"/>
      <c r="N129" s="80"/>
      <c r="O129" s="329"/>
      <c r="P129" s="329"/>
      <c r="Q129" s="329"/>
      <c r="R129" s="329"/>
      <c r="S129" s="80"/>
      <c r="T129" s="87"/>
      <c r="U129" s="87"/>
      <c r="V129" s="87"/>
      <c r="W129" s="134"/>
      <c r="X129" s="80"/>
      <c r="Y129" s="134"/>
      <c r="Z129" s="134"/>
      <c r="AA129" s="134"/>
      <c r="AB129" s="134"/>
      <c r="AC129" s="80"/>
      <c r="AD129" s="135"/>
      <c r="AE129" s="135"/>
      <c r="AF129" s="135"/>
      <c r="AG129" s="292" t="s">
        <v>185</v>
      </c>
      <c r="AH129" s="80"/>
      <c r="AI129" s="292" t="s">
        <v>185</v>
      </c>
      <c r="AJ129" s="292" t="s">
        <v>275</v>
      </c>
      <c r="AK129" s="292" t="s">
        <v>275</v>
      </c>
      <c r="AL129" s="292" t="s">
        <v>282</v>
      </c>
      <c r="AM129" s="80"/>
      <c r="AN129" s="292" t="s">
        <v>296</v>
      </c>
      <c r="AO129" s="292" t="s">
        <v>306</v>
      </c>
      <c r="AP129" s="292" t="s">
        <v>313</v>
      </c>
      <c r="AQ129" s="292" t="s">
        <v>313</v>
      </c>
      <c r="AR129" s="80"/>
      <c r="AS129" s="292"/>
      <c r="AT129" s="292"/>
      <c r="AU129" s="292"/>
      <c r="AV129" s="451" t="s">
        <v>399</v>
      </c>
      <c r="AW129" s="80"/>
      <c r="AX129" s="511" t="s">
        <v>399</v>
      </c>
      <c r="AY129" s="511" t="s">
        <v>399</v>
      </c>
      <c r="AZ129" s="511" t="s">
        <v>399</v>
      </c>
      <c r="BA129" s="88"/>
      <c r="BB129" s="80"/>
      <c r="BC129" s="87"/>
      <c r="BD129" s="88"/>
      <c r="BE129" s="88"/>
      <c r="BF129" s="88"/>
      <c r="BG129" s="80"/>
      <c r="BH129" s="87"/>
      <c r="BI129" s="88"/>
      <c r="BJ129" s="88"/>
      <c r="BK129" s="88"/>
      <c r="BL129" s="80"/>
      <c r="BM129" s="87"/>
      <c r="BN129" s="88"/>
      <c r="BO129" s="88"/>
      <c r="BP129" s="88"/>
      <c r="BQ129" s="80"/>
      <c r="BR129" s="87"/>
      <c r="BS129" s="88"/>
      <c r="BT129" s="88"/>
      <c r="BU129" s="88"/>
      <c r="BV129" s="80"/>
      <c r="BW129" s="87"/>
      <c r="BX129" s="88"/>
      <c r="BY129" s="88"/>
      <c r="BZ129" s="88"/>
      <c r="CA129" s="80"/>
    </row>
    <row r="130" spans="1:79" ht="12.75" hidden="1" customHeight="1" outlineLevel="1" x14ac:dyDescent="0.35">
      <c r="B130" s="104" t="s">
        <v>397</v>
      </c>
      <c r="C130" s="95"/>
      <c r="D130" s="84"/>
      <c r="E130" s="84"/>
      <c r="F130" s="84"/>
      <c r="G130" s="84"/>
      <c r="H130" s="84"/>
      <c r="I130" s="80"/>
      <c r="J130" s="329"/>
      <c r="K130" s="329"/>
      <c r="L130" s="329"/>
      <c r="M130" s="329"/>
      <c r="N130" s="80"/>
      <c r="O130" s="329"/>
      <c r="P130" s="329"/>
      <c r="Q130" s="329"/>
      <c r="R130" s="329"/>
      <c r="S130" s="80"/>
      <c r="T130" s="87"/>
      <c r="U130" s="87"/>
      <c r="V130" s="87"/>
      <c r="W130" s="134"/>
      <c r="X130" s="80"/>
      <c r="Y130" s="134"/>
      <c r="Z130" s="134"/>
      <c r="AA130" s="134"/>
      <c r="AB130" s="134"/>
      <c r="AC130" s="80"/>
      <c r="AD130" s="135"/>
      <c r="AE130" s="135"/>
      <c r="AF130" s="135"/>
      <c r="AG130" s="292" t="s">
        <v>170</v>
      </c>
      <c r="AH130" s="80"/>
      <c r="AI130" s="292" t="s">
        <v>183</v>
      </c>
      <c r="AJ130" s="292" t="s">
        <v>183</v>
      </c>
      <c r="AK130" s="292" t="s">
        <v>183</v>
      </c>
      <c r="AL130" s="292" t="s">
        <v>177</v>
      </c>
      <c r="AM130" s="80"/>
      <c r="AN130" s="463" t="s">
        <v>294</v>
      </c>
      <c r="AO130" s="465" t="s">
        <v>307</v>
      </c>
      <c r="AP130" s="465" t="s">
        <v>315</v>
      </c>
      <c r="AQ130" s="465" t="s">
        <v>328</v>
      </c>
      <c r="AR130" s="80"/>
      <c r="AS130" s="465"/>
      <c r="AT130" s="465"/>
      <c r="AU130" s="465"/>
      <c r="AV130" s="465" t="s">
        <v>401</v>
      </c>
      <c r="AW130" s="80"/>
      <c r="AX130" s="564" t="s">
        <v>401</v>
      </c>
      <c r="AY130" s="564" t="s">
        <v>401</v>
      </c>
      <c r="AZ130" s="564" t="s">
        <v>401</v>
      </c>
      <c r="BA130" s="88"/>
      <c r="BB130" s="80"/>
      <c r="BC130" s="87"/>
      <c r="BD130" s="88"/>
      <c r="BE130" s="88"/>
      <c r="BF130" s="88"/>
      <c r="BG130" s="80"/>
      <c r="BH130" s="87"/>
      <c r="BI130" s="88"/>
      <c r="BJ130" s="88"/>
      <c r="BK130" s="88"/>
      <c r="BL130" s="80"/>
      <c r="BM130" s="87"/>
      <c r="BN130" s="88"/>
      <c r="BO130" s="88"/>
      <c r="BP130" s="88"/>
      <c r="BQ130" s="80"/>
      <c r="BR130" s="87"/>
      <c r="BS130" s="88"/>
      <c r="BT130" s="88"/>
      <c r="BU130" s="88"/>
      <c r="BV130" s="80"/>
      <c r="BW130" s="87"/>
      <c r="BX130" s="88"/>
      <c r="BY130" s="88"/>
      <c r="BZ130" s="88"/>
      <c r="CA130" s="80"/>
    </row>
    <row r="131" spans="1:79" ht="12.75" hidden="1" customHeight="1" outlineLevel="1" x14ac:dyDescent="0.35">
      <c r="B131" s="104" t="s">
        <v>154</v>
      </c>
      <c r="C131" s="95"/>
      <c r="D131" s="84"/>
      <c r="E131" s="84"/>
      <c r="F131" s="84"/>
      <c r="G131" s="84"/>
      <c r="H131" s="84"/>
      <c r="I131" s="80"/>
      <c r="J131" s="329"/>
      <c r="K131" s="329"/>
      <c r="L131" s="329"/>
      <c r="M131" s="329"/>
      <c r="N131" s="80"/>
      <c r="O131" s="329"/>
      <c r="P131" s="329"/>
      <c r="Q131" s="329"/>
      <c r="R131" s="329"/>
      <c r="S131" s="80"/>
      <c r="T131" s="87"/>
      <c r="U131" s="87"/>
      <c r="V131" s="87"/>
      <c r="W131" s="134"/>
      <c r="X131" s="80"/>
      <c r="Y131" s="134"/>
      <c r="Z131" s="134"/>
      <c r="AA131" s="134"/>
      <c r="AB131" s="134"/>
      <c r="AC131" s="80"/>
      <c r="AD131" s="135"/>
      <c r="AE131" s="135"/>
      <c r="AF131" s="135"/>
      <c r="AG131" s="292" t="s">
        <v>173</v>
      </c>
      <c r="AH131" s="80"/>
      <c r="AI131" s="292" t="s">
        <v>173</v>
      </c>
      <c r="AJ131" s="292" t="s">
        <v>270</v>
      </c>
      <c r="AK131" s="292" t="s">
        <v>270</v>
      </c>
      <c r="AL131" s="451" t="s">
        <v>284</v>
      </c>
      <c r="AM131" s="80"/>
      <c r="AN131" s="451" t="s">
        <v>284</v>
      </c>
      <c r="AO131" s="292" t="s">
        <v>284</v>
      </c>
      <c r="AP131" s="292" t="s">
        <v>284</v>
      </c>
      <c r="AQ131" s="292" t="s">
        <v>321</v>
      </c>
      <c r="AR131" s="80"/>
      <c r="AS131" s="292"/>
      <c r="AT131" s="292"/>
      <c r="AU131" s="292"/>
      <c r="AV131" s="292" t="s">
        <v>403</v>
      </c>
      <c r="AW131" s="80"/>
      <c r="AX131" s="505" t="s">
        <v>403</v>
      </c>
      <c r="AY131" s="505" t="s">
        <v>403</v>
      </c>
      <c r="AZ131" s="505" t="s">
        <v>403</v>
      </c>
      <c r="BA131" s="88"/>
      <c r="BB131" s="80"/>
      <c r="BC131" s="87"/>
      <c r="BD131" s="88"/>
      <c r="BE131" s="88"/>
      <c r="BF131" s="88"/>
      <c r="BG131" s="80"/>
      <c r="BH131" s="87"/>
      <c r="BI131" s="88"/>
      <c r="BJ131" s="88"/>
      <c r="BK131" s="88"/>
      <c r="BL131" s="80"/>
      <c r="BM131" s="87"/>
      <c r="BN131" s="88"/>
      <c r="BO131" s="88"/>
      <c r="BP131" s="88"/>
      <c r="BQ131" s="80"/>
      <c r="BR131" s="87"/>
      <c r="BS131" s="88"/>
      <c r="BT131" s="88"/>
      <c r="BU131" s="88"/>
      <c r="BV131" s="80"/>
      <c r="BW131" s="87"/>
      <c r="BX131" s="88"/>
      <c r="BY131" s="88"/>
      <c r="BZ131" s="88"/>
      <c r="CA131" s="80"/>
    </row>
    <row r="132" spans="1:79" ht="12.75" hidden="1" customHeight="1" outlineLevel="1" x14ac:dyDescent="0.35">
      <c r="B132" s="104" t="s">
        <v>159</v>
      </c>
      <c r="C132" s="95"/>
      <c r="D132" s="84"/>
      <c r="E132" s="84"/>
      <c r="F132" s="84"/>
      <c r="G132" s="84"/>
      <c r="H132" s="84"/>
      <c r="I132" s="80"/>
      <c r="J132" s="329"/>
      <c r="K132" s="329"/>
      <c r="L132" s="329"/>
      <c r="M132" s="329"/>
      <c r="N132" s="80"/>
      <c r="O132" s="329"/>
      <c r="P132" s="329"/>
      <c r="Q132" s="329"/>
      <c r="R132" s="329"/>
      <c r="S132" s="80"/>
      <c r="T132" s="87"/>
      <c r="U132" s="87"/>
      <c r="V132" s="87"/>
      <c r="W132" s="134"/>
      <c r="X132" s="80"/>
      <c r="Y132" s="134"/>
      <c r="Z132" s="134"/>
      <c r="AA132" s="134"/>
      <c r="AB132" s="134"/>
      <c r="AC132" s="80"/>
      <c r="AD132" s="135"/>
      <c r="AE132" s="135"/>
      <c r="AF132" s="135"/>
      <c r="AG132" s="292" t="s">
        <v>174</v>
      </c>
      <c r="AH132" s="80"/>
      <c r="AI132" s="292" t="s">
        <v>174</v>
      </c>
      <c r="AJ132" s="292" t="s">
        <v>174</v>
      </c>
      <c r="AK132" s="292" t="s">
        <v>276</v>
      </c>
      <c r="AL132" s="292" t="s">
        <v>285</v>
      </c>
      <c r="AM132" s="80"/>
      <c r="AN132" s="292" t="s">
        <v>297</v>
      </c>
      <c r="AO132" s="292" t="s">
        <v>297</v>
      </c>
      <c r="AP132" s="292" t="s">
        <v>297</v>
      </c>
      <c r="AQ132" s="292" t="s">
        <v>322</v>
      </c>
      <c r="AR132" s="80"/>
      <c r="AS132" s="292"/>
      <c r="AT132" s="292"/>
      <c r="AU132" s="292"/>
      <c r="AV132" s="292" t="s">
        <v>402</v>
      </c>
      <c r="AW132" s="80"/>
      <c r="AX132" s="505" t="s">
        <v>402</v>
      </c>
      <c r="AY132" s="505" t="s">
        <v>402</v>
      </c>
      <c r="AZ132" s="505" t="s">
        <v>402</v>
      </c>
      <c r="BA132" s="88"/>
      <c r="BB132" s="80"/>
      <c r="BC132" s="87"/>
      <c r="BD132" s="88"/>
      <c r="BE132" s="88"/>
      <c r="BF132" s="88"/>
      <c r="BG132" s="80"/>
      <c r="BH132" s="87"/>
      <c r="BI132" s="88"/>
      <c r="BJ132" s="88"/>
      <c r="BK132" s="88"/>
      <c r="BL132" s="80"/>
      <c r="BM132" s="87"/>
      <c r="BN132" s="88"/>
      <c r="BO132" s="88"/>
      <c r="BP132" s="88"/>
      <c r="BQ132" s="80"/>
      <c r="BR132" s="87"/>
      <c r="BS132" s="88"/>
      <c r="BT132" s="88"/>
      <c r="BU132" s="88"/>
      <c r="BV132" s="80"/>
      <c r="BW132" s="87"/>
      <c r="BX132" s="88"/>
      <c r="BY132" s="88"/>
      <c r="BZ132" s="88"/>
      <c r="CA132" s="80"/>
    </row>
    <row r="133" spans="1:79" ht="12.75" hidden="1" customHeight="1" outlineLevel="1" x14ac:dyDescent="0.35">
      <c r="B133" s="104" t="s">
        <v>149</v>
      </c>
      <c r="C133" s="95"/>
      <c r="D133" s="84"/>
      <c r="E133" s="84"/>
      <c r="F133" s="84"/>
      <c r="G133" s="84"/>
      <c r="H133" s="84"/>
      <c r="I133" s="80"/>
      <c r="J133" s="329"/>
      <c r="K133" s="329"/>
      <c r="L133" s="329"/>
      <c r="M133" s="329"/>
      <c r="N133" s="80"/>
      <c r="O133" s="329"/>
      <c r="P133" s="329"/>
      <c r="Q133" s="329"/>
      <c r="R133" s="329"/>
      <c r="S133" s="80"/>
      <c r="T133" s="87"/>
      <c r="U133" s="87"/>
      <c r="V133" s="87"/>
      <c r="W133" s="134"/>
      <c r="X133" s="80"/>
      <c r="Y133" s="134"/>
      <c r="Z133" s="134"/>
      <c r="AA133" s="134"/>
      <c r="AB133" s="134"/>
      <c r="AC133" s="80"/>
      <c r="AD133" s="135"/>
      <c r="AE133" s="135"/>
      <c r="AF133" s="135"/>
      <c r="AG133" s="292" t="s">
        <v>175</v>
      </c>
      <c r="AH133" s="80"/>
      <c r="AI133" s="292" t="s">
        <v>175</v>
      </c>
      <c r="AJ133" s="292" t="s">
        <v>271</v>
      </c>
      <c r="AK133" s="292" t="s">
        <v>277</v>
      </c>
      <c r="AL133" s="292" t="s">
        <v>286</v>
      </c>
      <c r="AM133" s="80"/>
      <c r="AN133" s="292" t="s">
        <v>298</v>
      </c>
      <c r="AO133" s="292" t="s">
        <v>308</v>
      </c>
      <c r="AP133" s="292" t="s">
        <v>316</v>
      </c>
      <c r="AQ133" s="292" t="s">
        <v>323</v>
      </c>
      <c r="AR133" s="80"/>
      <c r="AS133" s="292"/>
      <c r="AT133" s="292"/>
      <c r="AU133" s="292"/>
      <c r="AV133" s="292" t="s">
        <v>404</v>
      </c>
      <c r="AW133" s="80"/>
      <c r="AX133" s="505" t="s">
        <v>404</v>
      </c>
      <c r="AY133" s="505" t="s">
        <v>404</v>
      </c>
      <c r="AZ133" s="505" t="s">
        <v>404</v>
      </c>
      <c r="BA133" s="88"/>
      <c r="BB133" s="80"/>
      <c r="BC133" s="87"/>
      <c r="BD133" s="88"/>
      <c r="BE133" s="88"/>
      <c r="BF133" s="88"/>
      <c r="BG133" s="80"/>
      <c r="BH133" s="87"/>
      <c r="BI133" s="88"/>
      <c r="BJ133" s="88"/>
      <c r="BK133" s="88"/>
      <c r="BL133" s="80"/>
      <c r="BM133" s="87"/>
      <c r="BN133" s="88"/>
      <c r="BO133" s="88"/>
      <c r="BP133" s="88"/>
      <c r="BQ133" s="80"/>
      <c r="BR133" s="87"/>
      <c r="BS133" s="88"/>
      <c r="BT133" s="88"/>
      <c r="BU133" s="88"/>
      <c r="BV133" s="80"/>
      <c r="BW133" s="87"/>
      <c r="BX133" s="88"/>
      <c r="BY133" s="88"/>
      <c r="BZ133" s="88"/>
      <c r="CA133" s="80"/>
    </row>
    <row r="134" spans="1:79" ht="12.75" customHeight="1" collapsed="1" x14ac:dyDescent="0.35">
      <c r="B134" s="84"/>
      <c r="C134" s="84"/>
      <c r="D134" s="84"/>
      <c r="E134" s="84"/>
      <c r="F134" s="84"/>
      <c r="G134" s="84"/>
      <c r="H134" s="84"/>
      <c r="I134" s="62"/>
      <c r="J134" s="62"/>
      <c r="K134" s="62"/>
      <c r="L134" s="62"/>
      <c r="M134" s="62"/>
      <c r="N134" s="62"/>
      <c r="O134" s="62"/>
      <c r="P134" s="62"/>
      <c r="Q134" s="62"/>
      <c r="R134" s="62"/>
      <c r="S134" s="62"/>
      <c r="T134" s="62"/>
      <c r="U134" s="62"/>
      <c r="V134" s="62"/>
      <c r="W134" s="62"/>
      <c r="X134" s="62"/>
      <c r="Y134" s="62"/>
      <c r="Z134" s="62"/>
      <c r="AA134" s="62"/>
      <c r="AB134" s="62"/>
      <c r="AC134" s="62"/>
      <c r="AD134" s="62"/>
      <c r="AE134" s="62"/>
      <c r="AF134" s="62"/>
      <c r="AG134" s="62"/>
      <c r="AH134" s="62"/>
      <c r="AI134" s="62"/>
      <c r="AJ134" s="62"/>
      <c r="AK134" s="62"/>
      <c r="AL134" s="62"/>
      <c r="AM134" s="62"/>
      <c r="AN134" s="62"/>
      <c r="AO134" s="62"/>
      <c r="AP134" s="62"/>
      <c r="AQ134" s="62"/>
      <c r="AR134" s="62"/>
      <c r="AS134" s="62"/>
      <c r="AT134" s="62"/>
      <c r="AU134" s="62"/>
      <c r="AV134" s="62"/>
      <c r="AW134" s="62"/>
      <c r="AX134" s="62"/>
      <c r="AY134" s="62"/>
      <c r="AZ134" s="62"/>
      <c r="BA134" s="62"/>
      <c r="BB134" s="62"/>
      <c r="BC134" s="62"/>
      <c r="BD134" s="62"/>
      <c r="BE134" s="62"/>
      <c r="BF134" s="62"/>
      <c r="BG134" s="62"/>
      <c r="BH134" s="62"/>
      <c r="BI134" s="62"/>
      <c r="BJ134" s="62"/>
      <c r="BK134" s="62"/>
      <c r="BL134" s="62"/>
      <c r="BM134" s="62"/>
      <c r="BN134" s="62"/>
      <c r="BO134" s="62"/>
      <c r="BP134" s="62"/>
      <c r="BQ134" s="62"/>
      <c r="BR134" s="62"/>
      <c r="BS134" s="62"/>
      <c r="BT134" s="62"/>
      <c r="BU134" s="62"/>
      <c r="BV134" s="62"/>
      <c r="BW134" s="62"/>
      <c r="BX134" s="62"/>
      <c r="BY134" s="62"/>
      <c r="BZ134" s="62"/>
      <c r="CA134" s="62"/>
    </row>
    <row r="135" spans="1:79" ht="12.75" customHeight="1" x14ac:dyDescent="0.35">
      <c r="B135" s="133" t="s">
        <v>189</v>
      </c>
      <c r="C135" s="84"/>
      <c r="D135" s="84"/>
      <c r="E135" s="84"/>
      <c r="F135" s="84"/>
      <c r="G135" s="84"/>
      <c r="H135" s="84"/>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298">
        <f>AJ25+AK25+AL25+AN25</f>
        <v>4977.1000000000004</v>
      </c>
      <c r="AJ135" s="298">
        <f>AK25+AL25+AN25+AO25</f>
        <v>5198.5</v>
      </c>
      <c r="AK135" s="298">
        <f>AL25+AO25+AN25+AP25</f>
        <v>5314</v>
      </c>
      <c r="AL135" s="298">
        <f>AP25+AN25+AO25+AQ25</f>
        <v>5371</v>
      </c>
      <c r="AM135" s="62"/>
      <c r="AN135" s="298">
        <f>AO25+AP25+AQ25+AS25</f>
        <v>5681</v>
      </c>
      <c r="AO135" s="298">
        <f>AP25+AQ25+AS25+AT25</f>
        <v>5799</v>
      </c>
      <c r="AP135" s="298">
        <f>AQ25+AT25+AS25+AU25</f>
        <v>5969</v>
      </c>
      <c r="AQ135" s="298">
        <f>AU25+AS25+AT25+AV25</f>
        <v>6218</v>
      </c>
      <c r="AR135" s="62"/>
      <c r="AS135" s="298">
        <f>AT25+AU25+AV25+AX25</f>
        <v>6140</v>
      </c>
      <c r="AT135" s="298">
        <f>AU25+AV25+AX25+AY25</f>
        <v>5968</v>
      </c>
      <c r="AU135" s="298">
        <f>AV25+AY25+AX25+AZ25</f>
        <v>5717</v>
      </c>
      <c r="AV135" s="298">
        <f>AZ25+AX25+AY25+BA25</f>
        <v>5468</v>
      </c>
      <c r="AW135" s="62"/>
      <c r="AX135" s="298">
        <f>AY25+AZ25+BA25+BC25</f>
        <v>5416</v>
      </c>
      <c r="AY135" s="298">
        <f>AZ25+BA25+BC25+BD25</f>
        <v>5529</v>
      </c>
      <c r="AZ135" s="298">
        <f>BA25+BD25+BC25+BE25</f>
        <v>5726</v>
      </c>
      <c r="BA135" s="298">
        <f>BE25+BC25+BD25+BF25</f>
        <v>5916</v>
      </c>
      <c r="BB135" s="62"/>
      <c r="BC135" s="298">
        <f>BD25+BE25+BF25+BH25</f>
        <v>6232</v>
      </c>
      <c r="BD135" s="298">
        <f>BE25+BF25+BH25+BI25</f>
        <v>6555</v>
      </c>
      <c r="BE135" s="298">
        <f>BF25+BI25+BH25+BJ25</f>
        <v>6896</v>
      </c>
      <c r="BF135" s="298">
        <f>BJ25+BH25+BI25+BK25</f>
        <v>7088</v>
      </c>
      <c r="BG135" s="62"/>
      <c r="BH135" s="298">
        <f>BI25+BJ25+BK25+BM25</f>
        <v>7226</v>
      </c>
      <c r="BI135" s="298">
        <f>BJ25+BK25+BM25+BN25</f>
        <v>7307</v>
      </c>
      <c r="BJ135" s="298">
        <f>BK25+BN25+BM25+BO25</f>
        <v>7498.43</v>
      </c>
      <c r="BK135" s="298">
        <f>BO25+BM25+BN25+BP25</f>
        <v>7674.668069020745</v>
      </c>
      <c r="BL135" s="62"/>
      <c r="BM135" s="298">
        <f>BN25+BO25+BP25+BR25</f>
        <v>7857.7684418622475</v>
      </c>
      <c r="BN135" s="298">
        <f>BO25+BP25+BR25+BS25</f>
        <v>8015.5690416348089</v>
      </c>
      <c r="BO135" s="298">
        <f>BP25+BS25+BR25+BT25</f>
        <v>8168.5547007612631</v>
      </c>
      <c r="BP135" s="298">
        <f>BT25+BR25+BS25+BU25</f>
        <v>8312.7143386445223</v>
      </c>
      <c r="BQ135" s="62"/>
      <c r="BR135" s="298"/>
      <c r="BS135" s="298"/>
      <c r="BT135" s="298"/>
      <c r="BU135" s="298"/>
      <c r="BV135" s="62"/>
      <c r="BW135" s="298"/>
      <c r="BX135" s="298"/>
      <c r="BY135" s="298"/>
      <c r="BZ135" s="298"/>
      <c r="CA135" s="62"/>
    </row>
    <row r="136" spans="1:79" ht="12.75" customHeight="1" x14ac:dyDescent="0.35">
      <c r="A136" s="133"/>
      <c r="B136" s="133" t="s">
        <v>195</v>
      </c>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299">
        <f>AJ88+AK88+AL88+AN88</f>
        <v>8.9564967172100847</v>
      </c>
      <c r="AJ136" s="299">
        <f>AK88+AL88+AN88+AO88</f>
        <v>9.7002190071947894</v>
      </c>
      <c r="AK136" s="299">
        <f>AL88+AN88+AO88+AP88</f>
        <v>10.236796383482375</v>
      </c>
      <c r="AL136" s="299">
        <f>AO88+AN88+AP88+AQ88</f>
        <v>10.151164940326346</v>
      </c>
      <c r="AM136" s="133"/>
      <c r="AN136" s="299">
        <f>AO88+AP88+AQ88+AS88</f>
        <v>11.47319133065079</v>
      </c>
      <c r="AO136" s="299">
        <f>AP88+AQ88+AS88+AT88</f>
        <v>11.878174280604469</v>
      </c>
      <c r="AP136" s="299">
        <f>AQ88+AS88+AT88+AU88</f>
        <v>11.87485184249898</v>
      </c>
      <c r="AQ136" s="299">
        <f>AT88+AS88+AU88+AV88</f>
        <v>12.288106776490554</v>
      </c>
      <c r="AR136" s="133"/>
      <c r="AS136" s="299">
        <f>AT88+AU88+AV88+AX88</f>
        <v>11.117448576672102</v>
      </c>
      <c r="AT136" s="299">
        <f>AU88+AV88+AX88+AY88</f>
        <v>10.115065630724592</v>
      </c>
      <c r="AU136" s="299">
        <f>AV88+AX88+AY88+AZ88</f>
        <v>9.2783652837603334</v>
      </c>
      <c r="AV136" s="299">
        <f>AY88+AX88+AZ88+BA88</f>
        <v>8.5559237916729103</v>
      </c>
      <c r="AX136" s="299">
        <f>AY88+AZ88+BA88+BC88</f>
        <v>8.6578851757652053</v>
      </c>
      <c r="AY136" s="299">
        <f>AZ88+BA88+BC88+BD88</f>
        <v>8.7381346698176596</v>
      </c>
      <c r="AZ136" s="299">
        <f>BA88+BC88+BD88+BE88</f>
        <v>9.3186516095533385</v>
      </c>
      <c r="BA136" s="299">
        <f>BD88+BC88+BE88+BF88</f>
        <v>9.9040614124086837</v>
      </c>
      <c r="BC136" s="299">
        <f>BD88+BE88+BF88+BH88</f>
        <v>10.286238373983666</v>
      </c>
      <c r="BD136" s="299">
        <f>BE88+BF88+BH88+BI88</f>
        <v>11.267262585700392</v>
      </c>
      <c r="BE136" s="299">
        <f>BF88+BH88+BI88+BJ88</f>
        <v>12.043394211668229</v>
      </c>
      <c r="BF136" s="299">
        <f>BI88+BH88+BJ88+BK88</f>
        <v>12.473554534832534</v>
      </c>
      <c r="BH136" s="299">
        <f>BI88+BJ88+BK88+BM88</f>
        <v>12.933422526690201</v>
      </c>
      <c r="BI136" s="299">
        <f>BJ88+BK88+BM88+BN88</f>
        <v>13.216343325074511</v>
      </c>
      <c r="BJ136" s="299">
        <f ca="1">BK88+BM88+BN88+BO88</f>
        <v>14.294955602364038</v>
      </c>
      <c r="BK136" s="299">
        <f ca="1">BN88+BM88+BO88+BP88</f>
        <v>15.023882036957001</v>
      </c>
      <c r="BM136" s="299">
        <f ca="1">BN88+BO88+BP88+BR88</f>
        <v>15.535470767514798</v>
      </c>
      <c r="BN136" s="299">
        <f ca="1">BO88+BP88+BR88+BS88</f>
        <v>16.109066298444539</v>
      </c>
      <c r="BO136" s="299">
        <f ca="1">BP88+BR88+BS88+BT88</f>
        <v>16.209256952739139</v>
      </c>
      <c r="BP136" s="299">
        <f ca="1">BS88+BR88+BT88+BU88</f>
        <v>16.437931536636018</v>
      </c>
      <c r="BR136" s="299"/>
      <c r="BS136" s="299"/>
      <c r="BT136" s="299"/>
      <c r="BU136" s="299"/>
      <c r="BW136" s="299"/>
      <c r="BX136" s="299"/>
      <c r="BY136" s="299"/>
      <c r="BZ136" s="299"/>
    </row>
    <row r="137" spans="1:79" ht="12.75" customHeight="1" x14ac:dyDescent="0.35">
      <c r="A137" s="133"/>
      <c r="B137" s="133" t="s">
        <v>196</v>
      </c>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299">
        <f>AJ90+AK90+AL90+AN90</f>
        <v>9.5009126976717191</v>
      </c>
      <c r="AJ137" s="299">
        <f>AK90+AL90+AN90+AO90</f>
        <v>10.258189017932805</v>
      </c>
      <c r="AK137" s="299">
        <f>AL90+AN90+AO90+AP90</f>
        <v>10.830301424926907</v>
      </c>
      <c r="AL137" s="299">
        <f>AO90+AN90+AP90+AQ90</f>
        <v>10.800386499191244</v>
      </c>
      <c r="AM137" s="133"/>
      <c r="AN137" s="299">
        <f>AO90+AP90+AQ90+AS90</f>
        <v>12.157631327472338</v>
      </c>
      <c r="AO137" s="299">
        <f>AP90+AQ90+AS90+AT90</f>
        <v>12.587181583146995</v>
      </c>
      <c r="AP137" s="299">
        <f>AQ90+AS90+AT90+AU90</f>
        <v>12.594979073181898</v>
      </c>
      <c r="AQ137" s="299">
        <f>AT90+AS90+AU90+AV90</f>
        <v>13.037509184869204</v>
      </c>
      <c r="AR137" s="133"/>
      <c r="AS137" s="299">
        <f>AT90+AU90+AV90+AX90</f>
        <v>11.865253987749846</v>
      </c>
      <c r="AT137" s="299">
        <f>AU90+AV90+AX90+AY90</f>
        <v>10.848475109090895</v>
      </c>
      <c r="AU137" s="299">
        <f>AV90+AX90+AY90+AZ90</f>
        <v>10.04307870939275</v>
      </c>
      <c r="AV137" s="299">
        <f>AY90+AX90+AZ90+BA90</f>
        <v>9.2682194485615028</v>
      </c>
      <c r="AX137" s="299">
        <f>AY90+AZ90+BA90+BC90</f>
        <v>9.4208275616655008</v>
      </c>
      <c r="AY137" s="299">
        <f>AZ90+BA90+BC90+BD90</f>
        <v>9.557485030538091</v>
      </c>
      <c r="AZ137" s="299">
        <f>BA90+BC90+BD90+BE90</f>
        <v>10.139280298939498</v>
      </c>
      <c r="BA137" s="299">
        <f>BD90+BC90+BE90+BF90</f>
        <v>10.77091118190118</v>
      </c>
      <c r="BC137" s="299">
        <f>BD90+BE90+BF90+BH90</f>
        <v>11.122049929868728</v>
      </c>
      <c r="BD137" s="299">
        <f>BE90+BF90+BH90+BI90</f>
        <v>12.130324657779781</v>
      </c>
      <c r="BE137" s="299">
        <f>BF90+BH90+BI90+BJ90</f>
        <v>12.735386352877164</v>
      </c>
      <c r="BF137" s="299">
        <f>BI90+BH90+BJ90+BK90</f>
        <v>13.390427181115211</v>
      </c>
      <c r="BH137" s="299">
        <f>BI90+BJ90+BK90+BM90</f>
        <v>13.869469493744766</v>
      </c>
      <c r="BI137" s="299">
        <f>BJ90+BK90+BM90+BN90</f>
        <v>14.160914581493886</v>
      </c>
      <c r="BJ137" s="299">
        <f ca="1">BK90+BM90+BN90+BO90</f>
        <v>15.246927234749034</v>
      </c>
      <c r="BK137" s="299">
        <f ca="1">BN90+BM90+BO90+BP90</f>
        <v>15.774390159301921</v>
      </c>
      <c r="BM137" s="299">
        <f ca="1">BN90+BO90+BP90+BR90</f>
        <v>16.291227596425912</v>
      </c>
      <c r="BN137" s="299">
        <f ca="1">BO90+BP90+BR90+BS90</f>
        <v>16.887849078012618</v>
      </c>
      <c r="BO137" s="299">
        <f ca="1">BP90+BR90+BS90+BT90</f>
        <v>16.990126195720915</v>
      </c>
      <c r="BP137" s="299">
        <f ca="1">BS90+BR90+BT90+BU90</f>
        <v>17.207781107938327</v>
      </c>
      <c r="BR137" s="299"/>
      <c r="BS137" s="299"/>
      <c r="BT137" s="299"/>
      <c r="BU137" s="299"/>
      <c r="BW137" s="299"/>
      <c r="BX137" s="299"/>
      <c r="BY137" s="299"/>
      <c r="BZ137" s="299"/>
    </row>
    <row r="138" spans="1:79" x14ac:dyDescent="0.35">
      <c r="A138" s="133"/>
      <c r="B138" s="133" t="s">
        <v>187</v>
      </c>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298">
        <f>AJ72+AK72+AL72+AN72</f>
        <v>2420.9</v>
      </c>
      <c r="AJ138" s="298">
        <f>AK72+AL72+AN72+AO72</f>
        <v>2587.9</v>
      </c>
      <c r="AK138" s="298">
        <f>AL72+AO72+AN72+AP72</f>
        <v>2695</v>
      </c>
      <c r="AL138" s="298">
        <f>AP72+AN72+AO72+AQ72</f>
        <v>2667</v>
      </c>
      <c r="AM138" s="133"/>
      <c r="AN138" s="298">
        <f>AO72+AP72+AQ72+AS72</f>
        <v>2932</v>
      </c>
      <c r="AO138" s="298">
        <f>AP72+AQ72+AS72+AT72</f>
        <v>3027</v>
      </c>
      <c r="AP138" s="298">
        <f>AQ72+AT72+AS72+AU72</f>
        <v>3043</v>
      </c>
      <c r="AQ138" s="298">
        <f>AU72+AS72+AT72+AV72</f>
        <v>3101</v>
      </c>
      <c r="AR138" s="133"/>
      <c r="AS138" s="298">
        <f>AT72+AU72+AV72+AX72</f>
        <v>2921</v>
      </c>
      <c r="AT138" s="298">
        <f>AU72+AV72+AX72+AY72</f>
        <v>2680</v>
      </c>
      <c r="AU138" s="298">
        <f>AV72+AY72+AX72+AZ72</f>
        <v>2440</v>
      </c>
      <c r="AV138" s="298">
        <f>AZ72+AX72+AY72+BA72</f>
        <v>2328</v>
      </c>
      <c r="AX138" s="298">
        <f>AY72+AZ72+BA72+BC72</f>
        <v>2250</v>
      </c>
      <c r="AY138" s="298">
        <f>AZ72+BA72+BC72+BD72</f>
        <v>2283</v>
      </c>
      <c r="AZ138" s="298">
        <f>BA72+BD72+BC72+BE72</f>
        <v>2443</v>
      </c>
      <c r="BA138" s="298">
        <f>BE72+BC72+BD72+BF72</f>
        <v>2597</v>
      </c>
      <c r="BC138" s="298">
        <f>BD72+BE72+BF72+BH72</f>
        <v>2847</v>
      </c>
      <c r="BD138" s="298">
        <f>BE72+BF72+BH72+BI72</f>
        <v>3096</v>
      </c>
      <c r="BE138" s="298">
        <f>BF72+BI72+BH72+BJ72</f>
        <v>3306</v>
      </c>
      <c r="BF138" s="298">
        <f>BJ72+BH72+BI72+BK72</f>
        <v>3408</v>
      </c>
      <c r="BH138" s="298">
        <f>BI72+BJ72+BK72+BM72</f>
        <v>3496</v>
      </c>
      <c r="BI138" s="298">
        <f>BJ72+BK72+BM72+BN72</f>
        <v>3560</v>
      </c>
      <c r="BJ138" s="298">
        <f>BK72+BN72+BM72+BO72</f>
        <v>3746.0443413438279</v>
      </c>
      <c r="BK138" s="298">
        <f>BO72+BM72+BN72+BP72</f>
        <v>3904.019148473898</v>
      </c>
      <c r="BM138" s="298">
        <f>BN72+BO72+BP72+BR72</f>
        <v>4026.3883908486082</v>
      </c>
      <c r="BN138" s="298">
        <f>BO72+BP72+BR72+BS72</f>
        <v>4138.0146976406668</v>
      </c>
      <c r="BO138" s="298">
        <f>BP72+BS72+BR72+BT72</f>
        <v>4224.8449125286406</v>
      </c>
      <c r="BP138" s="298">
        <f>BT72+BR72+BS72+BU72</f>
        <v>4303.3228841485343</v>
      </c>
      <c r="BR138" s="298"/>
      <c r="BS138" s="298"/>
      <c r="BT138" s="298"/>
      <c r="BU138" s="298"/>
      <c r="BW138" s="298"/>
      <c r="BX138" s="298"/>
      <c r="BY138" s="298"/>
      <c r="BZ138" s="298"/>
    </row>
    <row r="139" spans="1:79" x14ac:dyDescent="0.35">
      <c r="A139" s="133"/>
      <c r="B139" s="133" t="s">
        <v>197</v>
      </c>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298">
        <f>AJ36+AK36+AL36+AN36</f>
        <v>132.30000000000001</v>
      </c>
      <c r="AJ139" s="298">
        <f>AK36+AL36+AN36+AO36</f>
        <v>133.30000000000001</v>
      </c>
      <c r="AK139" s="298">
        <f>AL36+AO36+AN36+AP36</f>
        <v>140.30000000000001</v>
      </c>
      <c r="AL139" s="298">
        <f>AP36+AN36+AO36+AQ36</f>
        <v>154</v>
      </c>
      <c r="AM139" s="133"/>
      <c r="AN139" s="298">
        <f>AO36+AP36+AQ36+AS36</f>
        <v>162</v>
      </c>
      <c r="AO139" s="298">
        <f>AP36+AQ36+AS36+AT36</f>
        <v>168</v>
      </c>
      <c r="AP139" s="298">
        <f>AQ36+AT36+AS36+AU36</f>
        <v>171</v>
      </c>
      <c r="AQ139" s="298">
        <f>AU36+AS36+AT36+AV36</f>
        <v>175</v>
      </c>
      <c r="AR139" s="133"/>
      <c r="AS139" s="298">
        <f>AT36+AU36+AV36+AX36</f>
        <v>176</v>
      </c>
      <c r="AT139" s="298">
        <f>AU36+AV36+AX36+AY36</f>
        <v>173</v>
      </c>
      <c r="AU139" s="298">
        <f>AV36+AY36+AX36+AZ36</f>
        <v>178</v>
      </c>
      <c r="AV139" s="298">
        <f>AZ36+AX36+AY36+BA36</f>
        <v>169</v>
      </c>
      <c r="AX139" s="298">
        <f>AY36+AZ36+BA36+BC36</f>
        <v>170</v>
      </c>
      <c r="AY139" s="298">
        <f>AZ36+BA36+BC36+BD36</f>
        <v>182</v>
      </c>
      <c r="AZ139" s="298">
        <f>BA36+BD36+BC36+BE36</f>
        <v>182</v>
      </c>
      <c r="BA139" s="298">
        <f>BE36+BC36+BD36+BF36</f>
        <v>193</v>
      </c>
      <c r="BC139" s="298">
        <f>BD36+BE36+BF36+BH36</f>
        <v>199</v>
      </c>
      <c r="BD139" s="298">
        <f>BE36+BF36+BH36+BI36</f>
        <v>205</v>
      </c>
      <c r="BE139" s="298">
        <f>BF36+BI36+BH36+BJ36</f>
        <v>166</v>
      </c>
      <c r="BF139" s="298">
        <f>BJ36+BH36+BI36+BK36</f>
        <v>220</v>
      </c>
      <c r="BH139" s="298">
        <f>BI36+BJ36+BK36+BM36</f>
        <v>223</v>
      </c>
      <c r="BI139" s="298">
        <f>BJ36+BK36+BM36+BN36</f>
        <v>228</v>
      </c>
      <c r="BJ139" s="298">
        <f>BK36+BN36+BM36+BO36</f>
        <v>229</v>
      </c>
      <c r="BK139" s="298">
        <f>BO36+BM36+BN36+BP36</f>
        <v>175</v>
      </c>
      <c r="BM139" s="298">
        <f>BN36+BO36+BP36+BR36</f>
        <v>176</v>
      </c>
      <c r="BN139" s="298">
        <f>BO36+BP36+BR36+BS36</f>
        <v>177</v>
      </c>
      <c r="BO139" s="298">
        <f>BP36+BS36+BR36+BT36</f>
        <v>178</v>
      </c>
      <c r="BP139" s="298">
        <f>BT36+BR36+BS36+BU36</f>
        <v>179</v>
      </c>
      <c r="BR139" s="298"/>
      <c r="BS139" s="298"/>
      <c r="BT139" s="298"/>
      <c r="BU139" s="298"/>
      <c r="BW139" s="298"/>
      <c r="BX139" s="298"/>
      <c r="BY139" s="298"/>
      <c r="BZ139" s="298"/>
    </row>
    <row r="140" spans="1:79" x14ac:dyDescent="0.35">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298"/>
      <c r="AJ140" s="298"/>
      <c r="AK140" s="298"/>
      <c r="AL140" s="298"/>
      <c r="AM140" s="133"/>
      <c r="AN140" s="298"/>
      <c r="AO140" s="298"/>
      <c r="AP140" s="298"/>
      <c r="AQ140" s="298"/>
      <c r="AR140" s="133"/>
      <c r="AS140" s="298"/>
      <c r="AT140" s="298"/>
      <c r="AU140" s="298"/>
      <c r="AV140" s="298"/>
      <c r="AX140" s="298"/>
      <c r="AY140" s="298"/>
      <c r="AZ140" s="298"/>
      <c r="BA140" s="298"/>
      <c r="BC140" s="298"/>
      <c r="BD140" s="298"/>
      <c r="BE140" s="298"/>
      <c r="BF140" s="298"/>
      <c r="BH140" s="298"/>
      <c r="BI140" s="298"/>
      <c r="BJ140" s="298"/>
      <c r="BK140" s="298"/>
      <c r="BM140" s="298"/>
      <c r="BN140" s="298"/>
      <c r="BO140" s="298"/>
      <c r="BP140" s="298"/>
      <c r="BR140" s="298"/>
      <c r="BS140" s="298"/>
      <c r="BT140" s="298"/>
      <c r="BU140" s="298"/>
      <c r="BW140" s="298"/>
      <c r="BX140" s="298"/>
      <c r="BY140" s="298"/>
      <c r="BZ140" s="298"/>
    </row>
    <row r="141" spans="1:79" x14ac:dyDescent="0.35">
      <c r="A141" s="133"/>
      <c r="B141" s="133" t="s">
        <v>190</v>
      </c>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298">
        <f>AI25+AG25+AF25+AE25</f>
        <v>4458.1000000000004</v>
      </c>
      <c r="AJ141" s="298">
        <f>AJ25+AI25+AG25+AF25</f>
        <v>4496.5999999999995</v>
      </c>
      <c r="AK141" s="298">
        <f>AK25+AI25+AJ25+AG25</f>
        <v>4656.2999999999993</v>
      </c>
      <c r="AL141" s="298">
        <f>AL25+AJ25+AI25+AK25</f>
        <v>4829.2000000000007</v>
      </c>
      <c r="AM141" s="133"/>
      <c r="AN141" s="298">
        <f>AN25+AL25+AK25+AJ25</f>
        <v>4977.1000000000004</v>
      </c>
      <c r="AO141" s="298">
        <f>AO25+AN25+AL25+AK25</f>
        <v>5198.5</v>
      </c>
      <c r="AP141" s="298">
        <f>AP25+AN25+AO25+AL25</f>
        <v>5314</v>
      </c>
      <c r="AQ141" s="298">
        <f>AQ25+AO25+AN25+AP25</f>
        <v>5371</v>
      </c>
      <c r="AR141" s="133"/>
      <c r="AS141" s="298">
        <f>AS25+AQ25+AP25+AO25</f>
        <v>5681</v>
      </c>
      <c r="AT141" s="298">
        <f>AT25+AS25+AQ25+AP25</f>
        <v>5799</v>
      </c>
      <c r="AU141" s="298">
        <f>AU25+AS25+AT25+AQ25</f>
        <v>5969</v>
      </c>
      <c r="AV141" s="298">
        <f>AV25+AT25+AS25+AU25</f>
        <v>6218</v>
      </c>
      <c r="AX141" s="298">
        <f>AX25+AV25+AU25+AT25</f>
        <v>6140</v>
      </c>
      <c r="AY141" s="298">
        <f>AY25+AX25+AV25+AU25</f>
        <v>5968</v>
      </c>
      <c r="AZ141" s="298">
        <f>AZ25+AX25+AY25+AV25</f>
        <v>5717</v>
      </c>
      <c r="BA141" s="298">
        <f>BA25+AY25+AX25+AZ25</f>
        <v>5468</v>
      </c>
      <c r="BC141" s="298">
        <f>BC25+BA25+AZ25+AY25</f>
        <v>5416</v>
      </c>
      <c r="BD141" s="298">
        <f>BD25+BC25+BA25+AZ25</f>
        <v>5529</v>
      </c>
      <c r="BE141" s="298">
        <f>BE25+BC25+BD25+BA25</f>
        <v>5726</v>
      </c>
      <c r="BF141" s="298">
        <f>BF25+BD25+BC25+BE25</f>
        <v>5916</v>
      </c>
      <c r="BH141" s="298">
        <f>BH25+BF25+BE25+BD25</f>
        <v>6232</v>
      </c>
      <c r="BI141" s="298">
        <f>BI25+BH25+BF25+BE25</f>
        <v>6555</v>
      </c>
      <c r="BJ141" s="298">
        <f>BJ25+BH25+BI25+BF25</f>
        <v>6896</v>
      </c>
      <c r="BK141" s="298">
        <f>BK25+BI25+BH25+BJ25</f>
        <v>7088</v>
      </c>
      <c r="BM141" s="298">
        <f>BM25+BK25+BJ25+BI25</f>
        <v>7226</v>
      </c>
      <c r="BN141" s="298">
        <f>BN25+BM25+BK25+BJ25</f>
        <v>7307</v>
      </c>
      <c r="BO141" s="298">
        <f>BO25+BM25+BN25+BK25</f>
        <v>7498.43</v>
      </c>
      <c r="BP141" s="298">
        <f>BP25+BN25+BM25+BO25</f>
        <v>7674.668069020745</v>
      </c>
      <c r="BR141" s="298">
        <f>BR25+BP25+BO25+BN25</f>
        <v>7857.7684418622475</v>
      </c>
      <c r="BS141" s="298">
        <f>BS25+BR25+BP25+BO25</f>
        <v>8015.5690416348098</v>
      </c>
      <c r="BT141" s="298">
        <f>BT25+BR25+BS25+BP25</f>
        <v>8168.5547007612622</v>
      </c>
      <c r="BU141" s="298">
        <f>BU25+BS25+BR25+BT25</f>
        <v>8312.7143386445223</v>
      </c>
      <c r="BW141" s="298">
        <f>BW25+BU25+BT25+BS25</f>
        <v>8473.1613000392281</v>
      </c>
      <c r="BX141" s="298">
        <f>BX25+BW25+BU25+BT25</f>
        <v>8629.3824977802251</v>
      </c>
      <c r="BY141" s="298">
        <f>BY25+BW25+BX25+BU25</f>
        <v>8793.7921288200123</v>
      </c>
      <c r="BZ141" s="298">
        <f>BZ25+BX25+BW25+BY25</f>
        <v>8946.3581720819893</v>
      </c>
    </row>
    <row r="142" spans="1:79" x14ac:dyDescent="0.35">
      <c r="A142" s="133"/>
      <c r="B142" s="133" t="s">
        <v>191</v>
      </c>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298"/>
      <c r="AC142" s="133"/>
      <c r="AD142" s="298">
        <f>AD72+AB72+AA72+Z72</f>
        <v>2063.1</v>
      </c>
      <c r="AE142" s="298">
        <f>AE72+AD72+AB72+AA72</f>
        <v>2147.8999999999996</v>
      </c>
      <c r="AF142" s="298">
        <f>AF72+AD72+AE72+AB72</f>
        <v>2160.5</v>
      </c>
      <c r="AG142" s="298">
        <f>AG72+AE72+AD72+AF72</f>
        <v>2117.1</v>
      </c>
      <c r="AH142" s="133"/>
      <c r="AI142" s="298">
        <f>AI72+AG72+AF72+AE72</f>
        <v>2095.2999999999993</v>
      </c>
      <c r="AJ142" s="298">
        <f>AJ72+AI72+AG72+AF72</f>
        <v>2109.8999999999996</v>
      </c>
      <c r="AK142" s="298">
        <f>AK72+AI72+AJ72+AG72</f>
        <v>2209.6</v>
      </c>
      <c r="AL142" s="298">
        <f>AL72+AJ72+AI72+AK72</f>
        <v>2290.8000000000002</v>
      </c>
      <c r="AM142" s="133"/>
      <c r="AN142" s="298">
        <f>AN72+AL72+AK72+AJ72</f>
        <v>2420.9000000000005</v>
      </c>
      <c r="AO142" s="298">
        <f>AO72+AN72+AL72+AK72</f>
        <v>2587.9</v>
      </c>
      <c r="AP142" s="298">
        <f>AP72+AN72+AO72+AL72</f>
        <v>2695</v>
      </c>
      <c r="AQ142" s="298">
        <f>AQ72+AO72+AN72+AP72</f>
        <v>2667</v>
      </c>
      <c r="AR142" s="133"/>
      <c r="AS142" s="298">
        <f>AS72+AQ72+AP72+AO72</f>
        <v>2932</v>
      </c>
      <c r="AT142" s="298">
        <f>AT72+AS72+AQ72+AP72</f>
        <v>3027</v>
      </c>
      <c r="AU142" s="298">
        <f>AU72+AS72+AT72+AQ72</f>
        <v>3043</v>
      </c>
      <c r="AV142" s="298">
        <f>AV72+AT72+AS72+AU72</f>
        <v>3101</v>
      </c>
      <c r="AX142" s="298">
        <f>AX72+AV72+AU72+AT72</f>
        <v>2921</v>
      </c>
      <c r="AY142" s="298">
        <f>AY72+AX72+AV72+AU72</f>
        <v>2680</v>
      </c>
      <c r="AZ142" s="298">
        <f>AZ72+AX72+AY72+AV72</f>
        <v>2440</v>
      </c>
      <c r="BA142" s="298">
        <f>BA72+AY72+AX72+AZ72</f>
        <v>2328</v>
      </c>
      <c r="BC142" s="298">
        <f>BC72+BA72+AZ72+AY72</f>
        <v>2250</v>
      </c>
      <c r="BD142" s="298">
        <f>BD72+BC72+BA72+AZ72</f>
        <v>2283</v>
      </c>
      <c r="BE142" s="298">
        <f>BE72+BC72+BD72+BA72</f>
        <v>2443</v>
      </c>
      <c r="BF142" s="298">
        <f>BF72+BD72+BC72+BE72</f>
        <v>2597</v>
      </c>
      <c r="BH142" s="298">
        <f>BH72+BF72+BE72+BD72</f>
        <v>2847</v>
      </c>
      <c r="BI142" s="298">
        <f>BI72+BH72+BF72+BE72</f>
        <v>3096</v>
      </c>
      <c r="BJ142" s="298">
        <f>BJ72+BH72+BI72+BF72</f>
        <v>3306</v>
      </c>
      <c r="BK142" s="298">
        <f>BK72+BI72+BH72+BJ72</f>
        <v>3408</v>
      </c>
      <c r="BM142" s="298">
        <f>BM72+BK72+BJ72+BI72</f>
        <v>3496</v>
      </c>
      <c r="BN142" s="298">
        <f>BN72+BM72+BK72+BJ72</f>
        <v>3560</v>
      </c>
      <c r="BO142" s="298">
        <f>BO72+BM72+BN72+BK72</f>
        <v>3746.0443413438279</v>
      </c>
      <c r="BP142" s="298">
        <f>BP72+BN72+BM72+BO72</f>
        <v>3904.019148473898</v>
      </c>
      <c r="BR142" s="298">
        <f>BR72+BP72+BO72+BN72</f>
        <v>4026.3883908486082</v>
      </c>
      <c r="BS142" s="298">
        <f>BS72+BR72+BP72+BO72</f>
        <v>4138.0146976406668</v>
      </c>
      <c r="BT142" s="298">
        <f>BT72+BR72+BS72+BP72</f>
        <v>4224.8449125286406</v>
      </c>
      <c r="BU142" s="298">
        <f>BU72+BS72+BR72+BT72</f>
        <v>4303.3228841485343</v>
      </c>
      <c r="BW142" s="298">
        <f>BW72+BU72+BT72+BS72</f>
        <v>4410.7445284246105</v>
      </c>
      <c r="BX142" s="298">
        <f>BX72+BW72+BU72+BT72</f>
        <v>4514.6150002300401</v>
      </c>
      <c r="BY142" s="298">
        <f>BY72+BW72+BX72+BU72</f>
        <v>4621.8559145930221</v>
      </c>
      <c r="BZ142" s="298">
        <f>BZ72+BX72+BW72+BY72</f>
        <v>4715.8070152959363</v>
      </c>
    </row>
    <row r="143" spans="1:79" x14ac:dyDescent="0.35">
      <c r="A143" s="133"/>
      <c r="B143" s="133" t="s">
        <v>192</v>
      </c>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241">
        <f>AI142/AI141</f>
        <v>0.46999842982436446</v>
      </c>
      <c r="AJ143" s="241">
        <f>AJ142/AJ141</f>
        <v>0.46922118934305918</v>
      </c>
      <c r="AK143" s="241">
        <f>AK142/AK141</f>
        <v>0.4745398707127978</v>
      </c>
      <c r="AL143" s="241">
        <f>AL142/AL141</f>
        <v>0.4743642839393688</v>
      </c>
      <c r="AM143" s="133"/>
      <c r="AN143" s="241">
        <f>AN142/AN141</f>
        <v>0.48640774748347437</v>
      </c>
      <c r="AO143" s="241">
        <f>AO142/AO141</f>
        <v>0.49781667788785228</v>
      </c>
      <c r="AP143" s="241">
        <f>AP142/AP141</f>
        <v>0.50715092209258561</v>
      </c>
      <c r="AQ143" s="241">
        <f>AQ142/AQ141</f>
        <v>0.49655557624278535</v>
      </c>
      <c r="AR143" s="133"/>
      <c r="AS143" s="241">
        <f>AS142/AS141</f>
        <v>0.51610631930998063</v>
      </c>
      <c r="AT143" s="241">
        <f>AT142/AT141</f>
        <v>0.52198654940506983</v>
      </c>
      <c r="AU143" s="241">
        <f>AU142/AU141</f>
        <v>0.50980063662254982</v>
      </c>
      <c r="AV143" s="241">
        <f>AV142/AV141</f>
        <v>0.49871341267288516</v>
      </c>
      <c r="AX143" s="241">
        <f>AX142/AX141</f>
        <v>0.4757328990228013</v>
      </c>
      <c r="AY143" s="241">
        <f>AY142/AY141</f>
        <v>0.44906166219839144</v>
      </c>
      <c r="AZ143" s="241">
        <f>AZ142/AZ141</f>
        <v>0.42679727129613432</v>
      </c>
      <c r="BA143" s="241">
        <f>BA142/BA141</f>
        <v>0.42574981711777615</v>
      </c>
      <c r="BC143" s="241">
        <f>BC142/BC141</f>
        <v>0.41543574593796162</v>
      </c>
      <c r="BD143" s="241">
        <f>BD142/BD141</f>
        <v>0.41291372761801409</v>
      </c>
      <c r="BE143" s="241">
        <f>BE142/BE141</f>
        <v>0.42665036674816625</v>
      </c>
      <c r="BF143" s="241">
        <f>BF142/BF141</f>
        <v>0.4389790398918188</v>
      </c>
      <c r="BH143" s="241">
        <f>BH142/BH141</f>
        <v>0.45683568677792041</v>
      </c>
      <c r="BI143" s="241">
        <f>BI142/BI141</f>
        <v>0.47231121281464533</v>
      </c>
      <c r="BJ143" s="241">
        <f>BJ142/BJ141</f>
        <v>0.47940835266821347</v>
      </c>
      <c r="BK143" s="241">
        <f>BK142/BK141</f>
        <v>0.48081264108352145</v>
      </c>
      <c r="BM143" s="241">
        <f>BM142/BM141</f>
        <v>0.48380846941599781</v>
      </c>
      <c r="BN143" s="241">
        <f>BN142/BN141</f>
        <v>0.48720405091008623</v>
      </c>
      <c r="BO143" s="241">
        <f>BO142/BO141</f>
        <v>0.49957715699737515</v>
      </c>
      <c r="BP143" s="241">
        <f>BP142/BP141</f>
        <v>0.50868898998156076</v>
      </c>
      <c r="BR143" s="241">
        <f>BR142/BR141</f>
        <v>0.51240863365202149</v>
      </c>
      <c r="BS143" s="241">
        <f>BS142/BS141</f>
        <v>0.51624715302766588</v>
      </c>
      <c r="BT143" s="241">
        <f>BT142/BT141</f>
        <v>0.51720837618127347</v>
      </c>
      <c r="BU143" s="241">
        <f>BU142/BU141</f>
        <v>0.51767963012310581</v>
      </c>
      <c r="BW143" s="241">
        <f>BW142/BW141</f>
        <v>0.52055476961169034</v>
      </c>
      <c r="BX143" s="241">
        <f>BX142/BX141</f>
        <v>0.5231677934535125</v>
      </c>
      <c r="BY143" s="241">
        <f>BY142/BY141</f>
        <v>0.52558166566682329</v>
      </c>
      <c r="BZ143" s="241">
        <f>BZ142/BZ141</f>
        <v>0.52712030131010024</v>
      </c>
    </row>
    <row r="144" spans="1:79" x14ac:dyDescent="0.35">
      <c r="A144" s="133"/>
      <c r="B144" s="133" t="s">
        <v>188</v>
      </c>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298">
        <f>'BS &amp; CFS'!V71</f>
        <v>1341.3000000000002</v>
      </c>
      <c r="AJ144" s="298">
        <f>'BS &amp; CFS'!W71</f>
        <v>1687.4999999999966</v>
      </c>
      <c r="AK144" s="298">
        <f>'BS &amp; CFS'!X71</f>
        <v>1478.8999999999969</v>
      </c>
      <c r="AL144" s="298">
        <f>'BS &amp; CFS'!Y71</f>
        <v>1606.6000000000008</v>
      </c>
      <c r="AM144" s="133"/>
      <c r="AN144" s="298">
        <f>'BS &amp; CFS'!AA71</f>
        <v>1583.9000000000005</v>
      </c>
      <c r="AO144" s="298">
        <f>'BS &amp; CFS'!AB71</f>
        <v>1465.8000000000043</v>
      </c>
      <c r="AP144" s="298">
        <f>'BS &amp; CFS'!AC71</f>
        <v>1882.100000000004</v>
      </c>
      <c r="AQ144" s="298">
        <f>'BS &amp; CFS'!AD71</f>
        <v>2043.4</v>
      </c>
      <c r="AR144" s="133"/>
      <c r="AS144" s="298">
        <f>'BS &amp; CFS'!AF71</f>
        <v>3833</v>
      </c>
      <c r="AT144" s="298">
        <f>'BS &amp; CFS'!AG71</f>
        <v>2354</v>
      </c>
      <c r="AU144" s="298">
        <f>'BS &amp; CFS'!AH71</f>
        <v>2267</v>
      </c>
      <c r="AV144" s="298">
        <f>'BS &amp; CFS'!AI71</f>
        <v>1866</v>
      </c>
      <c r="AX144" s="298">
        <f>'BS &amp; CFS'!AK71</f>
        <v>1615</v>
      </c>
      <c r="AY144" s="298">
        <f>'BS &amp; CFS'!AL71</f>
        <v>1268</v>
      </c>
      <c r="AZ144" s="298">
        <f>'BS &amp; CFS'!AM71</f>
        <v>1130</v>
      </c>
      <c r="BA144" s="298">
        <f>'BS &amp; CFS'!AN71</f>
        <v>1191</v>
      </c>
      <c r="BC144" s="298">
        <f>'BS &amp; CFS'!AP71</f>
        <v>1315</v>
      </c>
      <c r="BD144" s="298">
        <f>'BS &amp; CFS'!AQ71</f>
        <v>1648</v>
      </c>
      <c r="BE144" s="298">
        <f>'BS &amp; CFS'!AR71</f>
        <v>1774</v>
      </c>
      <c r="BF144" s="298">
        <f>'BS &amp; CFS'!AS71</f>
        <v>1880</v>
      </c>
      <c r="BH144" s="298">
        <f>'BS &amp; CFS'!AU71</f>
        <v>2042</v>
      </c>
      <c r="BI144" s="298">
        <f>'BS &amp; CFS'!AV71</f>
        <v>2085</v>
      </c>
      <c r="BJ144" s="298">
        <f>'BS &amp; CFS'!AW71</f>
        <v>2325</v>
      </c>
      <c r="BK144" s="298">
        <f>'BS &amp; CFS'!AX71</f>
        <v>2521</v>
      </c>
      <c r="BM144" s="298">
        <f>'BS &amp; CFS'!AZ71</f>
        <v>2496</v>
      </c>
      <c r="BN144" s="298">
        <f>'BS &amp; CFS'!BA71</f>
        <v>2371</v>
      </c>
      <c r="BO144" s="298">
        <f ca="1">'BS &amp; CFS'!BB71</f>
        <v>2364.9885978016068</v>
      </c>
      <c r="BP144" s="298">
        <f ca="1">'BS &amp; CFS'!BC71</f>
        <v>2484.1482139473492</v>
      </c>
      <c r="BR144" s="298">
        <f ca="1">'BS &amp; CFS'!BE71</f>
        <v>2868.1873020920029</v>
      </c>
      <c r="BS144" s="298">
        <f ca="1">'BS &amp; CFS'!BF71</f>
        <v>2967.3384702508138</v>
      </c>
      <c r="BT144" s="298">
        <f ca="1">'BS &amp; CFS'!BG71</f>
        <v>2977.3834527395156</v>
      </c>
      <c r="BU144" s="298">
        <f ca="1">'BS &amp; CFS'!BH71</f>
        <v>3084.6624815993091</v>
      </c>
      <c r="BW144" s="298">
        <f ca="1">'BS &amp; CFS'!BJ71</f>
        <v>3185.729181651971</v>
      </c>
      <c r="BX144" s="298">
        <f ca="1">'BS &amp; CFS'!BK71</f>
        <v>3267.5825565138821</v>
      </c>
      <c r="BY144" s="298">
        <f ca="1">'BS &amp; CFS'!BL71</f>
        <v>3356.9703582845164</v>
      </c>
      <c r="BZ144" s="298">
        <f ca="1">'BS &amp; CFS'!BM71</f>
        <v>3452.2964308223218</v>
      </c>
    </row>
    <row r="145" spans="1:79" x14ac:dyDescent="0.35">
      <c r="A145" s="133"/>
      <c r="B145" s="133" t="s">
        <v>193</v>
      </c>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248">
        <f>AI144/AI142</f>
        <v>0.64014699565694677</v>
      </c>
      <c r="AJ145" s="248">
        <f>AJ144/AJ142</f>
        <v>0.79980093843309963</v>
      </c>
      <c r="AK145" s="248">
        <f>AK144/AK142</f>
        <v>0.66930666183924559</v>
      </c>
      <c r="AL145" s="248">
        <f>AL144/AL142</f>
        <v>0.70132704731971396</v>
      </c>
      <c r="AM145" s="133"/>
      <c r="AN145" s="248">
        <f>AN144/AN142</f>
        <v>0.65426081209467557</v>
      </c>
      <c r="AO145" s="248">
        <f>AO144/AO142</f>
        <v>0.56640519340005568</v>
      </c>
      <c r="AP145" s="248">
        <f>AP144/AP142</f>
        <v>0.698367346938777</v>
      </c>
      <c r="AQ145" s="248">
        <f>AQ144/AQ142</f>
        <v>0.76617922759655044</v>
      </c>
      <c r="AR145" s="133"/>
      <c r="AS145" s="248">
        <f>AS144/AS142</f>
        <v>1.3072987721691678</v>
      </c>
      <c r="AT145" s="248">
        <f>AT144/AT142</f>
        <v>0.77766765774694413</v>
      </c>
      <c r="AU145" s="248">
        <f>AU144/AU142</f>
        <v>0.74498849819257307</v>
      </c>
      <c r="AV145" s="248">
        <f>AV144/AV142</f>
        <v>0.60174137375040304</v>
      </c>
      <c r="AX145" s="248">
        <f>AX144/AX142</f>
        <v>0.55289284491612456</v>
      </c>
      <c r="AY145" s="248">
        <f>AY144/AY142</f>
        <v>0.47313432835820896</v>
      </c>
      <c r="AZ145" s="248">
        <f>AZ144/AZ142</f>
        <v>0.46311475409836067</v>
      </c>
      <c r="BA145" s="248">
        <f>BA144/BA142</f>
        <v>0.51159793814432986</v>
      </c>
      <c r="BC145" s="248">
        <f>BC144/BC142</f>
        <v>0.58444444444444443</v>
      </c>
      <c r="BD145" s="248">
        <f>BD144/BD142</f>
        <v>0.72185720543144982</v>
      </c>
      <c r="BE145" s="248">
        <f>BE144/BE142</f>
        <v>0.72615636512484649</v>
      </c>
      <c r="BF145" s="248">
        <f>BF144/BF142</f>
        <v>0.72391220639199072</v>
      </c>
      <c r="BH145" s="248">
        <f>BH144/BH142</f>
        <v>0.71724622409553918</v>
      </c>
      <c r="BI145" s="248">
        <f>BI144/BI142</f>
        <v>0.67344961240310075</v>
      </c>
      <c r="BJ145" s="248">
        <f>BJ144/BJ142</f>
        <v>0.70326678765880213</v>
      </c>
      <c r="BK145" s="248">
        <f>BK144/BK142</f>
        <v>0.73973004694835676</v>
      </c>
      <c r="BM145" s="248">
        <f>BM144/BM142</f>
        <v>0.71395881006864992</v>
      </c>
      <c r="BN145" s="248">
        <f>BN144/BN142</f>
        <v>0.66601123595505618</v>
      </c>
      <c r="BO145" s="248">
        <f ca="1">BO144/BO142</f>
        <v>0.63132957923109057</v>
      </c>
      <c r="BP145" s="248">
        <f ca="1">BP144/BP142</f>
        <v>0.63630533546906809</v>
      </c>
      <c r="BR145" s="248">
        <f ca="1">BR144/BR142</f>
        <v>0.71234740011941544</v>
      </c>
      <c r="BS145" s="248">
        <f ca="1">BS144/BS142</f>
        <v>0.71709229837744981</v>
      </c>
      <c r="BT145" s="248">
        <f ca="1">BT144/BT142</f>
        <v>0.70473201132429297</v>
      </c>
      <c r="BU145" s="248">
        <f ca="1">BU144/BU142</f>
        <v>0.71680944345630893</v>
      </c>
      <c r="BW145" s="248">
        <f ca="1">BW144/BW142</f>
        <v>0.72226563137398947</v>
      </c>
      <c r="BX145" s="248">
        <f ca="1">BX144/BX142</f>
        <v>0.72377878431436216</v>
      </c>
      <c r="BY145" s="248">
        <f ca="1">BY144/BY142</f>
        <v>0.72632518631427623</v>
      </c>
      <c r="BZ145" s="248">
        <f ca="1">BZ144/BZ142</f>
        <v>0.73206906466372357</v>
      </c>
    </row>
    <row r="146" spans="1:79" x14ac:dyDescent="0.35">
      <c r="A146" s="133"/>
      <c r="B146" s="133" t="s">
        <v>407</v>
      </c>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298">
        <f>AD85+AB85+AA85+Z85</f>
        <v>1280.5999999999999</v>
      </c>
      <c r="AE146" s="298">
        <f>AE85+AD85+AB85+AA85</f>
        <v>1378.2</v>
      </c>
      <c r="AF146" s="298">
        <f>AF85+AD85+AE85+AB85</f>
        <v>1412.3999999999999</v>
      </c>
      <c r="AG146" s="298">
        <f>AG85+AE85+AD85+AF85</f>
        <v>1436.1999999999998</v>
      </c>
      <c r="AH146" s="298">
        <f>AG146</f>
        <v>1436.1999999999998</v>
      </c>
      <c r="AI146" s="298">
        <f>AI85+AG85+AF85+AE85</f>
        <v>1441.2999999999997</v>
      </c>
      <c r="AJ146" s="298">
        <f>AJ85+AI85+AG85+AF85</f>
        <v>1440.2</v>
      </c>
      <c r="AK146" s="298">
        <f>AK85+AI85+AJ85+AG85</f>
        <v>1522.1</v>
      </c>
      <c r="AL146" s="298">
        <f>AL85+AJ85+AI85+AK85</f>
        <v>1586.9</v>
      </c>
      <c r="AM146" s="298">
        <f>AL146</f>
        <v>1586.9</v>
      </c>
      <c r="AN146" s="298">
        <f>AN85+AL85+AK85+AJ85</f>
        <v>1706.9</v>
      </c>
      <c r="AO146" s="298">
        <f>AO85+AN85+AL85+AK85</f>
        <v>1842.7</v>
      </c>
      <c r="AP146" s="298">
        <f>AP85+AN85+AO85+AL85</f>
        <v>1940.4</v>
      </c>
      <c r="AQ146" s="298">
        <f>AQ85+AO85+AN85+AP85</f>
        <v>1921.4</v>
      </c>
      <c r="AR146" s="298">
        <f>AQ146</f>
        <v>1921.4</v>
      </c>
      <c r="AS146" s="298">
        <f>AS85+AQ85+AP85+AO85</f>
        <v>2168</v>
      </c>
      <c r="AT146" s="298">
        <f>AT85+AS85+AQ85+AP85</f>
        <v>2241</v>
      </c>
      <c r="AU146" s="298">
        <f>AU85+AS85+AT85+AQ85</f>
        <v>2235</v>
      </c>
      <c r="AV146" s="298">
        <f>AV85+AT85+AS85+AU85</f>
        <v>2309</v>
      </c>
      <c r="AW146" s="298">
        <f>AV146</f>
        <v>2309</v>
      </c>
      <c r="AX146" s="298">
        <f>AX85+AV85+AU85+AT85</f>
        <v>2081</v>
      </c>
      <c r="AY146" s="298">
        <f>AY85+AX85+AV85+AU85</f>
        <v>1886</v>
      </c>
      <c r="AZ146" s="298">
        <f>AZ85+AX85+AY85+AV85</f>
        <v>1723</v>
      </c>
      <c r="BA146" s="298">
        <f>BA85+AY85+AX85+AZ85</f>
        <v>1582</v>
      </c>
      <c r="BB146" s="298">
        <f>BA146</f>
        <v>1582</v>
      </c>
      <c r="BC146" s="298">
        <f>BC85+BA85+AZ85+AY85</f>
        <v>1595</v>
      </c>
      <c r="BD146" s="298">
        <f>BD85+BC85+BA85+AZ85</f>
        <v>1608</v>
      </c>
      <c r="BE146" s="298">
        <f>BE85+BC85+BD85+BA85</f>
        <v>1715</v>
      </c>
      <c r="BF146" s="298">
        <f>BF85+BD85+BC85+BE85</f>
        <v>1822</v>
      </c>
      <c r="BG146" s="298">
        <f>BF146</f>
        <v>1822</v>
      </c>
      <c r="BH146" s="298">
        <f>BH85+BF85+BE85+BD85</f>
        <v>1890</v>
      </c>
      <c r="BI146" s="298">
        <f>BI85+BH85+BF85+BE85</f>
        <v>2067</v>
      </c>
      <c r="BJ146" s="298">
        <f>BJ85+BH85+BI85+BF85</f>
        <v>2205</v>
      </c>
      <c r="BK146" s="298">
        <f>BK85+BI85+BH85+BJ85</f>
        <v>2279</v>
      </c>
      <c r="BL146" s="298">
        <f>BK146</f>
        <v>2279</v>
      </c>
      <c r="BM146" s="298">
        <f>BM85+BK85+BJ85+BI85</f>
        <v>2353</v>
      </c>
      <c r="BN146" s="298">
        <f>BN85+BM85+BK85+BJ85</f>
        <v>2393</v>
      </c>
      <c r="BO146" s="298">
        <f ca="1">BO85+BM85+BN85+BK85</f>
        <v>2577.2086700037726</v>
      </c>
      <c r="BP146" s="298">
        <f ca="1">BP85+BN85+BM85+BO85</f>
        <v>2700.2784412933452</v>
      </c>
      <c r="BQ146" s="298">
        <f ca="1">BP146</f>
        <v>2700.2784412933452</v>
      </c>
      <c r="BR146" s="298">
        <f ca="1">BR85+BP85+BO85+BN85</f>
        <v>2782.3037877680708</v>
      </c>
      <c r="BS146" s="298">
        <f ca="1">BS85+BR85+BP85+BO85</f>
        <v>2877.1296903068487</v>
      </c>
      <c r="BT146" s="298">
        <f ca="1">BT85+BR85+BS85+BP85</f>
        <v>2884.3774304455301</v>
      </c>
      <c r="BU146" s="298">
        <f ca="1">BU85+BS85+BR85+BT85</f>
        <v>2916.7017843239273</v>
      </c>
      <c r="BV146" s="298">
        <f ca="1">BU146</f>
        <v>2916.7017843239273</v>
      </c>
      <c r="BW146" s="298">
        <f ca="1">BW85+BU85+BT85+BS85</f>
        <v>2986.5981937730335</v>
      </c>
      <c r="BX146" s="298">
        <f ca="1">BX85+BW85+BU85+BT85</f>
        <v>3061.5688452354416</v>
      </c>
      <c r="BY146" s="298">
        <f ca="1">BY85+BW85+BX85+BU85</f>
        <v>3137.1070392187676</v>
      </c>
      <c r="BZ146" s="298">
        <f ca="1">BZ85+BX85+BW85+BY85</f>
        <v>3201.6542253973216</v>
      </c>
      <c r="CA146" s="298">
        <f ca="1">BZ146</f>
        <v>3201.6542253973216</v>
      </c>
    </row>
    <row r="147" spans="1:79" x14ac:dyDescent="0.35">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row>
    <row r="148" spans="1:79" x14ac:dyDescent="0.35">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row>
    <row r="149" spans="1:79" x14ac:dyDescent="0.35">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row>
    <row r="150" spans="1:79" x14ac:dyDescent="0.35">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row>
    <row r="151" spans="1:79" customFormat="1" x14ac:dyDescent="0.35"/>
    <row r="152" spans="1:79" customFormat="1" x14ac:dyDescent="0.35"/>
    <row r="153" spans="1:79" customFormat="1" x14ac:dyDescent="0.35"/>
    <row r="154" spans="1:79" customFormat="1" x14ac:dyDescent="0.35"/>
    <row r="155" spans="1:79" customFormat="1" x14ac:dyDescent="0.35"/>
    <row r="156" spans="1:79" customFormat="1" x14ac:dyDescent="0.35"/>
    <row r="157" spans="1:79" customFormat="1" x14ac:dyDescent="0.35"/>
    <row r="158" spans="1:79" customFormat="1" x14ac:dyDescent="0.35"/>
    <row r="159" spans="1:79" customFormat="1" x14ac:dyDescent="0.35"/>
    <row r="160" spans="1:79"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sheetData>
  <pageMargins left="0.1" right="0.1" top="0.1" bottom="0.1" header="0.1" footer="0.1"/>
  <pageSetup scale="17" fitToHeight="0" orientation="landscape" r:id="rId1"/>
  <rowBreaks count="1" manualBreakCount="1">
    <brk id="65" max="78" man="1"/>
  </rowBreaks>
  <customProperties>
    <customPr name="Worksheet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Q141"/>
  <sheetViews>
    <sheetView showGridLines="0" tabSelected="1" view="pageBreakPreview" zoomScaleNormal="70" zoomScaleSheetLayoutView="100" workbookViewId="0">
      <pane xSplit="5" ySplit="7" topLeftCell="U29" activePane="bottomRight" state="frozen"/>
      <selection pane="topRight" activeCell="F1" sqref="F1"/>
      <selection pane="bottomLeft" activeCell="A8" sqref="A8"/>
      <selection pane="bottomRight" activeCell="BH39" sqref="BH39"/>
    </sheetView>
  </sheetViews>
  <sheetFormatPr defaultRowHeight="12.75" outlineLevelRow="1" outlineLevelCol="1" x14ac:dyDescent="0.35"/>
  <cols>
    <col min="1" max="1" width="1.73046875" style="2" customWidth="1"/>
    <col min="2" max="2" width="36.3984375" style="2" customWidth="1"/>
    <col min="3" max="3" width="2.1328125" style="2" customWidth="1"/>
    <col min="4" max="4" width="2.59765625" style="2" customWidth="1"/>
    <col min="5" max="5" width="9.73046875" style="2" customWidth="1"/>
    <col min="6" max="10" width="9.73046875" style="2" hidden="1" customWidth="1" outlineLevel="1"/>
    <col min="11" max="11" width="9.73046875" style="2" hidden="1" customWidth="1" outlineLevel="1" collapsed="1"/>
    <col min="12" max="15" width="9.73046875" style="2" hidden="1" customWidth="1" outlineLevel="1"/>
    <col min="16" max="16" width="9.73046875" style="2" customWidth="1" collapsed="1"/>
    <col min="17" max="20" width="9.73046875" style="2" hidden="1" customWidth="1" outlineLevel="1"/>
    <col min="21" max="21" width="9.73046875" style="2" customWidth="1" collapsed="1"/>
    <col min="22" max="25" width="9.73046875" style="2" hidden="1" customWidth="1" outlineLevel="1"/>
    <col min="26" max="26" width="9.73046875" style="2" customWidth="1" collapsed="1"/>
    <col min="27" max="30" width="9.73046875" style="2" hidden="1" customWidth="1" outlineLevel="1"/>
    <col min="31" max="31" width="9.73046875" style="2" customWidth="1" collapsed="1"/>
    <col min="32" max="35" width="9.73046875" style="2" hidden="1" customWidth="1" outlineLevel="1"/>
    <col min="36" max="36" width="9.73046875" style="2" customWidth="1" collapsed="1"/>
    <col min="37" max="40" width="9.73046875" style="2" hidden="1" customWidth="1" outlineLevel="1"/>
    <col min="41" max="41" width="9.73046875" style="2" customWidth="1" collapsed="1"/>
    <col min="42" max="45" width="9.73046875" style="2" hidden="1" customWidth="1" outlineLevel="1"/>
    <col min="46" max="46" width="9.73046875" style="2" customWidth="1" collapsed="1"/>
    <col min="47" max="50" width="9.73046875" style="2" hidden="1" customWidth="1" outlineLevel="1"/>
    <col min="51" max="51" width="9.73046875" style="2" customWidth="1" collapsed="1"/>
    <col min="52" max="55" width="9.73046875" style="2" customWidth="1" outlineLevel="1"/>
    <col min="56" max="56" width="9.73046875" style="2" customWidth="1"/>
    <col min="57" max="60" width="9.73046875" style="2" customWidth="1" outlineLevel="1"/>
    <col min="61" max="61" width="9.73046875" style="2" customWidth="1"/>
    <col min="62" max="65" width="9.73046875" style="2" hidden="1" customWidth="1" outlineLevel="1"/>
    <col min="66" max="66" width="9.73046875" style="2" customWidth="1" collapsed="1"/>
    <col min="67" max="67" width="9.73046875" style="133" customWidth="1"/>
    <col min="68" max="69" width="9.73046875" style="2" customWidth="1"/>
    <col min="70" max="135" width="9.73046875" customWidth="1"/>
  </cols>
  <sheetData>
    <row r="1" spans="1:69" s="133" customFormat="1" outlineLevel="1" x14ac:dyDescent="0.35">
      <c r="A1" s="2"/>
      <c r="B1" s="2"/>
      <c r="C1" s="2"/>
      <c r="D1" s="2"/>
      <c r="E1" s="2"/>
      <c r="F1" s="3"/>
      <c r="G1" s="3" t="s">
        <v>1</v>
      </c>
      <c r="H1" s="3" t="s">
        <v>2</v>
      </c>
      <c r="I1" s="3" t="s">
        <v>3</v>
      </c>
      <c r="J1" s="3" t="s">
        <v>4</v>
      </c>
      <c r="K1" s="3" t="s">
        <v>6</v>
      </c>
      <c r="L1" s="3" t="s">
        <v>1</v>
      </c>
      <c r="M1" s="3" t="s">
        <v>2</v>
      </c>
      <c r="N1" s="3" t="s">
        <v>3</v>
      </c>
      <c r="O1" s="3" t="s">
        <v>4</v>
      </c>
      <c r="P1" s="3" t="s">
        <v>7</v>
      </c>
      <c r="Q1" s="3" t="s">
        <v>1</v>
      </c>
      <c r="R1" s="3" t="s">
        <v>2</v>
      </c>
      <c r="S1" s="3" t="s">
        <v>3</v>
      </c>
      <c r="T1" s="3" t="s">
        <v>4</v>
      </c>
      <c r="U1" s="3" t="s">
        <v>45</v>
      </c>
      <c r="V1" s="3" t="s">
        <v>1</v>
      </c>
      <c r="W1" s="3" t="s">
        <v>2</v>
      </c>
      <c r="X1" s="3" t="s">
        <v>3</v>
      </c>
      <c r="Y1" s="3" t="s">
        <v>4</v>
      </c>
      <c r="Z1" s="3" t="s">
        <v>46</v>
      </c>
      <c r="AA1" s="3" t="s">
        <v>1</v>
      </c>
      <c r="AB1" s="3" t="s">
        <v>2</v>
      </c>
      <c r="AC1" s="3" t="s">
        <v>3</v>
      </c>
      <c r="AD1" s="3" t="s">
        <v>4</v>
      </c>
      <c r="AE1" s="3" t="s">
        <v>47</v>
      </c>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row>
    <row r="2" spans="1:69" ht="12.75" customHeight="1" x14ac:dyDescent="0.35">
      <c r="B2" s="127"/>
      <c r="C2" s="4"/>
      <c r="D2" s="4"/>
      <c r="E2" s="4"/>
      <c r="F2" s="5"/>
      <c r="G2" s="5"/>
      <c r="K2" s="5"/>
      <c r="L2" s="5"/>
      <c r="P2" s="6"/>
      <c r="Q2" s="6"/>
      <c r="R2" s="6"/>
      <c r="S2" s="6"/>
      <c r="T2" s="6"/>
      <c r="U2" s="6"/>
      <c r="BO2"/>
      <c r="BP2"/>
      <c r="BQ2"/>
    </row>
    <row r="3" spans="1:69" ht="20.100000000000001" customHeight="1" x14ac:dyDescent="0.35">
      <c r="B3" s="7" t="s">
        <v>369</v>
      </c>
      <c r="C3" s="201"/>
      <c r="D3" s="201"/>
      <c r="E3" s="201"/>
      <c r="F3" s="133"/>
      <c r="G3" s="8"/>
      <c r="H3" s="133"/>
      <c r="I3" s="133"/>
      <c r="J3" s="133"/>
      <c r="K3" s="133"/>
      <c r="L3" s="133"/>
      <c r="N3" s="9"/>
      <c r="O3" s="9"/>
      <c r="P3" s="3"/>
      <c r="Q3" s="3"/>
      <c r="R3" s="3"/>
      <c r="S3" s="3"/>
      <c r="T3" s="3"/>
      <c r="U3" s="3"/>
      <c r="X3" s="10"/>
      <c r="Y3" s="10"/>
      <c r="Z3" s="10"/>
      <c r="AC3" s="206"/>
      <c r="BO3"/>
      <c r="BP3"/>
      <c r="BQ3"/>
    </row>
    <row r="4" spans="1:69" ht="12.75" customHeight="1" x14ac:dyDescent="0.35">
      <c r="B4" s="11" t="s">
        <v>65</v>
      </c>
      <c r="C4" s="11"/>
      <c r="D4" s="11"/>
      <c r="E4" s="11"/>
      <c r="F4" s="133"/>
      <c r="G4" s="13"/>
      <c r="H4" s="133"/>
      <c r="I4" s="133"/>
      <c r="J4" s="133"/>
      <c r="K4" s="133"/>
      <c r="L4" s="133"/>
      <c r="N4" s="14"/>
      <c r="O4" s="15"/>
      <c r="P4" s="16"/>
      <c r="Q4" s="16"/>
      <c r="R4" s="16"/>
      <c r="S4" s="16"/>
      <c r="T4" s="16"/>
      <c r="U4" s="16"/>
      <c r="Y4" s="17"/>
      <c r="Z4" s="17"/>
      <c r="AA4" s="17"/>
      <c r="AB4" s="17"/>
      <c r="BO4"/>
      <c r="BP4"/>
      <c r="BQ4"/>
    </row>
    <row r="5" spans="1:69" x14ac:dyDescent="0.35">
      <c r="B5" s="18" t="s">
        <v>9</v>
      </c>
      <c r="C5" s="18"/>
      <c r="D5" s="18"/>
      <c r="E5" s="18"/>
      <c r="F5" s="133"/>
      <c r="G5" s="19"/>
      <c r="H5" s="133"/>
      <c r="I5" s="133"/>
      <c r="J5" s="133"/>
      <c r="K5" s="133"/>
      <c r="L5" s="133"/>
      <c r="O5" s="20"/>
      <c r="P5" s="21"/>
      <c r="Q5" s="22"/>
      <c r="R5" s="22"/>
      <c r="S5" s="22"/>
      <c r="T5" s="22"/>
      <c r="U5" s="22"/>
      <c r="Y5" s="23"/>
      <c r="Z5" s="23"/>
      <c r="AA5" s="23"/>
      <c r="AB5" s="23"/>
      <c r="BO5"/>
      <c r="BP5"/>
      <c r="BQ5"/>
    </row>
    <row r="6" spans="1:69" x14ac:dyDescent="0.35">
      <c r="B6" s="130"/>
      <c r="C6" s="38"/>
      <c r="D6" s="38"/>
      <c r="F6" s="25"/>
      <c r="G6" s="26" t="s">
        <v>11</v>
      </c>
      <c r="H6" s="26"/>
      <c r="I6" s="27"/>
      <c r="J6" s="27"/>
      <c r="K6" s="25"/>
      <c r="L6" s="26" t="s">
        <v>12</v>
      </c>
      <c r="M6" s="26"/>
      <c r="N6" s="27"/>
      <c r="O6" s="27"/>
      <c r="P6" s="25"/>
      <c r="Q6" s="26" t="s">
        <v>53</v>
      </c>
      <c r="R6" s="26"/>
      <c r="S6" s="27"/>
      <c r="T6" s="27"/>
      <c r="U6" s="25"/>
      <c r="V6" s="26" t="s">
        <v>281</v>
      </c>
      <c r="W6" s="26"/>
      <c r="X6" s="27"/>
      <c r="Y6" s="27"/>
      <c r="Z6" s="25"/>
      <c r="AA6" s="26" t="s">
        <v>319</v>
      </c>
      <c r="AB6" s="26"/>
      <c r="AC6" s="27"/>
      <c r="AD6" s="27"/>
      <c r="AE6" s="25"/>
      <c r="AF6" s="26" t="s">
        <v>371</v>
      </c>
      <c r="AG6" s="26"/>
      <c r="AH6" s="27"/>
      <c r="AI6" s="27"/>
      <c r="AJ6" s="25"/>
      <c r="AK6" s="26" t="s">
        <v>469</v>
      </c>
      <c r="AL6" s="26"/>
      <c r="AM6" s="27"/>
      <c r="AN6" s="27"/>
      <c r="AO6" s="25"/>
      <c r="AP6" s="26" t="s">
        <v>489</v>
      </c>
      <c r="AQ6" s="26"/>
      <c r="AR6" s="27"/>
      <c r="AS6" s="27"/>
      <c r="AT6" s="25"/>
      <c r="AU6" s="26" t="s">
        <v>508</v>
      </c>
      <c r="AV6" s="26"/>
      <c r="AW6" s="27"/>
      <c r="AX6" s="27"/>
      <c r="AY6" s="25"/>
      <c r="AZ6" s="26" t="s">
        <v>477</v>
      </c>
      <c r="BA6" s="26"/>
      <c r="BB6" s="27"/>
      <c r="BC6" s="27"/>
      <c r="BD6" s="25"/>
      <c r="BE6" s="26" t="s">
        <v>493</v>
      </c>
      <c r="BF6" s="26"/>
      <c r="BG6" s="27"/>
      <c r="BH6" s="27"/>
      <c r="BI6" s="25"/>
      <c r="BJ6" s="26" t="s">
        <v>513</v>
      </c>
      <c r="BK6" s="26"/>
      <c r="BL6" s="27"/>
      <c r="BM6" s="27"/>
      <c r="BN6" s="25"/>
      <c r="BO6"/>
      <c r="BP6"/>
      <c r="BQ6"/>
    </row>
    <row r="7" spans="1:69" x14ac:dyDescent="0.35">
      <c r="B7" s="131"/>
      <c r="C7" s="28"/>
      <c r="D7" s="28"/>
      <c r="E7" s="28"/>
      <c r="F7" s="29" t="s">
        <v>10</v>
      </c>
      <c r="G7" s="30" t="s">
        <v>15</v>
      </c>
      <c r="H7" s="31" t="s">
        <v>16</v>
      </c>
      <c r="I7" s="31" t="s">
        <v>17</v>
      </c>
      <c r="J7" s="30" t="s">
        <v>18</v>
      </c>
      <c r="K7" s="29" t="s">
        <v>11</v>
      </c>
      <c r="L7" s="30" t="s">
        <v>19</v>
      </c>
      <c r="M7" s="31" t="s">
        <v>20</v>
      </c>
      <c r="N7" s="31" t="s">
        <v>21</v>
      </c>
      <c r="O7" s="30" t="s">
        <v>22</v>
      </c>
      <c r="P7" s="29" t="s">
        <v>12</v>
      </c>
      <c r="Q7" s="30" t="s">
        <v>23</v>
      </c>
      <c r="R7" s="31" t="s">
        <v>48</v>
      </c>
      <c r="S7" s="31" t="s">
        <v>52</v>
      </c>
      <c r="T7" s="30" t="s">
        <v>95</v>
      </c>
      <c r="U7" s="29" t="s">
        <v>53</v>
      </c>
      <c r="V7" s="30" t="s">
        <v>169</v>
      </c>
      <c r="W7" s="31" t="s">
        <v>269</v>
      </c>
      <c r="X7" s="31" t="s">
        <v>274</v>
      </c>
      <c r="Y7" s="30" t="s">
        <v>280</v>
      </c>
      <c r="Z7" s="29" t="s">
        <v>281</v>
      </c>
      <c r="AA7" s="30" t="s">
        <v>293</v>
      </c>
      <c r="AB7" s="31" t="s">
        <v>305</v>
      </c>
      <c r="AC7" s="31" t="s">
        <v>312</v>
      </c>
      <c r="AD7" s="30" t="s">
        <v>318</v>
      </c>
      <c r="AE7" s="29" t="s">
        <v>319</v>
      </c>
      <c r="AF7" s="30" t="s">
        <v>327</v>
      </c>
      <c r="AG7" s="31" t="s">
        <v>335</v>
      </c>
      <c r="AH7" s="31" t="s">
        <v>343</v>
      </c>
      <c r="AI7" s="30" t="s">
        <v>370</v>
      </c>
      <c r="AJ7" s="29" t="s">
        <v>371</v>
      </c>
      <c r="AK7" s="30" t="s">
        <v>418</v>
      </c>
      <c r="AL7" s="30" t="s">
        <v>438</v>
      </c>
      <c r="AM7" s="30" t="s">
        <v>452</v>
      </c>
      <c r="AN7" s="30" t="s">
        <v>468</v>
      </c>
      <c r="AO7" s="29" t="s">
        <v>469</v>
      </c>
      <c r="AP7" s="30" t="s">
        <v>476</v>
      </c>
      <c r="AQ7" s="30" t="s">
        <v>479</v>
      </c>
      <c r="AR7" s="30" t="s">
        <v>486</v>
      </c>
      <c r="AS7" s="30" t="s">
        <v>488</v>
      </c>
      <c r="AT7" s="29" t="s">
        <v>489</v>
      </c>
      <c r="AU7" s="30" t="s">
        <v>491</v>
      </c>
      <c r="AV7" s="30" t="s">
        <v>499</v>
      </c>
      <c r="AW7" s="30" t="s">
        <v>503</v>
      </c>
      <c r="AX7" s="30" t="s">
        <v>509</v>
      </c>
      <c r="AY7" s="29" t="s">
        <v>508</v>
      </c>
      <c r="AZ7" s="30" t="s">
        <v>511</v>
      </c>
      <c r="BA7" s="30" t="s">
        <v>518</v>
      </c>
      <c r="BB7" s="30" t="s">
        <v>527</v>
      </c>
      <c r="BC7" s="30" t="s">
        <v>478</v>
      </c>
      <c r="BD7" s="29" t="s">
        <v>477</v>
      </c>
      <c r="BE7" s="30" t="s">
        <v>494</v>
      </c>
      <c r="BF7" s="30" t="s">
        <v>495</v>
      </c>
      <c r="BG7" s="30" t="s">
        <v>496</v>
      </c>
      <c r="BH7" s="30" t="s">
        <v>497</v>
      </c>
      <c r="BI7" s="29" t="s">
        <v>493</v>
      </c>
      <c r="BJ7" s="30" t="s">
        <v>514</v>
      </c>
      <c r="BK7" s="30" t="s">
        <v>515</v>
      </c>
      <c r="BL7" s="30" t="s">
        <v>516</v>
      </c>
      <c r="BM7" s="30" t="s">
        <v>517</v>
      </c>
      <c r="BN7" s="29" t="s">
        <v>513</v>
      </c>
      <c r="BO7"/>
      <c r="BP7"/>
      <c r="BQ7"/>
    </row>
    <row r="8" spans="1:69" x14ac:dyDescent="0.35">
      <c r="A8" s="24"/>
      <c r="B8" s="301" t="s">
        <v>66</v>
      </c>
      <c r="C8" s="301"/>
      <c r="D8" s="301"/>
      <c r="E8" s="301"/>
      <c r="F8" s="308"/>
      <c r="G8" s="307"/>
      <c r="H8" s="307"/>
      <c r="I8" s="307"/>
      <c r="J8" s="307"/>
      <c r="K8" s="308"/>
      <c r="L8" s="307"/>
      <c r="M8" s="307"/>
      <c r="N8" s="307"/>
      <c r="O8" s="307"/>
      <c r="P8" s="307"/>
      <c r="Q8" s="307"/>
      <c r="R8" s="307"/>
      <c r="S8" s="307"/>
      <c r="T8" s="307"/>
      <c r="U8" s="307"/>
      <c r="V8" s="307"/>
      <c r="W8" s="307"/>
      <c r="X8" s="307"/>
      <c r="Y8" s="307"/>
      <c r="Z8" s="307"/>
      <c r="AA8" s="307"/>
      <c r="AB8" s="307"/>
      <c r="AC8" s="307"/>
      <c r="AD8" s="307"/>
      <c r="AE8" s="307"/>
      <c r="AF8" s="307"/>
      <c r="AG8" s="307"/>
      <c r="AH8" s="307"/>
      <c r="AI8" s="307"/>
      <c r="AJ8" s="307"/>
      <c r="AK8" s="307"/>
      <c r="AL8" s="307"/>
      <c r="AM8" s="307"/>
      <c r="AN8" s="307"/>
      <c r="AO8" s="307"/>
      <c r="AP8" s="307"/>
      <c r="AQ8" s="307"/>
      <c r="AR8" s="307"/>
      <c r="AS8" s="307"/>
      <c r="AT8" s="307"/>
      <c r="AU8" s="307"/>
      <c r="AV8" s="307"/>
      <c r="AW8" s="307"/>
      <c r="AX8" s="307"/>
      <c r="AY8" s="307"/>
      <c r="AZ8" s="307"/>
      <c r="BA8" s="307"/>
      <c r="BB8" s="307"/>
      <c r="BC8" s="307"/>
      <c r="BD8" s="307"/>
      <c r="BE8" s="307"/>
      <c r="BF8" s="307"/>
      <c r="BG8" s="307"/>
      <c r="BH8" s="307"/>
      <c r="BI8" s="307"/>
      <c r="BJ8" s="307"/>
      <c r="BK8" s="307"/>
      <c r="BL8" s="307"/>
      <c r="BM8" s="307"/>
      <c r="BN8" s="307"/>
      <c r="BO8"/>
      <c r="BP8"/>
      <c r="BQ8"/>
    </row>
    <row r="9" spans="1:69" x14ac:dyDescent="0.35">
      <c r="A9" s="24"/>
      <c r="B9" s="24" t="s">
        <v>67</v>
      </c>
      <c r="C9" s="24"/>
      <c r="D9" s="24"/>
      <c r="E9" s="24"/>
      <c r="F9" s="144"/>
      <c r="G9" s="16"/>
      <c r="H9" s="16"/>
      <c r="I9" s="16"/>
      <c r="J9" s="16"/>
      <c r="K9" s="144"/>
      <c r="L9" s="16"/>
      <c r="M9" s="16"/>
      <c r="N9" s="75"/>
      <c r="O9" s="16"/>
      <c r="P9" s="39"/>
      <c r="Q9" s="16"/>
      <c r="R9" s="16"/>
      <c r="S9" s="75"/>
      <c r="T9" s="16"/>
      <c r="U9" s="39"/>
      <c r="V9" s="16"/>
      <c r="W9" s="16"/>
      <c r="X9" s="16"/>
      <c r="Y9" s="16"/>
      <c r="Z9" s="39"/>
      <c r="AA9" s="16"/>
      <c r="AB9" s="16"/>
      <c r="AC9" s="16"/>
      <c r="AD9" s="16"/>
      <c r="AE9" s="39"/>
      <c r="AF9" s="16"/>
      <c r="AG9" s="16"/>
      <c r="AH9" s="16"/>
      <c r="AI9" s="16"/>
      <c r="AJ9" s="39"/>
      <c r="AK9" s="16"/>
      <c r="AL9" s="16"/>
      <c r="AM9" s="16"/>
      <c r="AN9" s="16"/>
      <c r="AO9" s="39"/>
      <c r="AP9" s="16"/>
      <c r="AQ9" s="16"/>
      <c r="AR9" s="16"/>
      <c r="AS9" s="16"/>
      <c r="AT9" s="39"/>
      <c r="AU9" s="16"/>
      <c r="AV9" s="16"/>
      <c r="AW9" s="16"/>
      <c r="AX9" s="16"/>
      <c r="AY9" s="39"/>
      <c r="AZ9" s="16"/>
      <c r="BA9" s="16"/>
      <c r="BB9" s="16"/>
      <c r="BC9" s="16"/>
      <c r="BD9" s="39"/>
      <c r="BE9" s="16"/>
      <c r="BF9" s="16"/>
      <c r="BG9" s="16"/>
      <c r="BH9" s="16"/>
      <c r="BI9" s="39"/>
      <c r="BJ9" s="16"/>
      <c r="BK9" s="16"/>
      <c r="BL9" s="16"/>
      <c r="BM9" s="16"/>
      <c r="BN9" s="39"/>
      <c r="BO9"/>
      <c r="BP9"/>
      <c r="BQ9"/>
    </row>
    <row r="10" spans="1:69" x14ac:dyDescent="0.35">
      <c r="A10" s="24"/>
      <c r="B10" s="35" t="s">
        <v>68</v>
      </c>
      <c r="C10" s="24"/>
      <c r="D10" s="24"/>
      <c r="E10" s="24"/>
      <c r="F10" s="289"/>
      <c r="G10" s="16"/>
      <c r="H10" s="16"/>
      <c r="I10" s="16"/>
      <c r="J10" s="160">
        <v>2051.5</v>
      </c>
      <c r="K10" s="289">
        <f>J10</f>
        <v>2051.5</v>
      </c>
      <c r="L10" s="206"/>
      <c r="M10" s="206"/>
      <c r="N10" s="206"/>
      <c r="O10" s="160">
        <f>1071.5</f>
        <v>1071.5</v>
      </c>
      <c r="P10" s="289">
        <f>O10</f>
        <v>1071.5</v>
      </c>
      <c r="Q10" s="160">
        <f>1277.3</f>
        <v>1277.3</v>
      </c>
      <c r="R10" s="160">
        <v>1314.5</v>
      </c>
      <c r="S10" s="160">
        <f>1034.8</f>
        <v>1034.8</v>
      </c>
      <c r="T10" s="160">
        <v>1685</v>
      </c>
      <c r="U10" s="289">
        <f>T10</f>
        <v>1685</v>
      </c>
      <c r="V10" s="160">
        <v>1196.5999999999999</v>
      </c>
      <c r="W10" s="160">
        <v>1195.9000000000001</v>
      </c>
      <c r="X10" s="160">
        <v>1178</v>
      </c>
      <c r="Y10" s="160">
        <v>1832</v>
      </c>
      <c r="Z10" s="289">
        <f>Y10</f>
        <v>1832</v>
      </c>
      <c r="AA10" s="160">
        <v>2141</v>
      </c>
      <c r="AB10" s="160">
        <v>2099</v>
      </c>
      <c r="AC10" s="160">
        <v>2492</v>
      </c>
      <c r="AD10" s="472">
        <v>2597</v>
      </c>
      <c r="AE10" s="289">
        <f>AD10</f>
        <v>2597</v>
      </c>
      <c r="AF10" s="160">
        <v>2769</v>
      </c>
      <c r="AG10" s="160">
        <v>2809</v>
      </c>
      <c r="AH10" s="160">
        <v>2239</v>
      </c>
      <c r="AI10" s="160">
        <v>1811</v>
      </c>
      <c r="AJ10" s="289">
        <f>AI10</f>
        <v>1811</v>
      </c>
      <c r="AK10" s="160">
        <v>1750</v>
      </c>
      <c r="AL10" s="160">
        <v>1617</v>
      </c>
      <c r="AM10" s="160">
        <v>1656</v>
      </c>
      <c r="AN10" s="160">
        <v>1769</v>
      </c>
      <c r="AO10" s="289">
        <f>AN10</f>
        <v>1769</v>
      </c>
      <c r="AP10" s="160">
        <v>2119</v>
      </c>
      <c r="AQ10" s="160">
        <v>2278</v>
      </c>
      <c r="AR10" s="160">
        <v>2006</v>
      </c>
      <c r="AS10" s="160">
        <v>2130</v>
      </c>
      <c r="AT10" s="289">
        <f>AS10</f>
        <v>2130</v>
      </c>
      <c r="AU10" s="160">
        <v>2476</v>
      </c>
      <c r="AV10" s="160">
        <v>2635</v>
      </c>
      <c r="AW10" s="160">
        <v>2642</v>
      </c>
      <c r="AX10" s="160">
        <v>2408</v>
      </c>
      <c r="AY10" s="289">
        <f>AX10</f>
        <v>2408</v>
      </c>
      <c r="AZ10" s="160">
        <v>2139</v>
      </c>
      <c r="BA10" s="160">
        <v>2174</v>
      </c>
      <c r="BB10" s="162">
        <f ca="1">BB91</f>
        <v>2116.9885978016068</v>
      </c>
      <c r="BC10" s="162">
        <f ca="1">BC91</f>
        <v>2318.1482139473492</v>
      </c>
      <c r="BD10" s="289">
        <f ca="1">BC10</f>
        <v>2318.1482139473492</v>
      </c>
      <c r="BE10" s="162">
        <f ca="1">BE91</f>
        <v>2881.1873020920029</v>
      </c>
      <c r="BF10" s="162">
        <f ca="1">BF91</f>
        <v>2955.3384702508138</v>
      </c>
      <c r="BG10" s="162">
        <f ca="1">BG91</f>
        <v>3097.3720505411225</v>
      </c>
      <c r="BH10" s="162">
        <f ca="1">BH91</f>
        <v>3430.8106955466583</v>
      </c>
      <c r="BI10" s="289">
        <f ca="1">BH10</f>
        <v>3430.8106955466583</v>
      </c>
      <c r="BJ10" s="162">
        <f ca="1">BJ91</f>
        <v>4094.9164837439739</v>
      </c>
      <c r="BK10" s="162">
        <f ca="1">BK91</f>
        <v>4250.9210267646959</v>
      </c>
      <c r="BL10" s="162">
        <f ca="1">BL91</f>
        <v>4482.3424088256388</v>
      </c>
      <c r="BM10" s="162">
        <f ca="1">BM91</f>
        <v>4911.1071263689801</v>
      </c>
      <c r="BN10" s="289">
        <f ca="1">BM10</f>
        <v>4911.1071263689801</v>
      </c>
      <c r="BO10"/>
      <c r="BP10"/>
      <c r="BQ10"/>
    </row>
    <row r="11" spans="1:69" x14ac:dyDescent="0.35">
      <c r="A11" s="24"/>
      <c r="B11" s="35" t="s">
        <v>230</v>
      </c>
      <c r="C11" s="24"/>
      <c r="D11" s="24"/>
      <c r="E11" s="24"/>
      <c r="F11" s="289"/>
      <c r="G11" s="16"/>
      <c r="H11" s="16"/>
      <c r="I11" s="16"/>
      <c r="J11" s="160">
        <v>173.4</v>
      </c>
      <c r="K11" s="289">
        <f>J11</f>
        <v>173.4</v>
      </c>
      <c r="L11" s="206"/>
      <c r="M11" s="206"/>
      <c r="N11" s="206"/>
      <c r="O11" s="160">
        <v>111.8</v>
      </c>
      <c r="P11" s="289">
        <f>O11</f>
        <v>111.8</v>
      </c>
      <c r="Q11" s="160">
        <v>100.5</v>
      </c>
      <c r="R11" s="160">
        <v>101.2</v>
      </c>
      <c r="S11" s="160">
        <v>110.7</v>
      </c>
      <c r="T11" s="160">
        <v>132.5</v>
      </c>
      <c r="U11" s="289">
        <f>T11</f>
        <v>132.5</v>
      </c>
      <c r="V11" s="160">
        <v>114</v>
      </c>
      <c r="W11" s="160">
        <v>119.5</v>
      </c>
      <c r="X11" s="160">
        <v>95.8</v>
      </c>
      <c r="Y11" s="160">
        <v>98</v>
      </c>
      <c r="Z11" s="289">
        <f>Y11</f>
        <v>98</v>
      </c>
      <c r="AA11" s="160">
        <v>90</v>
      </c>
      <c r="AB11" s="160">
        <v>100</v>
      </c>
      <c r="AC11" s="160">
        <v>96</v>
      </c>
      <c r="AD11" s="472">
        <v>99</v>
      </c>
      <c r="AE11" s="289">
        <f>AD11</f>
        <v>99</v>
      </c>
      <c r="AF11" s="160">
        <v>96</v>
      </c>
      <c r="AG11" s="160">
        <v>88</v>
      </c>
      <c r="AH11" s="160">
        <v>104</v>
      </c>
      <c r="AI11" s="160">
        <v>91</v>
      </c>
      <c r="AJ11" s="289">
        <f>AI11</f>
        <v>91</v>
      </c>
      <c r="AK11" s="160">
        <v>103</v>
      </c>
      <c r="AL11" s="160">
        <v>86</v>
      </c>
      <c r="AM11" s="160">
        <v>89</v>
      </c>
      <c r="AN11" s="160">
        <v>90</v>
      </c>
      <c r="AO11" s="289">
        <f>AN11</f>
        <v>90</v>
      </c>
      <c r="AP11" s="160">
        <v>78</v>
      </c>
      <c r="AQ11" s="160">
        <v>57</v>
      </c>
      <c r="AR11" s="160">
        <v>73</v>
      </c>
      <c r="AS11" s="160">
        <v>63</v>
      </c>
      <c r="AT11" s="289">
        <f>AS11</f>
        <v>63</v>
      </c>
      <c r="AU11" s="160">
        <v>58</v>
      </c>
      <c r="AV11" s="160">
        <v>63</v>
      </c>
      <c r="AW11" s="160">
        <v>573</v>
      </c>
      <c r="AX11" s="160">
        <v>566</v>
      </c>
      <c r="AY11" s="289">
        <f>AX11</f>
        <v>566</v>
      </c>
      <c r="AZ11" s="160">
        <v>62</v>
      </c>
      <c r="BA11" s="160">
        <v>116</v>
      </c>
      <c r="BB11" s="162">
        <f>BA11</f>
        <v>116</v>
      </c>
      <c r="BC11" s="162">
        <f>BB11</f>
        <v>116</v>
      </c>
      <c r="BD11" s="289">
        <f>BC11</f>
        <v>116</v>
      </c>
      <c r="BE11" s="162">
        <f>BC11</f>
        <v>116</v>
      </c>
      <c r="BF11" s="162">
        <f>BE11</f>
        <v>116</v>
      </c>
      <c r="BG11" s="162">
        <f>BF11</f>
        <v>116</v>
      </c>
      <c r="BH11" s="162">
        <f>BG11</f>
        <v>116</v>
      </c>
      <c r="BI11" s="289">
        <f>BH11</f>
        <v>116</v>
      </c>
      <c r="BJ11" s="162">
        <f>BH11</f>
        <v>116</v>
      </c>
      <c r="BK11" s="162">
        <f>BJ11</f>
        <v>116</v>
      </c>
      <c r="BL11" s="162">
        <f>BK11</f>
        <v>116</v>
      </c>
      <c r="BM11" s="162">
        <f>BL11</f>
        <v>116</v>
      </c>
      <c r="BN11" s="289">
        <f>BM11</f>
        <v>116</v>
      </c>
      <c r="BO11"/>
      <c r="BP11"/>
      <c r="BQ11"/>
    </row>
    <row r="12" spans="1:69" x14ac:dyDescent="0.35">
      <c r="A12" s="24"/>
      <c r="B12" s="35" t="s">
        <v>200</v>
      </c>
      <c r="C12" s="24"/>
      <c r="D12" s="24"/>
      <c r="E12" s="24"/>
      <c r="F12" s="289"/>
      <c r="G12" s="16"/>
      <c r="H12" s="16"/>
      <c r="I12" s="16"/>
      <c r="J12" s="160">
        <v>887.4</v>
      </c>
      <c r="K12" s="289">
        <f t="shared" ref="K12:K20" si="0">J12</f>
        <v>887.4</v>
      </c>
      <c r="L12" s="206"/>
      <c r="M12" s="206"/>
      <c r="N12" s="206"/>
      <c r="O12" s="160">
        <v>1147.2</v>
      </c>
      <c r="P12" s="289">
        <f t="shared" ref="P12:P20" si="1">O12</f>
        <v>1147.2</v>
      </c>
      <c r="Q12" s="160">
        <v>1207.4000000000001</v>
      </c>
      <c r="R12" s="160">
        <v>1137.0999999999999</v>
      </c>
      <c r="S12" s="160">
        <v>1131.8</v>
      </c>
      <c r="T12" s="160">
        <v>1287.0999999999999</v>
      </c>
      <c r="U12" s="289">
        <f t="shared" ref="U12:U20" si="2">T12</f>
        <v>1287.0999999999999</v>
      </c>
      <c r="V12" s="160">
        <v>1301.2</v>
      </c>
      <c r="W12" s="162">
        <f>W124</f>
        <v>1263.4739726027399</v>
      </c>
      <c r="X12" s="162">
        <f>X124</f>
        <v>1332.2630136986302</v>
      </c>
      <c r="Y12" s="162">
        <f>Y124</f>
        <v>1486.3561643835617</v>
      </c>
      <c r="Z12" s="289">
        <f>Y12</f>
        <v>1486.3561643835617</v>
      </c>
      <c r="AA12" s="160">
        <v>1526.7945205479452</v>
      </c>
      <c r="AB12" s="160">
        <v>1401</v>
      </c>
      <c r="AC12" s="160">
        <v>1360</v>
      </c>
      <c r="AD12" s="472">
        <v>1430</v>
      </c>
      <c r="AE12" s="289">
        <f>AD12</f>
        <v>1430</v>
      </c>
      <c r="AF12" s="160">
        <v>1497</v>
      </c>
      <c r="AG12" s="160">
        <v>1458</v>
      </c>
      <c r="AH12" s="160">
        <v>1589</v>
      </c>
      <c r="AI12" s="160">
        <v>1720</v>
      </c>
      <c r="AJ12" s="289">
        <f>AI12</f>
        <v>1720</v>
      </c>
      <c r="AK12" s="160">
        <v>1824</v>
      </c>
      <c r="AL12" s="160">
        <v>1602</v>
      </c>
      <c r="AM12" s="160">
        <v>1518</v>
      </c>
      <c r="AN12" s="160">
        <v>1652</v>
      </c>
      <c r="AO12" s="289">
        <f>AN12</f>
        <v>1652</v>
      </c>
      <c r="AP12" s="160">
        <v>1712</v>
      </c>
      <c r="AQ12" s="160">
        <v>1542</v>
      </c>
      <c r="AR12" s="160">
        <v>1513</v>
      </c>
      <c r="AS12" s="160">
        <v>1659</v>
      </c>
      <c r="AT12" s="289">
        <f>AS12</f>
        <v>1659</v>
      </c>
      <c r="AU12" s="160">
        <v>1835</v>
      </c>
      <c r="AV12" s="160">
        <v>1694</v>
      </c>
      <c r="AW12" s="160">
        <v>1708</v>
      </c>
      <c r="AX12" s="160">
        <v>1801</v>
      </c>
      <c r="AY12" s="289">
        <f>AX12</f>
        <v>1801</v>
      </c>
      <c r="AZ12" s="160">
        <v>1850</v>
      </c>
      <c r="BA12" s="160">
        <v>1776</v>
      </c>
      <c r="BB12" s="162">
        <f ca="1">BB124</f>
        <v>1774</v>
      </c>
      <c r="BC12" s="162">
        <f>BC124</f>
        <v>2071.8540392348841</v>
      </c>
      <c r="BD12" s="289">
        <f>BC12</f>
        <v>2071.8540392348841</v>
      </c>
      <c r="BE12" s="162">
        <f>BE124</f>
        <v>2026.0580508091371</v>
      </c>
      <c r="BF12" s="162">
        <f>BF124</f>
        <v>1923.6574632223758</v>
      </c>
      <c r="BG12" s="162">
        <f ca="1">BG124</f>
        <v>1909.3983722506291</v>
      </c>
      <c r="BH12" s="162">
        <f>BH124</f>
        <v>2233.4553681163516</v>
      </c>
      <c r="BI12" s="289">
        <f>BH12</f>
        <v>2233.4553681163516</v>
      </c>
      <c r="BJ12" s="162">
        <f>BJ124</f>
        <v>2180.3339752271227</v>
      </c>
      <c r="BK12" s="162">
        <f>BK124</f>
        <v>2069.8370455132153</v>
      </c>
      <c r="BL12" s="162">
        <f ca="1">BL124</f>
        <v>2054.9074124588592</v>
      </c>
      <c r="BM12" s="162">
        <f>BM124</f>
        <v>2404.480182657634</v>
      </c>
      <c r="BN12" s="289">
        <f>BM12</f>
        <v>2404.480182657634</v>
      </c>
      <c r="BO12"/>
      <c r="BP12"/>
      <c r="BQ12"/>
    </row>
    <row r="13" spans="1:69" x14ac:dyDescent="0.35">
      <c r="A13" s="24"/>
      <c r="B13" s="35" t="s">
        <v>69</v>
      </c>
      <c r="C13" s="24"/>
      <c r="D13" s="24"/>
      <c r="E13" s="24"/>
      <c r="F13" s="289"/>
      <c r="G13" s="16"/>
      <c r="H13" s="16"/>
      <c r="I13" s="16"/>
      <c r="J13" s="160">
        <v>140.80000000000001</v>
      </c>
      <c r="K13" s="289">
        <f t="shared" si="0"/>
        <v>140.80000000000001</v>
      </c>
      <c r="L13" s="206"/>
      <c r="M13" s="206"/>
      <c r="N13" s="206"/>
      <c r="O13" s="160">
        <v>250.1</v>
      </c>
      <c r="P13" s="289">
        <f t="shared" si="1"/>
        <v>250.1</v>
      </c>
      <c r="Q13" s="160">
        <v>233.6</v>
      </c>
      <c r="R13" s="160">
        <v>286.89999999999998</v>
      </c>
      <c r="S13" s="160">
        <v>238.9</v>
      </c>
      <c r="T13" s="160">
        <v>282.3</v>
      </c>
      <c r="U13" s="289">
        <f t="shared" si="2"/>
        <v>282.3</v>
      </c>
      <c r="V13" s="160">
        <v>286.60000000000002</v>
      </c>
      <c r="W13" s="160">
        <v>575.7260273972604</v>
      </c>
      <c r="X13" s="160">
        <v>436.23698630136977</v>
      </c>
      <c r="Y13" s="160">
        <v>262.64383561643785</v>
      </c>
      <c r="Z13" s="289">
        <f>Y13</f>
        <v>262.64383561643785</v>
      </c>
      <c r="AA13" s="160">
        <v>236</v>
      </c>
      <c r="AB13" s="160">
        <f>363</f>
        <v>363</v>
      </c>
      <c r="AC13" s="160">
        <v>333</v>
      </c>
      <c r="AD13" s="472">
        <v>383</v>
      </c>
      <c r="AE13" s="289">
        <f>AD13</f>
        <v>383</v>
      </c>
      <c r="AF13" s="160">
        <v>333</v>
      </c>
      <c r="AG13" s="160">
        <v>379</v>
      </c>
      <c r="AH13" s="160">
        <v>323</v>
      </c>
      <c r="AI13" s="160">
        <v>389</v>
      </c>
      <c r="AJ13" s="289">
        <f>AI13</f>
        <v>389</v>
      </c>
      <c r="AK13" s="160">
        <v>385</v>
      </c>
      <c r="AL13" s="160">
        <v>515</v>
      </c>
      <c r="AM13" s="160">
        <v>463</v>
      </c>
      <c r="AN13" s="160">
        <v>583</v>
      </c>
      <c r="AO13" s="289">
        <f>AN13</f>
        <v>583</v>
      </c>
      <c r="AP13" s="160">
        <v>517</v>
      </c>
      <c r="AQ13" s="160">
        <v>513</v>
      </c>
      <c r="AR13" s="160">
        <v>445</v>
      </c>
      <c r="AS13" s="160">
        <v>489</v>
      </c>
      <c r="AT13" s="289">
        <f>AS13</f>
        <v>489</v>
      </c>
      <c r="AU13" s="160">
        <v>437</v>
      </c>
      <c r="AV13" s="160">
        <v>489</v>
      </c>
      <c r="AW13" s="160">
        <v>470</v>
      </c>
      <c r="AX13" s="160">
        <v>515</v>
      </c>
      <c r="AY13" s="289">
        <f>AX13</f>
        <v>515</v>
      </c>
      <c r="AZ13" s="160">
        <v>514</v>
      </c>
      <c r="BA13" s="160">
        <v>573</v>
      </c>
      <c r="BB13" s="160">
        <v>566</v>
      </c>
      <c r="BC13" s="160">
        <f>BB13</f>
        <v>566</v>
      </c>
      <c r="BD13" s="289">
        <f>BC13</f>
        <v>566</v>
      </c>
      <c r="BE13" s="160">
        <f>BC13</f>
        <v>566</v>
      </c>
      <c r="BF13" s="160">
        <f>BE13</f>
        <v>566</v>
      </c>
      <c r="BG13" s="160">
        <f>BF13</f>
        <v>566</v>
      </c>
      <c r="BH13" s="160">
        <f>BG13</f>
        <v>566</v>
      </c>
      <c r="BI13" s="289">
        <f>BH13</f>
        <v>566</v>
      </c>
      <c r="BJ13" s="160">
        <f>BH13</f>
        <v>566</v>
      </c>
      <c r="BK13" s="160">
        <f>BJ13</f>
        <v>566</v>
      </c>
      <c r="BL13" s="160">
        <f>BK13</f>
        <v>566</v>
      </c>
      <c r="BM13" s="160">
        <f>BL13</f>
        <v>566</v>
      </c>
      <c r="BN13" s="289">
        <f>BM13</f>
        <v>566</v>
      </c>
      <c r="BO13"/>
      <c r="BP13"/>
      <c r="BQ13"/>
    </row>
    <row r="14" spans="1:69" x14ac:dyDescent="0.35">
      <c r="A14" s="24"/>
      <c r="B14" s="24" t="s">
        <v>70</v>
      </c>
      <c r="C14" s="24"/>
      <c r="D14" s="24"/>
      <c r="E14" s="24"/>
      <c r="F14" s="281"/>
      <c r="G14" s="16"/>
      <c r="H14" s="16"/>
      <c r="I14" s="16"/>
      <c r="J14" s="157">
        <f t="shared" ref="J14:AB14" si="3">SUM(J10:J13)</f>
        <v>3253.1000000000004</v>
      </c>
      <c r="K14" s="281">
        <f t="shared" si="3"/>
        <v>3253.1000000000004</v>
      </c>
      <c r="L14" s="157"/>
      <c r="M14" s="157"/>
      <c r="N14" s="157"/>
      <c r="O14" s="157">
        <f t="shared" si="3"/>
        <v>2580.6</v>
      </c>
      <c r="P14" s="281">
        <f t="shared" si="3"/>
        <v>2580.6</v>
      </c>
      <c r="Q14" s="157">
        <f t="shared" si="3"/>
        <v>2818.7999999999997</v>
      </c>
      <c r="R14" s="157">
        <f t="shared" si="3"/>
        <v>2839.7000000000003</v>
      </c>
      <c r="S14" s="157">
        <f t="shared" si="3"/>
        <v>2516.2000000000003</v>
      </c>
      <c r="T14" s="157">
        <f t="shared" si="3"/>
        <v>3386.9</v>
      </c>
      <c r="U14" s="281">
        <f t="shared" si="3"/>
        <v>3386.9</v>
      </c>
      <c r="V14" s="157">
        <f t="shared" si="3"/>
        <v>2898.4</v>
      </c>
      <c r="W14" s="157">
        <f t="shared" si="3"/>
        <v>3154.6000000000004</v>
      </c>
      <c r="X14" s="157">
        <f t="shared" si="3"/>
        <v>3042.2999999999997</v>
      </c>
      <c r="Y14" s="157">
        <f t="shared" si="3"/>
        <v>3679</v>
      </c>
      <c r="Z14" s="281">
        <f t="shared" si="3"/>
        <v>3679</v>
      </c>
      <c r="AA14" s="157">
        <f t="shared" si="3"/>
        <v>3993.7945205479455</v>
      </c>
      <c r="AB14" s="157">
        <f t="shared" si="3"/>
        <v>3963</v>
      </c>
      <c r="AC14" s="157">
        <f t="shared" ref="AC14:AI14" si="4">SUM(AC10:AC13)</f>
        <v>4281</v>
      </c>
      <c r="AD14" s="157">
        <f t="shared" si="4"/>
        <v>4509</v>
      </c>
      <c r="AE14" s="281">
        <f>SUM(AE10:AE13)</f>
        <v>4509</v>
      </c>
      <c r="AF14" s="157">
        <f t="shared" si="4"/>
        <v>4695</v>
      </c>
      <c r="AG14" s="157">
        <f t="shared" si="4"/>
        <v>4734</v>
      </c>
      <c r="AH14" s="157">
        <f t="shared" si="4"/>
        <v>4255</v>
      </c>
      <c r="AI14" s="157">
        <f t="shared" si="4"/>
        <v>4011</v>
      </c>
      <c r="AJ14" s="281">
        <f t="shared" ref="AJ14:BD14" si="5">SUM(AJ10:AJ13)</f>
        <v>4011</v>
      </c>
      <c r="AK14" s="157">
        <f t="shared" si="5"/>
        <v>4062</v>
      </c>
      <c r="AL14" s="157">
        <f t="shared" si="5"/>
        <v>3820</v>
      </c>
      <c r="AM14" s="157">
        <f t="shared" si="5"/>
        <v>3726</v>
      </c>
      <c r="AN14" s="157">
        <f t="shared" si="5"/>
        <v>4094</v>
      </c>
      <c r="AO14" s="281">
        <f t="shared" si="5"/>
        <v>4094</v>
      </c>
      <c r="AP14" s="157">
        <f t="shared" si="5"/>
        <v>4426</v>
      </c>
      <c r="AQ14" s="157">
        <f t="shared" si="5"/>
        <v>4390</v>
      </c>
      <c r="AR14" s="157">
        <f>SUM(AR10:AR13)</f>
        <v>4037</v>
      </c>
      <c r="AS14" s="157">
        <f t="shared" si="5"/>
        <v>4341</v>
      </c>
      <c r="AT14" s="281">
        <f t="shared" si="5"/>
        <v>4341</v>
      </c>
      <c r="AU14" s="157">
        <f>SUM(AU10:AU13)</f>
        <v>4806</v>
      </c>
      <c r="AV14" s="157">
        <f>SUM(AV10:AV13)</f>
        <v>4881</v>
      </c>
      <c r="AW14" s="157">
        <f t="shared" si="5"/>
        <v>5393</v>
      </c>
      <c r="AX14" s="157">
        <f t="shared" si="5"/>
        <v>5290</v>
      </c>
      <c r="AY14" s="281">
        <f t="shared" si="5"/>
        <v>5290</v>
      </c>
      <c r="AZ14" s="157">
        <f t="shared" si="5"/>
        <v>4565</v>
      </c>
      <c r="BA14" s="157">
        <f t="shared" si="5"/>
        <v>4639</v>
      </c>
      <c r="BB14" s="157">
        <f t="shared" ca="1" si="5"/>
        <v>4572.9885978016064</v>
      </c>
      <c r="BC14" s="157">
        <f t="shared" ca="1" si="5"/>
        <v>5072.0022531822333</v>
      </c>
      <c r="BD14" s="281">
        <f t="shared" ca="1" si="5"/>
        <v>5072.0022531822333</v>
      </c>
      <c r="BE14" s="157">
        <f t="shared" ref="BE14:BN14" ca="1" si="6">SUM(BE10:BE13)</f>
        <v>5589.24535290114</v>
      </c>
      <c r="BF14" s="157">
        <f t="shared" ca="1" si="6"/>
        <v>5560.9959334731893</v>
      </c>
      <c r="BG14" s="157">
        <f t="shared" ca="1" si="6"/>
        <v>5688.7704227917511</v>
      </c>
      <c r="BH14" s="157">
        <f t="shared" ca="1" si="6"/>
        <v>6346.2660636630098</v>
      </c>
      <c r="BI14" s="281">
        <f t="shared" ca="1" si="6"/>
        <v>6346.2660636630098</v>
      </c>
      <c r="BJ14" s="157">
        <f t="shared" ca="1" si="6"/>
        <v>6957.250458971097</v>
      </c>
      <c r="BK14" s="157">
        <f t="shared" ca="1" si="6"/>
        <v>7002.7580722779112</v>
      </c>
      <c r="BL14" s="157">
        <f t="shared" ca="1" si="6"/>
        <v>7219.2498212844985</v>
      </c>
      <c r="BM14" s="157">
        <f t="shared" ca="1" si="6"/>
        <v>7997.5873090266141</v>
      </c>
      <c r="BN14" s="281">
        <f t="shared" ca="1" si="6"/>
        <v>7997.5873090266141</v>
      </c>
      <c r="BO14"/>
      <c r="BP14"/>
      <c r="BQ14"/>
    </row>
    <row r="15" spans="1:69" x14ac:dyDescent="0.35">
      <c r="A15" s="24"/>
      <c r="B15" s="35" t="s">
        <v>71</v>
      </c>
      <c r="C15" s="24"/>
      <c r="D15" s="24"/>
      <c r="E15" s="24"/>
      <c r="F15" s="289"/>
      <c r="G15" s="16"/>
      <c r="H15" s="16"/>
      <c r="I15" s="16"/>
      <c r="J15" s="160">
        <v>325.89999999999998</v>
      </c>
      <c r="K15" s="289">
        <f t="shared" si="0"/>
        <v>325.89999999999998</v>
      </c>
      <c r="L15" s="206"/>
      <c r="M15" s="206"/>
      <c r="N15" s="206"/>
      <c r="O15" s="160">
        <v>325.10000000000002</v>
      </c>
      <c r="P15" s="289">
        <f t="shared" si="1"/>
        <v>325.10000000000002</v>
      </c>
      <c r="Q15" s="160">
        <v>321.60000000000002</v>
      </c>
      <c r="R15" s="160">
        <v>312.2</v>
      </c>
      <c r="S15" s="160">
        <v>311.10000000000002</v>
      </c>
      <c r="T15" s="160">
        <v>320.39999999999998</v>
      </c>
      <c r="U15" s="289">
        <f t="shared" si="2"/>
        <v>320.39999999999998</v>
      </c>
      <c r="V15" s="160">
        <v>318.7</v>
      </c>
      <c r="W15" s="162">
        <f>W114</f>
        <v>331.9</v>
      </c>
      <c r="X15" s="162">
        <f>X114</f>
        <v>317.59999999999997</v>
      </c>
      <c r="Y15" s="162">
        <f>Y114</f>
        <v>292.59999999999997</v>
      </c>
      <c r="Z15" s="289">
        <f t="shared" ref="Z15:Z20" si="7">Y15</f>
        <v>292.59999999999997</v>
      </c>
      <c r="AA15" s="162">
        <f>AA114</f>
        <v>289.09999999999997</v>
      </c>
      <c r="AB15" s="160">
        <v>298</v>
      </c>
      <c r="AC15" s="160">
        <v>282</v>
      </c>
      <c r="AD15" s="472">
        <v>278</v>
      </c>
      <c r="AE15" s="289">
        <f t="shared" ref="AE15:AE20" si="8">AD15</f>
        <v>278</v>
      </c>
      <c r="AF15" s="160">
        <v>269</v>
      </c>
      <c r="AG15" s="160">
        <v>282</v>
      </c>
      <c r="AH15" s="160">
        <v>301</v>
      </c>
      <c r="AI15" s="160">
        <v>347</v>
      </c>
      <c r="AJ15" s="289">
        <f t="shared" ref="AJ15:AJ20" si="9">AI15</f>
        <v>347</v>
      </c>
      <c r="AK15" s="160">
        <v>381</v>
      </c>
      <c r="AL15" s="160">
        <v>433</v>
      </c>
      <c r="AM15" s="160">
        <v>472</v>
      </c>
      <c r="AN15" s="160">
        <v>502</v>
      </c>
      <c r="AO15" s="289">
        <f t="shared" ref="AO15:AO20" si="10">AN15</f>
        <v>502</v>
      </c>
      <c r="AP15" s="160">
        <v>525</v>
      </c>
      <c r="AQ15" s="160">
        <v>541</v>
      </c>
      <c r="AR15" s="160">
        <v>573</v>
      </c>
      <c r="AS15" s="160">
        <v>603</v>
      </c>
      <c r="AT15" s="289">
        <f t="shared" ref="AT15:AT20" si="11">AS15</f>
        <v>603</v>
      </c>
      <c r="AU15" s="160">
        <v>613</v>
      </c>
      <c r="AV15" s="160">
        <v>652</v>
      </c>
      <c r="AW15" s="160">
        <v>662</v>
      </c>
      <c r="AX15" s="160">
        <v>656</v>
      </c>
      <c r="AY15" s="289">
        <f t="shared" ref="AY15:AY20" si="12">AX15</f>
        <v>656</v>
      </c>
      <c r="AZ15" s="160">
        <v>671</v>
      </c>
      <c r="BA15" s="160">
        <v>689</v>
      </c>
      <c r="BB15" s="162">
        <f ca="1">BB114</f>
        <v>712</v>
      </c>
      <c r="BC15" s="162">
        <f ca="1">BC114</f>
        <v>743.84121354639092</v>
      </c>
      <c r="BD15" s="289">
        <f t="shared" ref="BD15:BD20" ca="1" si="13">BC15</f>
        <v>743.84121354639092</v>
      </c>
      <c r="BE15" s="162">
        <f ca="1">BE114</f>
        <v>769.51233982863698</v>
      </c>
      <c r="BF15" s="162">
        <f ca="1">BF114</f>
        <v>782.74672993114916</v>
      </c>
      <c r="BG15" s="162">
        <f ca="1">BG114</f>
        <v>807.20259888233579</v>
      </c>
      <c r="BH15" s="162">
        <f ca="1">BH114</f>
        <v>837.18126444312816</v>
      </c>
      <c r="BI15" s="289">
        <f t="shared" ref="BI15:BI20" ca="1" si="14">BH15</f>
        <v>837.18126444312816</v>
      </c>
      <c r="BJ15" s="162">
        <f ca="1">BJ114</f>
        <v>859.94503349539616</v>
      </c>
      <c r="BK15" s="162">
        <f ca="1">BK114</f>
        <v>872.24461348761724</v>
      </c>
      <c r="BL15" s="162">
        <f ca="1">BL114</f>
        <v>894.77620550950098</v>
      </c>
      <c r="BM15" s="162">
        <f ca="1">BM114</f>
        <v>922.52580163178584</v>
      </c>
      <c r="BN15" s="289">
        <f t="shared" ref="BN15:BN20" ca="1" si="15">BM15</f>
        <v>922.52580163178584</v>
      </c>
      <c r="BO15"/>
      <c r="BP15"/>
      <c r="BQ15"/>
    </row>
    <row r="16" spans="1:69" x14ac:dyDescent="0.35">
      <c r="A16" s="24"/>
      <c r="B16" s="35" t="s">
        <v>231</v>
      </c>
      <c r="C16" s="24"/>
      <c r="D16" s="24"/>
      <c r="E16" s="24"/>
      <c r="F16" s="193"/>
      <c r="G16" s="16"/>
      <c r="H16" s="16"/>
      <c r="I16" s="16"/>
      <c r="J16" s="160">
        <v>0</v>
      </c>
      <c r="K16" s="193">
        <v>0</v>
      </c>
      <c r="L16" s="206"/>
      <c r="M16" s="206"/>
      <c r="N16" s="206"/>
      <c r="O16" s="160">
        <v>0</v>
      </c>
      <c r="P16" s="193">
        <v>0</v>
      </c>
      <c r="Q16" s="160">
        <v>0</v>
      </c>
      <c r="R16" s="160">
        <v>0</v>
      </c>
      <c r="S16" s="160">
        <v>0</v>
      </c>
      <c r="T16" s="160">
        <v>0</v>
      </c>
      <c r="U16" s="289">
        <f t="shared" si="2"/>
        <v>0</v>
      </c>
      <c r="V16" s="160">
        <v>508.1</v>
      </c>
      <c r="W16" s="160">
        <v>476.8</v>
      </c>
      <c r="X16" s="160">
        <v>464.6</v>
      </c>
      <c r="Y16" s="160">
        <v>456</v>
      </c>
      <c r="Z16" s="289">
        <f t="shared" si="7"/>
        <v>456</v>
      </c>
      <c r="AA16" s="160">
        <v>437</v>
      </c>
      <c r="AB16" s="160">
        <v>429</v>
      </c>
      <c r="AC16" s="160">
        <v>410</v>
      </c>
      <c r="AD16" s="472">
        <v>393</v>
      </c>
      <c r="AE16" s="289">
        <f t="shared" si="8"/>
        <v>393</v>
      </c>
      <c r="AF16" s="160">
        <v>375</v>
      </c>
      <c r="AG16" s="160">
        <v>357</v>
      </c>
      <c r="AH16" s="160">
        <v>451</v>
      </c>
      <c r="AI16" s="160">
        <v>438</v>
      </c>
      <c r="AJ16" s="289">
        <f t="shared" si="9"/>
        <v>438</v>
      </c>
      <c r="AK16" s="160">
        <v>427</v>
      </c>
      <c r="AL16" s="160">
        <v>413</v>
      </c>
      <c r="AM16" s="160">
        <v>387</v>
      </c>
      <c r="AN16" s="160">
        <v>346</v>
      </c>
      <c r="AO16" s="289">
        <f t="shared" si="10"/>
        <v>346</v>
      </c>
      <c r="AP16" s="160">
        <v>332</v>
      </c>
      <c r="AQ16" s="160">
        <v>330</v>
      </c>
      <c r="AR16" s="160">
        <v>298</v>
      </c>
      <c r="AS16" s="160">
        <v>277</v>
      </c>
      <c r="AT16" s="289">
        <f t="shared" si="11"/>
        <v>277</v>
      </c>
      <c r="AU16" s="160">
        <v>260</v>
      </c>
      <c r="AV16" s="160">
        <v>242</v>
      </c>
      <c r="AW16" s="160">
        <v>242</v>
      </c>
      <c r="AX16" s="160">
        <v>216</v>
      </c>
      <c r="AY16" s="289">
        <f t="shared" si="12"/>
        <v>216</v>
      </c>
      <c r="AZ16" s="160">
        <v>217</v>
      </c>
      <c r="BA16" s="160">
        <v>226</v>
      </c>
      <c r="BB16" s="162">
        <f t="shared" ref="BB16:BC20" si="16">BA16</f>
        <v>226</v>
      </c>
      <c r="BC16" s="162">
        <f t="shared" si="16"/>
        <v>226</v>
      </c>
      <c r="BD16" s="289">
        <f t="shared" si="13"/>
        <v>226</v>
      </c>
      <c r="BE16" s="162">
        <f>BC16</f>
        <v>226</v>
      </c>
      <c r="BF16" s="162">
        <f t="shared" ref="BF16:BH20" si="17">BE16</f>
        <v>226</v>
      </c>
      <c r="BG16" s="162">
        <f t="shared" si="17"/>
        <v>226</v>
      </c>
      <c r="BH16" s="162">
        <f t="shared" si="17"/>
        <v>226</v>
      </c>
      <c r="BI16" s="289">
        <f t="shared" si="14"/>
        <v>226</v>
      </c>
      <c r="BJ16" s="162">
        <f>BH16</f>
        <v>226</v>
      </c>
      <c r="BK16" s="162">
        <f t="shared" ref="BK16:BM20" si="18">BJ16</f>
        <v>226</v>
      </c>
      <c r="BL16" s="162">
        <f t="shared" si="18"/>
        <v>226</v>
      </c>
      <c r="BM16" s="162">
        <f t="shared" si="18"/>
        <v>226</v>
      </c>
      <c r="BN16" s="289">
        <f t="shared" si="15"/>
        <v>226</v>
      </c>
      <c r="BO16"/>
      <c r="BP16"/>
      <c r="BQ16"/>
    </row>
    <row r="17" spans="1:69" x14ac:dyDescent="0.35">
      <c r="A17" s="24"/>
      <c r="B17" s="35" t="s">
        <v>201</v>
      </c>
      <c r="C17" s="24"/>
      <c r="D17" s="24"/>
      <c r="E17" s="24"/>
      <c r="F17" s="289"/>
      <c r="G17" s="16"/>
      <c r="H17" s="16"/>
      <c r="I17" s="16"/>
      <c r="J17" s="160">
        <v>1023.6</v>
      </c>
      <c r="K17" s="289">
        <f t="shared" si="0"/>
        <v>1023.6</v>
      </c>
      <c r="L17" s="206"/>
      <c r="M17" s="206"/>
      <c r="N17" s="206"/>
      <c r="O17" s="160">
        <v>3753.2</v>
      </c>
      <c r="P17" s="289">
        <f t="shared" si="1"/>
        <v>3753.2</v>
      </c>
      <c r="Q17" s="160">
        <v>3831.5</v>
      </c>
      <c r="R17" s="160">
        <v>3662.7</v>
      </c>
      <c r="S17" s="160">
        <v>3661.3</v>
      </c>
      <c r="T17" s="160">
        <v>3781.3</v>
      </c>
      <c r="U17" s="289">
        <f t="shared" si="2"/>
        <v>3781.3</v>
      </c>
      <c r="V17" s="160">
        <v>3762.5</v>
      </c>
      <c r="W17" s="162">
        <f>V17</f>
        <v>3762.5</v>
      </c>
      <c r="X17" s="162">
        <f>W17</f>
        <v>3762.5</v>
      </c>
      <c r="Y17" s="162">
        <f>X17</f>
        <v>3762.5</v>
      </c>
      <c r="Z17" s="289">
        <f t="shared" si="7"/>
        <v>3762.5</v>
      </c>
      <c r="AA17" s="160">
        <v>4000</v>
      </c>
      <c r="AB17" s="160">
        <v>4162</v>
      </c>
      <c r="AC17" s="160">
        <v>4282</v>
      </c>
      <c r="AD17" s="472">
        <v>4556</v>
      </c>
      <c r="AE17" s="289">
        <f t="shared" si="8"/>
        <v>4556</v>
      </c>
      <c r="AF17" s="160">
        <v>4566</v>
      </c>
      <c r="AG17" s="160">
        <v>4590</v>
      </c>
      <c r="AH17" s="160">
        <v>5898</v>
      </c>
      <c r="AI17" s="160">
        <v>5999</v>
      </c>
      <c r="AJ17" s="289">
        <f t="shared" si="9"/>
        <v>5999</v>
      </c>
      <c r="AK17" s="160">
        <v>6039</v>
      </c>
      <c r="AL17" s="160">
        <v>5841</v>
      </c>
      <c r="AM17" s="160">
        <v>5617</v>
      </c>
      <c r="AN17" s="160">
        <v>5839</v>
      </c>
      <c r="AO17" s="289">
        <f t="shared" si="10"/>
        <v>5839</v>
      </c>
      <c r="AP17" s="160">
        <v>5892</v>
      </c>
      <c r="AQ17" s="160">
        <v>5926</v>
      </c>
      <c r="AR17" s="160">
        <v>5831</v>
      </c>
      <c r="AS17" s="160">
        <v>5956</v>
      </c>
      <c r="AT17" s="289">
        <f t="shared" si="11"/>
        <v>5956</v>
      </c>
      <c r="AU17" s="160">
        <v>5909</v>
      </c>
      <c r="AV17" s="160">
        <v>5891</v>
      </c>
      <c r="AW17" s="160">
        <v>6148</v>
      </c>
      <c r="AX17" s="160">
        <v>5994</v>
      </c>
      <c r="AY17" s="289">
        <f t="shared" si="12"/>
        <v>5994</v>
      </c>
      <c r="AZ17" s="160">
        <v>6237</v>
      </c>
      <c r="BA17" s="160">
        <v>6481</v>
      </c>
      <c r="BB17" s="162">
        <f t="shared" si="16"/>
        <v>6481</v>
      </c>
      <c r="BC17" s="162">
        <f t="shared" si="16"/>
        <v>6481</v>
      </c>
      <c r="BD17" s="289">
        <f t="shared" si="13"/>
        <v>6481</v>
      </c>
      <c r="BE17" s="162">
        <f>BC17</f>
        <v>6481</v>
      </c>
      <c r="BF17" s="162">
        <f t="shared" si="17"/>
        <v>6481</v>
      </c>
      <c r="BG17" s="162">
        <f t="shared" si="17"/>
        <v>6481</v>
      </c>
      <c r="BH17" s="162">
        <f t="shared" si="17"/>
        <v>6481</v>
      </c>
      <c r="BI17" s="289">
        <f t="shared" si="14"/>
        <v>6481</v>
      </c>
      <c r="BJ17" s="162">
        <f>BH17</f>
        <v>6481</v>
      </c>
      <c r="BK17" s="162">
        <f t="shared" si="18"/>
        <v>6481</v>
      </c>
      <c r="BL17" s="162">
        <f t="shared" si="18"/>
        <v>6481</v>
      </c>
      <c r="BM17" s="162">
        <f t="shared" si="18"/>
        <v>6481</v>
      </c>
      <c r="BN17" s="289">
        <f t="shared" si="15"/>
        <v>6481</v>
      </c>
      <c r="BO17"/>
      <c r="BP17"/>
      <c r="BQ17"/>
    </row>
    <row r="18" spans="1:69" x14ac:dyDescent="0.35">
      <c r="A18" s="24"/>
      <c r="B18" s="35" t="s">
        <v>202</v>
      </c>
      <c r="C18" s="24"/>
      <c r="D18" s="24"/>
      <c r="E18" s="24"/>
      <c r="F18" s="289"/>
      <c r="G18" s="16"/>
      <c r="H18" s="16"/>
      <c r="I18" s="16"/>
      <c r="J18" s="160">
        <v>296.39999999999998</v>
      </c>
      <c r="K18" s="289">
        <f t="shared" si="0"/>
        <v>296.39999999999998</v>
      </c>
      <c r="L18" s="206"/>
      <c r="M18" s="206"/>
      <c r="N18" s="206"/>
      <c r="O18" s="160">
        <v>1631.6</v>
      </c>
      <c r="P18" s="289">
        <f t="shared" si="1"/>
        <v>1631.6</v>
      </c>
      <c r="Q18" s="160">
        <v>1641.6</v>
      </c>
      <c r="R18" s="160">
        <v>1541.4</v>
      </c>
      <c r="S18" s="160">
        <v>1517.6</v>
      </c>
      <c r="T18" s="160">
        <v>1566.1</v>
      </c>
      <c r="U18" s="289">
        <f t="shared" si="2"/>
        <v>1566.1</v>
      </c>
      <c r="V18" s="160">
        <v>1530.4</v>
      </c>
      <c r="W18" s="162">
        <f>W120</f>
        <v>1514.9</v>
      </c>
      <c r="X18" s="162">
        <f>X120</f>
        <v>1520.6000000000001</v>
      </c>
      <c r="Y18" s="162">
        <f>Y120</f>
        <v>1525.6000000000001</v>
      </c>
      <c r="Z18" s="289">
        <f t="shared" si="7"/>
        <v>1525.6000000000001</v>
      </c>
      <c r="AA18" s="160">
        <v>1800</v>
      </c>
      <c r="AB18" s="160">
        <v>1697</v>
      </c>
      <c r="AC18" s="160">
        <v>1717</v>
      </c>
      <c r="AD18" s="472">
        <v>1824</v>
      </c>
      <c r="AE18" s="289">
        <f t="shared" si="8"/>
        <v>1824</v>
      </c>
      <c r="AF18" s="160">
        <v>1810</v>
      </c>
      <c r="AG18" s="160">
        <v>1784</v>
      </c>
      <c r="AH18" s="160">
        <v>2510</v>
      </c>
      <c r="AI18" s="160">
        <v>2467</v>
      </c>
      <c r="AJ18" s="289">
        <f t="shared" si="9"/>
        <v>2467</v>
      </c>
      <c r="AK18" s="160">
        <v>2422</v>
      </c>
      <c r="AL18" s="160">
        <v>2300</v>
      </c>
      <c r="AM18" s="160">
        <v>2182</v>
      </c>
      <c r="AN18" s="160">
        <v>2210</v>
      </c>
      <c r="AO18" s="289">
        <f t="shared" si="10"/>
        <v>2210</v>
      </c>
      <c r="AP18" s="160">
        <v>2177</v>
      </c>
      <c r="AQ18" s="160">
        <v>2138</v>
      </c>
      <c r="AR18" s="160">
        <v>2058</v>
      </c>
      <c r="AS18" s="160">
        <v>2049</v>
      </c>
      <c r="AT18" s="289">
        <f t="shared" si="11"/>
        <v>2049</v>
      </c>
      <c r="AU18" s="160">
        <v>1983</v>
      </c>
      <c r="AV18" s="160">
        <v>1930</v>
      </c>
      <c r="AW18" s="160">
        <v>1970</v>
      </c>
      <c r="AX18" s="160">
        <v>1890</v>
      </c>
      <c r="AY18" s="289">
        <f t="shared" si="12"/>
        <v>1890</v>
      </c>
      <c r="AZ18" s="160">
        <v>1978</v>
      </c>
      <c r="BA18" s="160">
        <v>1989</v>
      </c>
      <c r="BB18" s="162">
        <f t="shared" si="16"/>
        <v>1989</v>
      </c>
      <c r="BC18" s="162">
        <f t="shared" si="16"/>
        <v>1989</v>
      </c>
      <c r="BD18" s="289">
        <f t="shared" si="13"/>
        <v>1989</v>
      </c>
      <c r="BE18" s="162">
        <f>BD18</f>
        <v>1989</v>
      </c>
      <c r="BF18" s="162">
        <f t="shared" si="17"/>
        <v>1989</v>
      </c>
      <c r="BG18" s="162">
        <f t="shared" si="17"/>
        <v>1989</v>
      </c>
      <c r="BH18" s="162">
        <f t="shared" si="17"/>
        <v>1989</v>
      </c>
      <c r="BI18" s="289">
        <f t="shared" si="14"/>
        <v>1989</v>
      </c>
      <c r="BJ18" s="162">
        <f>BI18</f>
        <v>1989</v>
      </c>
      <c r="BK18" s="162">
        <f t="shared" si="18"/>
        <v>1989</v>
      </c>
      <c r="BL18" s="162">
        <f t="shared" si="18"/>
        <v>1989</v>
      </c>
      <c r="BM18" s="162">
        <f t="shared" si="18"/>
        <v>1989</v>
      </c>
      <c r="BN18" s="289">
        <f t="shared" si="15"/>
        <v>1989</v>
      </c>
      <c r="BO18"/>
      <c r="BP18"/>
      <c r="BQ18"/>
    </row>
    <row r="19" spans="1:69" x14ac:dyDescent="0.35">
      <c r="A19" s="24"/>
      <c r="B19" s="35" t="s">
        <v>203</v>
      </c>
      <c r="C19" s="24"/>
      <c r="D19" s="24"/>
      <c r="E19" s="24"/>
      <c r="F19" s="289"/>
      <c r="G19" s="16"/>
      <c r="H19" s="16"/>
      <c r="I19" s="16"/>
      <c r="J19" s="160">
        <v>316.10000000000002</v>
      </c>
      <c r="K19" s="289">
        <f t="shared" si="0"/>
        <v>316.10000000000002</v>
      </c>
      <c r="L19" s="206"/>
      <c r="M19" s="206"/>
      <c r="N19" s="206"/>
      <c r="O19" s="160">
        <v>143.80000000000001</v>
      </c>
      <c r="P19" s="289">
        <f t="shared" si="1"/>
        <v>143.80000000000001</v>
      </c>
      <c r="Q19" s="160">
        <v>142.5</v>
      </c>
      <c r="R19" s="160">
        <v>136.6</v>
      </c>
      <c r="S19" s="160">
        <v>189.3</v>
      </c>
      <c r="T19" s="160">
        <v>197.2</v>
      </c>
      <c r="U19" s="289">
        <f t="shared" si="2"/>
        <v>197.2</v>
      </c>
      <c r="V19" s="160">
        <v>178.8</v>
      </c>
      <c r="W19" s="162">
        <f>V19</f>
        <v>178.8</v>
      </c>
      <c r="X19" s="162">
        <f>W19</f>
        <v>178.8</v>
      </c>
      <c r="Y19" s="162">
        <f>X19</f>
        <v>178.8</v>
      </c>
      <c r="Z19" s="289">
        <f t="shared" si="7"/>
        <v>178.8</v>
      </c>
      <c r="AA19" s="162">
        <f>Y19</f>
        <v>178.8</v>
      </c>
      <c r="AB19" s="160">
        <v>188</v>
      </c>
      <c r="AC19" s="160">
        <v>232</v>
      </c>
      <c r="AD19" s="472">
        <v>334</v>
      </c>
      <c r="AE19" s="289">
        <f t="shared" si="8"/>
        <v>334</v>
      </c>
      <c r="AF19" s="160">
        <v>240</v>
      </c>
      <c r="AG19" s="160">
        <v>249</v>
      </c>
      <c r="AH19" s="160">
        <v>363</v>
      </c>
      <c r="AI19" s="160">
        <v>384</v>
      </c>
      <c r="AJ19" s="289">
        <f t="shared" si="9"/>
        <v>384</v>
      </c>
      <c r="AK19" s="160">
        <v>347</v>
      </c>
      <c r="AL19" s="160">
        <v>341</v>
      </c>
      <c r="AM19" s="160">
        <v>336</v>
      </c>
      <c r="AN19" s="160">
        <v>266</v>
      </c>
      <c r="AO19" s="289">
        <f t="shared" si="10"/>
        <v>266</v>
      </c>
      <c r="AP19" s="160">
        <v>268</v>
      </c>
      <c r="AQ19" s="160">
        <v>265</v>
      </c>
      <c r="AR19" s="160">
        <v>264</v>
      </c>
      <c r="AS19" s="160">
        <v>258</v>
      </c>
      <c r="AT19" s="289">
        <f t="shared" si="11"/>
        <v>258</v>
      </c>
      <c r="AU19" s="160">
        <v>270</v>
      </c>
      <c r="AV19" s="160">
        <v>267</v>
      </c>
      <c r="AW19" s="160">
        <v>268</v>
      </c>
      <c r="AX19" s="160">
        <v>293</v>
      </c>
      <c r="AY19" s="289">
        <f t="shared" si="12"/>
        <v>293</v>
      </c>
      <c r="AZ19" s="160">
        <v>292</v>
      </c>
      <c r="BA19" s="160">
        <v>318</v>
      </c>
      <c r="BB19" s="162">
        <f t="shared" si="16"/>
        <v>318</v>
      </c>
      <c r="BC19" s="162">
        <f t="shared" si="16"/>
        <v>318</v>
      </c>
      <c r="BD19" s="289">
        <f t="shared" si="13"/>
        <v>318</v>
      </c>
      <c r="BE19" s="162">
        <f>BC19</f>
        <v>318</v>
      </c>
      <c r="BF19" s="162">
        <f t="shared" si="17"/>
        <v>318</v>
      </c>
      <c r="BG19" s="162">
        <f t="shared" si="17"/>
        <v>318</v>
      </c>
      <c r="BH19" s="162">
        <f t="shared" si="17"/>
        <v>318</v>
      </c>
      <c r="BI19" s="289">
        <f t="shared" si="14"/>
        <v>318</v>
      </c>
      <c r="BJ19" s="162">
        <f>BH19</f>
        <v>318</v>
      </c>
      <c r="BK19" s="162">
        <f t="shared" si="18"/>
        <v>318</v>
      </c>
      <c r="BL19" s="162">
        <f t="shared" si="18"/>
        <v>318</v>
      </c>
      <c r="BM19" s="162">
        <f t="shared" si="18"/>
        <v>318</v>
      </c>
      <c r="BN19" s="289">
        <f t="shared" si="15"/>
        <v>318</v>
      </c>
      <c r="BO19"/>
      <c r="BP19"/>
      <c r="BQ19"/>
    </row>
    <row r="20" spans="1:69" x14ac:dyDescent="0.35">
      <c r="A20" s="24"/>
      <c r="B20" s="35" t="s">
        <v>72</v>
      </c>
      <c r="C20" s="24"/>
      <c r="D20" s="24"/>
      <c r="E20" s="24"/>
      <c r="F20" s="289"/>
      <c r="G20" s="16"/>
      <c r="H20" s="16"/>
      <c r="I20" s="16"/>
      <c r="J20" s="160">
        <v>112.2</v>
      </c>
      <c r="K20" s="289">
        <f t="shared" si="0"/>
        <v>112.2</v>
      </c>
      <c r="L20" s="206"/>
      <c r="M20" s="206"/>
      <c r="N20" s="206"/>
      <c r="O20" s="160">
        <v>159.9</v>
      </c>
      <c r="P20" s="289">
        <f t="shared" si="1"/>
        <v>159.9</v>
      </c>
      <c r="Q20" s="160">
        <v>258</v>
      </c>
      <c r="R20" s="160">
        <v>259</v>
      </c>
      <c r="S20" s="160">
        <v>243.6</v>
      </c>
      <c r="T20" s="160">
        <v>274.3</v>
      </c>
      <c r="U20" s="289">
        <f t="shared" si="2"/>
        <v>274.3</v>
      </c>
      <c r="V20" s="160">
        <v>321.2</v>
      </c>
      <c r="W20" s="160">
        <v>165.8</v>
      </c>
      <c r="X20" s="160">
        <v>176.40000000000202</v>
      </c>
      <c r="Y20" s="160">
        <v>330.49999999999943</v>
      </c>
      <c r="Z20" s="289">
        <f t="shared" si="7"/>
        <v>330.49999999999943</v>
      </c>
      <c r="AA20" s="160">
        <v>603.30547945205376</v>
      </c>
      <c r="AB20" s="160">
        <v>561</v>
      </c>
      <c r="AC20" s="160">
        <v>468</v>
      </c>
      <c r="AD20" s="472">
        <v>515</v>
      </c>
      <c r="AE20" s="289">
        <f t="shared" si="8"/>
        <v>515</v>
      </c>
      <c r="AF20" s="160">
        <v>545</v>
      </c>
      <c r="AG20" s="160">
        <v>556</v>
      </c>
      <c r="AH20" s="160">
        <v>636</v>
      </c>
      <c r="AI20" s="160">
        <v>1034</v>
      </c>
      <c r="AJ20" s="289">
        <f t="shared" si="9"/>
        <v>1034</v>
      </c>
      <c r="AK20" s="160">
        <v>1061</v>
      </c>
      <c r="AL20" s="160">
        <v>1167</v>
      </c>
      <c r="AM20" s="160">
        <v>1219</v>
      </c>
      <c r="AN20" s="160">
        <v>1092</v>
      </c>
      <c r="AO20" s="289">
        <f t="shared" si="10"/>
        <v>1092</v>
      </c>
      <c r="AP20" s="160">
        <v>1099</v>
      </c>
      <c r="AQ20" s="160">
        <v>1101</v>
      </c>
      <c r="AR20" s="160">
        <v>1130</v>
      </c>
      <c r="AS20" s="160">
        <v>1138</v>
      </c>
      <c r="AT20" s="289">
        <f t="shared" si="11"/>
        <v>1138</v>
      </c>
      <c r="AU20" s="160">
        <v>1170</v>
      </c>
      <c r="AV20" s="160">
        <v>1150</v>
      </c>
      <c r="AW20" s="160">
        <v>1086</v>
      </c>
      <c r="AX20" s="160">
        <v>1166</v>
      </c>
      <c r="AY20" s="289">
        <f t="shared" si="12"/>
        <v>1166</v>
      </c>
      <c r="AZ20" s="160">
        <v>1136</v>
      </c>
      <c r="BA20" s="160">
        <v>1145</v>
      </c>
      <c r="BB20" s="162">
        <f t="shared" si="16"/>
        <v>1145</v>
      </c>
      <c r="BC20" s="162">
        <f t="shared" si="16"/>
        <v>1145</v>
      </c>
      <c r="BD20" s="289">
        <f t="shared" si="13"/>
        <v>1145</v>
      </c>
      <c r="BE20" s="162">
        <f>BC20</f>
        <v>1145</v>
      </c>
      <c r="BF20" s="162">
        <f t="shared" si="17"/>
        <v>1145</v>
      </c>
      <c r="BG20" s="162">
        <f t="shared" si="17"/>
        <v>1145</v>
      </c>
      <c r="BH20" s="162">
        <f t="shared" si="17"/>
        <v>1145</v>
      </c>
      <c r="BI20" s="289">
        <f t="shared" si="14"/>
        <v>1145</v>
      </c>
      <c r="BJ20" s="162">
        <f>BH20</f>
        <v>1145</v>
      </c>
      <c r="BK20" s="162">
        <f t="shared" si="18"/>
        <v>1145</v>
      </c>
      <c r="BL20" s="162">
        <f t="shared" si="18"/>
        <v>1145</v>
      </c>
      <c r="BM20" s="162">
        <f t="shared" si="18"/>
        <v>1145</v>
      </c>
      <c r="BN20" s="289">
        <f t="shared" si="15"/>
        <v>1145</v>
      </c>
      <c r="BO20"/>
      <c r="BP20"/>
      <c r="BQ20"/>
    </row>
    <row r="21" spans="1:69" x14ac:dyDescent="0.35">
      <c r="A21" s="24"/>
      <c r="B21" s="24" t="s">
        <v>73</v>
      </c>
      <c r="C21" s="24"/>
      <c r="D21" s="24"/>
      <c r="E21" s="24"/>
      <c r="F21" s="281"/>
      <c r="G21" s="16"/>
      <c r="H21" s="16"/>
      <c r="I21" s="16"/>
      <c r="J21" s="163">
        <f t="shared" ref="J21:AA21" si="19">SUM(J15:J20)+J14</f>
        <v>5327.3</v>
      </c>
      <c r="K21" s="281">
        <f t="shared" si="19"/>
        <v>5327.3</v>
      </c>
      <c r="L21" s="163"/>
      <c r="M21" s="163"/>
      <c r="N21" s="163"/>
      <c r="O21" s="163">
        <f t="shared" si="19"/>
        <v>8594.1999999999989</v>
      </c>
      <c r="P21" s="281">
        <f t="shared" si="19"/>
        <v>8594.1999999999989</v>
      </c>
      <c r="Q21" s="163">
        <f t="shared" si="19"/>
        <v>9014</v>
      </c>
      <c r="R21" s="163">
        <f t="shared" si="19"/>
        <v>8751.6</v>
      </c>
      <c r="S21" s="163">
        <f t="shared" si="19"/>
        <v>8439.1</v>
      </c>
      <c r="T21" s="163">
        <f t="shared" si="19"/>
        <v>9526.1999999999989</v>
      </c>
      <c r="U21" s="281">
        <f t="shared" si="19"/>
        <v>9526.1999999999989</v>
      </c>
      <c r="V21" s="163">
        <f t="shared" si="19"/>
        <v>9518.1</v>
      </c>
      <c r="W21" s="163">
        <f t="shared" si="19"/>
        <v>9585.3000000000011</v>
      </c>
      <c r="X21" s="163">
        <f t="shared" si="19"/>
        <v>9462.8000000000029</v>
      </c>
      <c r="Y21" s="163">
        <f t="shared" si="19"/>
        <v>10225</v>
      </c>
      <c r="Z21" s="281">
        <f t="shared" si="19"/>
        <v>10225</v>
      </c>
      <c r="AA21" s="163">
        <f t="shared" si="19"/>
        <v>11302</v>
      </c>
      <c r="AB21" s="163">
        <f t="shared" ref="AB21:AI21" si="20">SUM(AB15:AB20)+AB14</f>
        <v>11298</v>
      </c>
      <c r="AC21" s="163">
        <f t="shared" si="20"/>
        <v>11672</v>
      </c>
      <c r="AD21" s="163">
        <f t="shared" si="20"/>
        <v>12409</v>
      </c>
      <c r="AE21" s="281">
        <f>SUM(AE15:AE20)+AE14</f>
        <v>12409</v>
      </c>
      <c r="AF21" s="163">
        <f t="shared" si="20"/>
        <v>12500</v>
      </c>
      <c r="AG21" s="163">
        <f t="shared" si="20"/>
        <v>12552</v>
      </c>
      <c r="AH21" s="163">
        <f t="shared" si="20"/>
        <v>14414</v>
      </c>
      <c r="AI21" s="163">
        <f t="shared" si="20"/>
        <v>14680</v>
      </c>
      <c r="AJ21" s="281">
        <f t="shared" ref="AJ21:BD21" si="21">SUM(AJ15:AJ20)+AJ14</f>
        <v>14680</v>
      </c>
      <c r="AK21" s="163">
        <f t="shared" si="21"/>
        <v>14739</v>
      </c>
      <c r="AL21" s="163">
        <f t="shared" si="21"/>
        <v>14315</v>
      </c>
      <c r="AM21" s="163">
        <f t="shared" si="21"/>
        <v>13939</v>
      </c>
      <c r="AN21" s="163">
        <f t="shared" si="21"/>
        <v>14349</v>
      </c>
      <c r="AO21" s="281">
        <f t="shared" si="21"/>
        <v>14349</v>
      </c>
      <c r="AP21" s="163">
        <f t="shared" si="21"/>
        <v>14719</v>
      </c>
      <c r="AQ21" s="163">
        <f t="shared" si="21"/>
        <v>14691</v>
      </c>
      <c r="AR21" s="163">
        <f>SUM(AR15:AR20)+AR14</f>
        <v>14191</v>
      </c>
      <c r="AS21" s="163">
        <f t="shared" si="21"/>
        <v>14622</v>
      </c>
      <c r="AT21" s="281">
        <f t="shared" si="21"/>
        <v>14622</v>
      </c>
      <c r="AU21" s="163">
        <f>SUM(AU15:AU20)+AU14</f>
        <v>15011</v>
      </c>
      <c r="AV21" s="163">
        <f t="shared" si="21"/>
        <v>15013</v>
      </c>
      <c r="AW21" s="163">
        <f t="shared" si="21"/>
        <v>15769</v>
      </c>
      <c r="AX21" s="163">
        <f t="shared" si="21"/>
        <v>15505</v>
      </c>
      <c r="AY21" s="281">
        <f t="shared" si="21"/>
        <v>15505</v>
      </c>
      <c r="AZ21" s="163">
        <f t="shared" si="21"/>
        <v>15096</v>
      </c>
      <c r="BA21" s="163">
        <f t="shared" si="21"/>
        <v>15487</v>
      </c>
      <c r="BB21" s="163">
        <f t="shared" ca="1" si="21"/>
        <v>15443.988597801606</v>
      </c>
      <c r="BC21" s="163">
        <f t="shared" ca="1" si="21"/>
        <v>15974.843466728624</v>
      </c>
      <c r="BD21" s="281">
        <f t="shared" ca="1" si="21"/>
        <v>15974.843466728624</v>
      </c>
      <c r="BE21" s="163">
        <f t="shared" ref="BE21:BN21" ca="1" si="22">SUM(BE15:BE20)+BE14</f>
        <v>16517.757692729778</v>
      </c>
      <c r="BF21" s="163">
        <f t="shared" ca="1" si="22"/>
        <v>16502.74266340434</v>
      </c>
      <c r="BG21" s="163">
        <f t="shared" ca="1" si="22"/>
        <v>16654.973021674086</v>
      </c>
      <c r="BH21" s="163">
        <f t="shared" ca="1" si="22"/>
        <v>17342.447328106136</v>
      </c>
      <c r="BI21" s="281">
        <f t="shared" ca="1" si="22"/>
        <v>17342.447328106136</v>
      </c>
      <c r="BJ21" s="163">
        <f t="shared" ca="1" si="22"/>
        <v>17976.195492466493</v>
      </c>
      <c r="BK21" s="163">
        <f t="shared" ca="1" si="22"/>
        <v>18034.002685765528</v>
      </c>
      <c r="BL21" s="163">
        <f t="shared" ca="1" si="22"/>
        <v>18273.026026793999</v>
      </c>
      <c r="BM21" s="163">
        <f t="shared" ca="1" si="22"/>
        <v>19079.1131106584</v>
      </c>
      <c r="BN21" s="281">
        <f t="shared" ca="1" si="22"/>
        <v>19079.1131106584</v>
      </c>
      <c r="BO21"/>
      <c r="BP21"/>
      <c r="BQ21"/>
    </row>
    <row r="22" spans="1:69" x14ac:dyDescent="0.35">
      <c r="A22" s="24"/>
      <c r="B22" s="35"/>
      <c r="C22" s="24"/>
      <c r="D22" s="24"/>
      <c r="E22" s="24"/>
      <c r="F22" s="39"/>
      <c r="G22" s="16"/>
      <c r="H22" s="16"/>
      <c r="I22" s="16"/>
      <c r="J22" s="75"/>
      <c r="K22" s="39"/>
      <c r="L22" s="16"/>
      <c r="M22" s="415"/>
      <c r="N22" s="415"/>
      <c r="O22" s="16"/>
      <c r="P22" s="39"/>
      <c r="Q22" s="75"/>
      <c r="R22" s="75"/>
      <c r="S22" s="75"/>
      <c r="T22" s="75"/>
      <c r="U22" s="39"/>
      <c r="V22" s="75"/>
      <c r="W22" s="75"/>
      <c r="X22" s="75"/>
      <c r="Y22" s="75"/>
      <c r="Z22" s="39"/>
      <c r="AA22" s="75"/>
      <c r="AB22" s="75"/>
      <c r="AC22" s="75"/>
      <c r="AD22" s="75"/>
      <c r="AE22" s="39"/>
      <c r="AF22" s="75"/>
      <c r="AG22" s="75"/>
      <c r="AH22" s="75"/>
      <c r="AI22" s="75"/>
      <c r="AJ22" s="39"/>
      <c r="AK22" s="75"/>
      <c r="AL22" s="75"/>
      <c r="AM22" s="75"/>
      <c r="AN22" s="75"/>
      <c r="AO22" s="39"/>
      <c r="AP22" s="75"/>
      <c r="AQ22" s="75"/>
      <c r="AR22" s="75"/>
      <c r="AS22" s="75"/>
      <c r="AT22" s="39"/>
      <c r="AU22" s="75"/>
      <c r="AV22" s="75"/>
      <c r="AW22" s="75"/>
      <c r="AX22" s="75"/>
      <c r="AY22" s="39"/>
      <c r="AZ22" s="75"/>
      <c r="BA22" s="75"/>
      <c r="BB22" s="75"/>
      <c r="BC22" s="75"/>
      <c r="BD22" s="39"/>
      <c r="BE22" s="75"/>
      <c r="BF22" s="75"/>
      <c r="BG22" s="75"/>
      <c r="BH22" s="75"/>
      <c r="BI22" s="39"/>
      <c r="BJ22" s="75"/>
      <c r="BK22" s="75"/>
      <c r="BL22" s="75"/>
      <c r="BM22" s="75"/>
      <c r="BN22" s="39"/>
      <c r="BO22"/>
      <c r="BP22"/>
      <c r="BQ22"/>
    </row>
    <row r="23" spans="1:69" x14ac:dyDescent="0.35">
      <c r="A23" s="24"/>
      <c r="B23" s="24" t="s">
        <v>74</v>
      </c>
      <c r="C23" s="24"/>
      <c r="D23" s="24"/>
      <c r="E23" s="24"/>
      <c r="F23" s="39"/>
      <c r="G23" s="16"/>
      <c r="H23" s="16"/>
      <c r="I23" s="16"/>
      <c r="J23" s="75"/>
      <c r="K23" s="39"/>
      <c r="L23" s="16"/>
      <c r="M23" s="415"/>
      <c r="N23" s="415"/>
      <c r="O23" s="16"/>
      <c r="P23" s="39"/>
      <c r="Q23" s="75"/>
      <c r="R23" s="75"/>
      <c r="S23" s="75"/>
      <c r="T23" s="75"/>
      <c r="U23" s="39"/>
      <c r="V23" s="75"/>
      <c r="W23" s="75"/>
      <c r="X23" s="75"/>
      <c r="Y23" s="75"/>
      <c r="Z23" s="39"/>
      <c r="AA23" s="75"/>
      <c r="AB23" s="75"/>
      <c r="AC23" s="75"/>
      <c r="AD23" s="75"/>
      <c r="AE23" s="39"/>
      <c r="AF23" s="75"/>
      <c r="AG23" s="75"/>
      <c r="AH23" s="75"/>
      <c r="AI23" s="75"/>
      <c r="AJ23" s="39"/>
      <c r="AK23" s="75"/>
      <c r="AL23" s="75"/>
      <c r="AM23" s="75"/>
      <c r="AN23" s="75"/>
      <c r="AO23" s="39"/>
      <c r="AP23" s="75"/>
      <c r="AQ23" s="75"/>
      <c r="AR23" s="75"/>
      <c r="AS23" s="75"/>
      <c r="AT23" s="39"/>
      <c r="AU23" s="75"/>
      <c r="AV23" s="75"/>
      <c r="AW23" s="75"/>
      <c r="AX23" s="75"/>
      <c r="AY23" s="39"/>
      <c r="AZ23" s="75"/>
      <c r="BA23" s="75"/>
      <c r="BB23" s="75"/>
      <c r="BC23" s="75"/>
      <c r="BD23" s="39"/>
      <c r="BE23" s="75"/>
      <c r="BF23" s="75"/>
      <c r="BG23" s="75"/>
      <c r="BH23" s="75"/>
      <c r="BI23" s="39"/>
      <c r="BJ23" s="75"/>
      <c r="BK23" s="75"/>
      <c r="BL23" s="75"/>
      <c r="BM23" s="75"/>
      <c r="BN23" s="39"/>
      <c r="BO23"/>
      <c r="BP23"/>
      <c r="BQ23"/>
    </row>
    <row r="24" spans="1:69" x14ac:dyDescent="0.35">
      <c r="A24" s="24"/>
      <c r="B24" s="35" t="s">
        <v>204</v>
      </c>
      <c r="C24" s="24"/>
      <c r="D24" s="24"/>
      <c r="E24" s="24"/>
      <c r="F24" s="289"/>
      <c r="G24" s="16"/>
      <c r="H24" s="16"/>
      <c r="I24" s="16"/>
      <c r="J24" s="160">
        <v>1444.3</v>
      </c>
      <c r="K24" s="289">
        <f t="shared" ref="K24:K38" si="23">J24</f>
        <v>1444.3</v>
      </c>
      <c r="L24" s="206"/>
      <c r="M24" s="415"/>
      <c r="N24" s="415"/>
      <c r="O24" s="160">
        <v>750.3</v>
      </c>
      <c r="P24" s="289">
        <f t="shared" ref="P24:P38" si="24">O24</f>
        <v>750.3</v>
      </c>
      <c r="Q24" s="160">
        <v>532.6</v>
      </c>
      <c r="R24" s="160">
        <v>593.6</v>
      </c>
      <c r="S24" s="160">
        <v>581.6</v>
      </c>
      <c r="T24" s="160">
        <v>695.2</v>
      </c>
      <c r="U24" s="289">
        <f t="shared" ref="U24:U38" si="25">T24</f>
        <v>695.2</v>
      </c>
      <c r="V24" s="160">
        <v>537.1</v>
      </c>
      <c r="W24" s="162">
        <f>W126</f>
        <v>640.8986301369863</v>
      </c>
      <c r="X24" s="162">
        <f>X126</f>
        <v>653.91780821917803</v>
      </c>
      <c r="Y24" s="162">
        <f>Y126</f>
        <v>818.13698630136992</v>
      </c>
      <c r="Z24" s="289">
        <f>Y24</f>
        <v>818.13698630136992</v>
      </c>
      <c r="AA24" s="162">
        <f>AA126</f>
        <v>611.06849315068484</v>
      </c>
      <c r="AB24" s="160">
        <v>795</v>
      </c>
      <c r="AC24" s="160">
        <v>712</v>
      </c>
      <c r="AD24" s="472">
        <v>1039</v>
      </c>
      <c r="AE24" s="289">
        <f>AD24</f>
        <v>1039</v>
      </c>
      <c r="AF24" s="160">
        <v>828</v>
      </c>
      <c r="AG24" s="160">
        <v>816</v>
      </c>
      <c r="AH24" s="160">
        <v>1084</v>
      </c>
      <c r="AI24" s="160">
        <v>1142</v>
      </c>
      <c r="AJ24" s="289">
        <f>AI24</f>
        <v>1142</v>
      </c>
      <c r="AK24" s="160">
        <v>856</v>
      </c>
      <c r="AL24" s="160">
        <v>866</v>
      </c>
      <c r="AM24" s="160">
        <v>807</v>
      </c>
      <c r="AN24" s="160">
        <v>1011</v>
      </c>
      <c r="AO24" s="289">
        <f>AN24</f>
        <v>1011</v>
      </c>
      <c r="AP24" s="160">
        <v>805</v>
      </c>
      <c r="AQ24" s="160">
        <v>877</v>
      </c>
      <c r="AR24" s="160">
        <v>938</v>
      </c>
      <c r="AS24" s="160">
        <v>1076</v>
      </c>
      <c r="AT24" s="289">
        <f>AS24</f>
        <v>1076</v>
      </c>
      <c r="AU24" s="160">
        <v>976</v>
      </c>
      <c r="AV24" s="160">
        <v>1000</v>
      </c>
      <c r="AW24" s="160">
        <v>1133</v>
      </c>
      <c r="AX24" s="160">
        <v>1344</v>
      </c>
      <c r="AY24" s="289">
        <f>AX24</f>
        <v>1344</v>
      </c>
      <c r="AZ24" s="160">
        <v>1049</v>
      </c>
      <c r="BA24" s="160">
        <v>968</v>
      </c>
      <c r="BB24" s="162">
        <f ca="1">BB126</f>
        <v>1032.0000000000002</v>
      </c>
      <c r="BC24" s="162">
        <f>BC126</f>
        <v>1314.7680574552239</v>
      </c>
      <c r="BD24" s="289">
        <f>BC24</f>
        <v>1314.7680574552239</v>
      </c>
      <c r="BE24" s="162">
        <f>BE126</f>
        <v>1114.9429285739973</v>
      </c>
      <c r="BF24" s="162">
        <f>BF126</f>
        <v>1014.3601173656109</v>
      </c>
      <c r="BG24" s="162">
        <f ca="1">BG126</f>
        <v>1101.0705690840059</v>
      </c>
      <c r="BH24" s="162">
        <f>BH126</f>
        <v>1401.5483335754207</v>
      </c>
      <c r="BI24" s="289">
        <f>BH24</f>
        <v>1401.5483335754207</v>
      </c>
      <c r="BJ24" s="162">
        <f>BJ126</f>
        <v>1172.6542907506173</v>
      </c>
      <c r="BK24" s="162">
        <f>BK126</f>
        <v>1066.7900693510235</v>
      </c>
      <c r="BL24" s="162">
        <f ca="1">BL126</f>
        <v>1160.8981289983667</v>
      </c>
      <c r="BM24" s="162">
        <f>BM126</f>
        <v>1479.1318953858329</v>
      </c>
      <c r="BN24" s="289">
        <f>BM24</f>
        <v>1479.1318953858329</v>
      </c>
      <c r="BO24"/>
      <c r="BP24"/>
      <c r="BQ24"/>
    </row>
    <row r="25" spans="1:69" x14ac:dyDescent="0.35">
      <c r="A25" s="24"/>
      <c r="B25" s="35" t="s">
        <v>231</v>
      </c>
      <c r="C25" s="24"/>
      <c r="D25" s="24"/>
      <c r="E25" s="24"/>
      <c r="F25" s="193"/>
      <c r="G25" s="16"/>
      <c r="H25" s="16"/>
      <c r="I25" s="16"/>
      <c r="J25" s="160">
        <v>0</v>
      </c>
      <c r="K25" s="193">
        <v>0</v>
      </c>
      <c r="L25" s="206"/>
      <c r="M25" s="206"/>
      <c r="N25" s="206"/>
      <c r="O25" s="160">
        <v>0</v>
      </c>
      <c r="P25" s="193">
        <v>0</v>
      </c>
      <c r="Q25" s="160">
        <v>0</v>
      </c>
      <c r="R25" s="160">
        <v>0</v>
      </c>
      <c r="S25" s="160">
        <v>0</v>
      </c>
      <c r="T25" s="160">
        <v>0</v>
      </c>
      <c r="U25" s="289">
        <f t="shared" si="25"/>
        <v>0</v>
      </c>
      <c r="V25" s="160">
        <v>87.4</v>
      </c>
      <c r="W25" s="162">
        <f t="shared" ref="W25:Z32" si="26">V25</f>
        <v>87.4</v>
      </c>
      <c r="X25" s="162">
        <f t="shared" si="26"/>
        <v>87.4</v>
      </c>
      <c r="Y25" s="162">
        <f t="shared" si="26"/>
        <v>87.4</v>
      </c>
      <c r="Z25" s="289">
        <f t="shared" si="26"/>
        <v>87.4</v>
      </c>
      <c r="AA25" s="162">
        <f>Y25</f>
        <v>87.4</v>
      </c>
      <c r="AB25" s="160">
        <v>90</v>
      </c>
      <c r="AC25" s="160">
        <v>91</v>
      </c>
      <c r="AD25" s="472">
        <v>94</v>
      </c>
      <c r="AE25" s="289">
        <f>AD25</f>
        <v>94</v>
      </c>
      <c r="AF25" s="160">
        <v>94</v>
      </c>
      <c r="AG25" s="160">
        <v>92</v>
      </c>
      <c r="AH25" s="160">
        <v>103</v>
      </c>
      <c r="AI25" s="160">
        <v>105</v>
      </c>
      <c r="AJ25" s="289">
        <f>AI25</f>
        <v>105</v>
      </c>
      <c r="AK25" s="160">
        <v>106</v>
      </c>
      <c r="AL25" s="160">
        <v>105</v>
      </c>
      <c r="AM25" s="160">
        <v>104</v>
      </c>
      <c r="AN25" s="160">
        <v>106</v>
      </c>
      <c r="AO25" s="289">
        <f>AN25</f>
        <v>106</v>
      </c>
      <c r="AP25" s="160">
        <v>106</v>
      </c>
      <c r="AQ25" s="160">
        <v>105</v>
      </c>
      <c r="AR25" s="160">
        <v>105</v>
      </c>
      <c r="AS25" s="160">
        <v>108</v>
      </c>
      <c r="AT25" s="289">
        <f>AS25</f>
        <v>108</v>
      </c>
      <c r="AU25" s="160">
        <v>109</v>
      </c>
      <c r="AV25" s="160">
        <v>108</v>
      </c>
      <c r="AW25" s="160">
        <v>109</v>
      </c>
      <c r="AX25" s="160">
        <v>102</v>
      </c>
      <c r="AY25" s="289">
        <f>AX25</f>
        <v>102</v>
      </c>
      <c r="AZ25" s="160">
        <v>103</v>
      </c>
      <c r="BA25" s="160">
        <v>101</v>
      </c>
      <c r="BB25" s="162">
        <f t="shared" ref="BB25:BC27" si="27">BA25</f>
        <v>101</v>
      </c>
      <c r="BC25" s="162">
        <f t="shared" si="27"/>
        <v>101</v>
      </c>
      <c r="BD25" s="289">
        <f>BC25</f>
        <v>101</v>
      </c>
      <c r="BE25" s="162">
        <f>BC25</f>
        <v>101</v>
      </c>
      <c r="BF25" s="162">
        <f t="shared" ref="BF25:BH26" si="28">BE25</f>
        <v>101</v>
      </c>
      <c r="BG25" s="162">
        <f t="shared" si="28"/>
        <v>101</v>
      </c>
      <c r="BH25" s="162">
        <f t="shared" si="28"/>
        <v>101</v>
      </c>
      <c r="BI25" s="289">
        <f>BH25</f>
        <v>101</v>
      </c>
      <c r="BJ25" s="162">
        <f>BH25</f>
        <v>101</v>
      </c>
      <c r="BK25" s="162">
        <f t="shared" ref="BK25:BM26" si="29">BJ25</f>
        <v>101</v>
      </c>
      <c r="BL25" s="162">
        <f t="shared" si="29"/>
        <v>101</v>
      </c>
      <c r="BM25" s="162">
        <f t="shared" si="29"/>
        <v>101</v>
      </c>
      <c r="BN25" s="289">
        <f>BM25</f>
        <v>101</v>
      </c>
      <c r="BO25"/>
      <c r="BP25"/>
      <c r="BQ25"/>
    </row>
    <row r="26" spans="1:69" x14ac:dyDescent="0.35">
      <c r="A26" s="24"/>
      <c r="B26" s="35" t="s">
        <v>205</v>
      </c>
      <c r="C26" s="24"/>
      <c r="D26" s="24"/>
      <c r="E26" s="24"/>
      <c r="F26" s="289"/>
      <c r="G26" s="16"/>
      <c r="H26" s="16"/>
      <c r="I26" s="16"/>
      <c r="J26" s="160">
        <v>0</v>
      </c>
      <c r="K26" s="289">
        <f t="shared" si="23"/>
        <v>0</v>
      </c>
      <c r="L26" s="206"/>
      <c r="M26" s="415"/>
      <c r="N26" s="415"/>
      <c r="O26" s="160">
        <v>129.9</v>
      </c>
      <c r="P26" s="289">
        <f t="shared" si="24"/>
        <v>129.9</v>
      </c>
      <c r="Q26" s="160">
        <v>89.9</v>
      </c>
      <c r="R26" s="160">
        <v>89.9</v>
      </c>
      <c r="S26" s="160">
        <v>24.9</v>
      </c>
      <c r="T26" s="160">
        <v>0</v>
      </c>
      <c r="U26" s="289">
        <f t="shared" si="25"/>
        <v>0</v>
      </c>
      <c r="V26" s="160">
        <v>318.8</v>
      </c>
      <c r="W26" s="162">
        <f t="shared" si="26"/>
        <v>318.8</v>
      </c>
      <c r="X26" s="162">
        <f t="shared" si="26"/>
        <v>318.8</v>
      </c>
      <c r="Y26" s="162">
        <f t="shared" si="26"/>
        <v>318.8</v>
      </c>
      <c r="Z26" s="289">
        <f t="shared" si="26"/>
        <v>318.8</v>
      </c>
      <c r="AA26" s="162">
        <f>Y26</f>
        <v>318.8</v>
      </c>
      <c r="AB26" s="160">
        <v>0</v>
      </c>
      <c r="AC26" s="160">
        <v>0</v>
      </c>
      <c r="AD26" s="472">
        <v>0</v>
      </c>
      <c r="AE26" s="289">
        <f>AD26</f>
        <v>0</v>
      </c>
      <c r="AF26" s="160">
        <v>0</v>
      </c>
      <c r="AG26" s="160">
        <v>0</v>
      </c>
      <c r="AH26" s="160">
        <v>0</v>
      </c>
      <c r="AI26" s="162">
        <f>AH26</f>
        <v>0</v>
      </c>
      <c r="AJ26" s="289">
        <f>AI26</f>
        <v>0</v>
      </c>
      <c r="AK26" s="160">
        <v>0</v>
      </c>
      <c r="AL26" s="160">
        <v>0</v>
      </c>
      <c r="AM26" s="160">
        <v>0</v>
      </c>
      <c r="AN26" s="160">
        <v>0</v>
      </c>
      <c r="AO26" s="289">
        <f>AN26</f>
        <v>0</v>
      </c>
      <c r="AP26" s="160">
        <f>AN26</f>
        <v>0</v>
      </c>
      <c r="AQ26" s="160">
        <v>0</v>
      </c>
      <c r="AR26" s="160">
        <v>0</v>
      </c>
      <c r="AS26" s="160">
        <v>0</v>
      </c>
      <c r="AT26" s="289">
        <f>AS26</f>
        <v>0</v>
      </c>
      <c r="AU26" s="160">
        <v>0</v>
      </c>
      <c r="AV26" s="160">
        <v>0</v>
      </c>
      <c r="AW26" s="160">
        <v>0</v>
      </c>
      <c r="AX26" s="160">
        <v>0</v>
      </c>
      <c r="AY26" s="289">
        <f>AX26</f>
        <v>0</v>
      </c>
      <c r="AZ26" s="160">
        <v>0</v>
      </c>
      <c r="BA26" s="160">
        <v>0</v>
      </c>
      <c r="BB26" s="162">
        <f t="shared" si="27"/>
        <v>0</v>
      </c>
      <c r="BC26" s="162">
        <f t="shared" si="27"/>
        <v>0</v>
      </c>
      <c r="BD26" s="289">
        <f>BC26</f>
        <v>0</v>
      </c>
      <c r="BE26" s="162">
        <f>BC26</f>
        <v>0</v>
      </c>
      <c r="BF26" s="162">
        <f t="shared" si="28"/>
        <v>0</v>
      </c>
      <c r="BG26" s="162">
        <f t="shared" si="28"/>
        <v>0</v>
      </c>
      <c r="BH26" s="162">
        <f t="shared" si="28"/>
        <v>0</v>
      </c>
      <c r="BI26" s="289">
        <f>BH26</f>
        <v>0</v>
      </c>
      <c r="BJ26" s="162">
        <f>BH26</f>
        <v>0</v>
      </c>
      <c r="BK26" s="162">
        <f t="shared" si="29"/>
        <v>0</v>
      </c>
      <c r="BL26" s="162">
        <f t="shared" si="29"/>
        <v>0</v>
      </c>
      <c r="BM26" s="162">
        <f t="shared" si="29"/>
        <v>0</v>
      </c>
      <c r="BN26" s="289">
        <f>BM26</f>
        <v>0</v>
      </c>
      <c r="BO26"/>
      <c r="BP26"/>
      <c r="BQ26"/>
    </row>
    <row r="27" spans="1:69" x14ac:dyDescent="0.35">
      <c r="A27" s="24"/>
      <c r="B27" s="35" t="s">
        <v>206</v>
      </c>
      <c r="C27" s="24"/>
      <c r="D27" s="24"/>
      <c r="E27" s="24"/>
      <c r="F27" s="289"/>
      <c r="G27" s="16"/>
      <c r="H27" s="16"/>
      <c r="I27" s="16"/>
      <c r="J27" s="160">
        <v>300</v>
      </c>
      <c r="K27" s="289">
        <f t="shared" si="23"/>
        <v>300</v>
      </c>
      <c r="L27" s="206"/>
      <c r="M27" s="415"/>
      <c r="N27" s="415"/>
      <c r="O27" s="160">
        <v>299.5</v>
      </c>
      <c r="P27" s="289">
        <f t="shared" si="24"/>
        <v>299.5</v>
      </c>
      <c r="Q27" s="160">
        <v>299.7</v>
      </c>
      <c r="R27" s="160">
        <v>299.89999999999998</v>
      </c>
      <c r="S27" s="160">
        <v>445.6</v>
      </c>
      <c r="T27" s="160">
        <v>449.9</v>
      </c>
      <c r="U27" s="289">
        <f t="shared" si="25"/>
        <v>449.9</v>
      </c>
      <c r="V27" s="160">
        <v>0</v>
      </c>
      <c r="W27" s="162">
        <f t="shared" si="26"/>
        <v>0</v>
      </c>
      <c r="X27" s="162">
        <f t="shared" si="26"/>
        <v>0</v>
      </c>
      <c r="Y27" s="162">
        <f t="shared" si="26"/>
        <v>0</v>
      </c>
      <c r="Z27" s="289">
        <f t="shared" si="26"/>
        <v>0</v>
      </c>
      <c r="AA27" s="162">
        <f>Y27</f>
        <v>0</v>
      </c>
      <c r="AB27" s="162">
        <f>AA27</f>
        <v>0</v>
      </c>
      <c r="AC27" s="162">
        <f>AB27</f>
        <v>0</v>
      </c>
      <c r="AD27" s="162">
        <f>AC27</f>
        <v>0</v>
      </c>
      <c r="AE27" s="289">
        <f>AD27</f>
        <v>0</v>
      </c>
      <c r="AF27" s="162">
        <f>AE27</f>
        <v>0</v>
      </c>
      <c r="AG27" s="162">
        <f>AF27</f>
        <v>0</v>
      </c>
      <c r="AH27" s="160">
        <v>507</v>
      </c>
      <c r="AI27" s="160">
        <v>0</v>
      </c>
      <c r="AJ27" s="289">
        <f>AI27</f>
        <v>0</v>
      </c>
      <c r="AK27" s="160">
        <v>501</v>
      </c>
      <c r="AL27" s="160">
        <v>499</v>
      </c>
      <c r="AM27" s="160">
        <v>0</v>
      </c>
      <c r="AN27" s="160">
        <v>0</v>
      </c>
      <c r="AO27" s="289">
        <f>AN27</f>
        <v>0</v>
      </c>
      <c r="AP27" s="160">
        <v>499</v>
      </c>
      <c r="AQ27" s="160">
        <v>300</v>
      </c>
      <c r="AR27" s="160">
        <v>0</v>
      </c>
      <c r="AS27" s="160">
        <v>0</v>
      </c>
      <c r="AT27" s="289">
        <f>AS27</f>
        <v>0</v>
      </c>
      <c r="AU27" s="160">
        <v>685</v>
      </c>
      <c r="AV27" s="160">
        <v>688</v>
      </c>
      <c r="AW27" s="160">
        <v>693</v>
      </c>
      <c r="AX27" s="160">
        <v>697</v>
      </c>
      <c r="AY27" s="289">
        <f>AX27</f>
        <v>697</v>
      </c>
      <c r="AZ27" s="160">
        <v>0</v>
      </c>
      <c r="BA27" s="160">
        <v>0</v>
      </c>
      <c r="BB27" s="160">
        <f t="shared" si="27"/>
        <v>0</v>
      </c>
      <c r="BC27" s="160">
        <f t="shared" si="27"/>
        <v>0</v>
      </c>
      <c r="BD27" s="289">
        <f>BC27</f>
        <v>0</v>
      </c>
      <c r="BE27" s="160">
        <v>0</v>
      </c>
      <c r="BF27" s="160">
        <f>BE27</f>
        <v>0</v>
      </c>
      <c r="BG27" s="160">
        <v>0</v>
      </c>
      <c r="BH27" s="160">
        <f>BG27</f>
        <v>0</v>
      </c>
      <c r="BI27" s="289">
        <f>BH27</f>
        <v>0</v>
      </c>
      <c r="BJ27" s="160">
        <v>0</v>
      </c>
      <c r="BK27" s="160">
        <f>BJ27</f>
        <v>0</v>
      </c>
      <c r="BL27" s="160">
        <v>0</v>
      </c>
      <c r="BM27" s="160">
        <f>BL27</f>
        <v>0</v>
      </c>
      <c r="BN27" s="289">
        <f>BM27</f>
        <v>0</v>
      </c>
      <c r="BO27"/>
      <c r="BP27"/>
      <c r="BQ27"/>
    </row>
    <row r="28" spans="1:69" x14ac:dyDescent="0.35">
      <c r="A28" s="24"/>
      <c r="B28" s="35" t="s">
        <v>207</v>
      </c>
      <c r="C28" s="24"/>
      <c r="D28" s="24"/>
      <c r="E28" s="24"/>
      <c r="F28" s="289"/>
      <c r="G28" s="16"/>
      <c r="H28" s="16"/>
      <c r="I28" s="16"/>
      <c r="J28" s="160">
        <v>683.9</v>
      </c>
      <c r="K28" s="289">
        <f t="shared" si="23"/>
        <v>683.9</v>
      </c>
      <c r="L28" s="206"/>
      <c r="M28" s="415"/>
      <c r="N28" s="415"/>
      <c r="O28" s="160">
        <v>883.6</v>
      </c>
      <c r="P28" s="289">
        <f t="shared" si="24"/>
        <v>883.6</v>
      </c>
      <c r="Q28" s="160">
        <v>998.7</v>
      </c>
      <c r="R28" s="160">
        <v>860.5</v>
      </c>
      <c r="S28" s="160">
        <v>771.5</v>
      </c>
      <c r="T28" s="160">
        <v>953.4</v>
      </c>
      <c r="U28" s="289">
        <f t="shared" si="25"/>
        <v>953.4</v>
      </c>
      <c r="V28" s="160">
        <v>1062.3</v>
      </c>
      <c r="W28" s="160">
        <v>792.80136986301386</v>
      </c>
      <c r="X28" s="160">
        <v>1077.882191780822</v>
      </c>
      <c r="Y28" s="160">
        <v>687.66301369862992</v>
      </c>
      <c r="Z28" s="289">
        <f t="shared" si="26"/>
        <v>687.66301369862992</v>
      </c>
      <c r="AA28" s="160">
        <v>1333.7315068493153</v>
      </c>
      <c r="AB28" s="160">
        <v>1001</v>
      </c>
      <c r="AC28" s="160">
        <v>918</v>
      </c>
      <c r="AD28" s="472">
        <v>1089</v>
      </c>
      <c r="AE28" s="289">
        <f>AD28</f>
        <v>1089</v>
      </c>
      <c r="AF28" s="160">
        <v>1232</v>
      </c>
      <c r="AG28" s="160">
        <v>1142</v>
      </c>
      <c r="AH28" s="160">
        <v>1099</v>
      </c>
      <c r="AI28" s="160">
        <v>1249</v>
      </c>
      <c r="AJ28" s="289">
        <f>AI28</f>
        <v>1249</v>
      </c>
      <c r="AK28" s="160">
        <v>1525</v>
      </c>
      <c r="AL28" s="160">
        <v>1285</v>
      </c>
      <c r="AM28" s="160">
        <v>1155</v>
      </c>
      <c r="AN28" s="160">
        <v>1258</v>
      </c>
      <c r="AO28" s="289">
        <f>AN28</f>
        <v>1258</v>
      </c>
      <c r="AP28" s="160">
        <v>1578</v>
      </c>
      <c r="AQ28" s="160">
        <v>1385</v>
      </c>
      <c r="AR28" s="160">
        <v>1226</v>
      </c>
      <c r="AS28" s="160">
        <v>1316</v>
      </c>
      <c r="AT28" s="289">
        <f>AS28</f>
        <v>1316</v>
      </c>
      <c r="AU28" s="160">
        <v>1612</v>
      </c>
      <c r="AV28" s="160">
        <v>1423</v>
      </c>
      <c r="AW28" s="160">
        <v>1300</v>
      </c>
      <c r="AX28" s="160">
        <v>1454</v>
      </c>
      <c r="AY28" s="289">
        <f>AX28</f>
        <v>1454</v>
      </c>
      <c r="AZ28" s="160">
        <v>1765</v>
      </c>
      <c r="BA28" s="160">
        <v>1578</v>
      </c>
      <c r="BB28" s="162">
        <f ca="1">BB127-BB30</f>
        <v>1370</v>
      </c>
      <c r="BC28" s="162">
        <f>BC127-BC30</f>
        <v>1539.3382537286116</v>
      </c>
      <c r="BD28" s="289">
        <f>BC28</f>
        <v>1539.3382537286116</v>
      </c>
      <c r="BE28" s="162">
        <f>BE127-BE30</f>
        <v>1938.3933884185124</v>
      </c>
      <c r="BF28" s="162">
        <f>BF127-BF30</f>
        <v>1713.9346578651939</v>
      </c>
      <c r="BG28" s="162">
        <f ca="1">BG127-BG30</f>
        <v>1478.9140232252807</v>
      </c>
      <c r="BH28" s="162">
        <f>BH127-BH30</f>
        <v>1663.8501055587387</v>
      </c>
      <c r="BI28" s="289">
        <f>BH28</f>
        <v>1663.8501055587387</v>
      </c>
      <c r="BJ28" s="162">
        <f>BJ127-BJ30</f>
        <v>2090.3343258723335</v>
      </c>
      <c r="BK28" s="162">
        <f>BK127-BK30</f>
        <v>1848.5087665619974</v>
      </c>
      <c r="BL28" s="162">
        <f ca="1">BL127-BL30</f>
        <v>1595.961035839229</v>
      </c>
      <c r="BM28" s="162">
        <f>BM127-BM30</f>
        <v>1795.6226380919245</v>
      </c>
      <c r="BN28" s="289">
        <f>BM28</f>
        <v>1795.6226380919245</v>
      </c>
      <c r="BO28"/>
      <c r="BP28"/>
      <c r="BQ28"/>
    </row>
    <row r="29" spans="1:69" x14ac:dyDescent="0.35">
      <c r="A29" s="24"/>
      <c r="B29" s="24" t="s">
        <v>208</v>
      </c>
      <c r="C29" s="24"/>
      <c r="D29" s="24"/>
      <c r="E29" s="24"/>
      <c r="F29" s="281"/>
      <c r="G29" s="16"/>
      <c r="H29" s="16"/>
      <c r="I29" s="16"/>
      <c r="J29" s="157">
        <f t="shared" ref="J29:O29" si="30">SUM(J24:J28)</f>
        <v>2428.1999999999998</v>
      </c>
      <c r="K29" s="281">
        <f t="shared" si="30"/>
        <v>2428.1999999999998</v>
      </c>
      <c r="L29" s="157"/>
      <c r="M29" s="157"/>
      <c r="N29" s="157"/>
      <c r="O29" s="157">
        <f t="shared" si="30"/>
        <v>2063.2999999999997</v>
      </c>
      <c r="P29" s="281">
        <f t="shared" ref="P29:V29" si="31">SUM(P24:P28)</f>
        <v>2063.2999999999997</v>
      </c>
      <c r="Q29" s="157">
        <f t="shared" si="31"/>
        <v>1920.9</v>
      </c>
      <c r="R29" s="157">
        <f t="shared" si="31"/>
        <v>1843.9</v>
      </c>
      <c r="S29" s="157">
        <f t="shared" si="31"/>
        <v>1823.6</v>
      </c>
      <c r="T29" s="157">
        <f t="shared" si="31"/>
        <v>2098.5</v>
      </c>
      <c r="U29" s="281">
        <f t="shared" si="31"/>
        <v>2098.5</v>
      </c>
      <c r="V29" s="157">
        <f t="shared" si="31"/>
        <v>2005.6</v>
      </c>
      <c r="W29" s="157">
        <f t="shared" ref="W29:AB29" si="32">SUM(W24:W28)</f>
        <v>1839.9</v>
      </c>
      <c r="X29" s="157">
        <f t="shared" si="32"/>
        <v>2138</v>
      </c>
      <c r="Y29" s="157">
        <f t="shared" si="32"/>
        <v>1912</v>
      </c>
      <c r="Z29" s="281">
        <f t="shared" si="32"/>
        <v>1912</v>
      </c>
      <c r="AA29" s="157">
        <f t="shared" si="32"/>
        <v>2351</v>
      </c>
      <c r="AB29" s="157">
        <f t="shared" si="32"/>
        <v>1886</v>
      </c>
      <c r="AC29" s="157">
        <f t="shared" ref="AC29:AI29" si="33">SUM(AC24:AC28)</f>
        <v>1721</v>
      </c>
      <c r="AD29" s="157">
        <f t="shared" si="33"/>
        <v>2222</v>
      </c>
      <c r="AE29" s="281">
        <f>SUM(AE24:AE28)</f>
        <v>2222</v>
      </c>
      <c r="AF29" s="157">
        <f t="shared" si="33"/>
        <v>2154</v>
      </c>
      <c r="AG29" s="157">
        <f t="shared" si="33"/>
        <v>2050</v>
      </c>
      <c r="AH29" s="157">
        <f t="shared" si="33"/>
        <v>2793</v>
      </c>
      <c r="AI29" s="157">
        <f t="shared" si="33"/>
        <v>2496</v>
      </c>
      <c r="AJ29" s="281">
        <f t="shared" ref="AJ29:BD29" si="34">SUM(AJ24:AJ28)</f>
        <v>2496</v>
      </c>
      <c r="AK29" s="157">
        <f t="shared" si="34"/>
        <v>2988</v>
      </c>
      <c r="AL29" s="157">
        <f t="shared" si="34"/>
        <v>2755</v>
      </c>
      <c r="AM29" s="157">
        <f t="shared" si="34"/>
        <v>2066</v>
      </c>
      <c r="AN29" s="157">
        <f t="shared" si="34"/>
        <v>2375</v>
      </c>
      <c r="AO29" s="281">
        <f t="shared" si="34"/>
        <v>2375</v>
      </c>
      <c r="AP29" s="157">
        <f t="shared" si="34"/>
        <v>2988</v>
      </c>
      <c r="AQ29" s="157">
        <f t="shared" si="34"/>
        <v>2667</v>
      </c>
      <c r="AR29" s="157">
        <f>SUM(AR24:AR28)</f>
        <v>2269</v>
      </c>
      <c r="AS29" s="157">
        <f t="shared" si="34"/>
        <v>2500</v>
      </c>
      <c r="AT29" s="281">
        <f t="shared" si="34"/>
        <v>2500</v>
      </c>
      <c r="AU29" s="157">
        <f>SUM(AU24:AU28)</f>
        <v>3382</v>
      </c>
      <c r="AV29" s="157">
        <f>SUM(AV24:AV28)</f>
        <v>3219</v>
      </c>
      <c r="AW29" s="157">
        <f>SUM(AW24:AW28)</f>
        <v>3235</v>
      </c>
      <c r="AX29" s="157">
        <f t="shared" si="34"/>
        <v>3597</v>
      </c>
      <c r="AY29" s="281">
        <f t="shared" si="34"/>
        <v>3597</v>
      </c>
      <c r="AZ29" s="157">
        <f t="shared" si="34"/>
        <v>2917</v>
      </c>
      <c r="BA29" s="157">
        <f t="shared" si="34"/>
        <v>2647</v>
      </c>
      <c r="BB29" s="157">
        <f t="shared" ca="1" si="34"/>
        <v>2503</v>
      </c>
      <c r="BC29" s="157">
        <f t="shared" si="34"/>
        <v>2955.1063111838357</v>
      </c>
      <c r="BD29" s="281">
        <f t="shared" si="34"/>
        <v>2955.1063111838357</v>
      </c>
      <c r="BE29" s="157">
        <f t="shared" ref="BE29:BN29" si="35">SUM(BE24:BE28)</f>
        <v>3154.3363169925096</v>
      </c>
      <c r="BF29" s="157">
        <f t="shared" si="35"/>
        <v>2829.2947752308046</v>
      </c>
      <c r="BG29" s="157">
        <f t="shared" ca="1" si="35"/>
        <v>2680.9845923092867</v>
      </c>
      <c r="BH29" s="157">
        <f t="shared" si="35"/>
        <v>3166.3984391341592</v>
      </c>
      <c r="BI29" s="281">
        <f t="shared" si="35"/>
        <v>3166.3984391341592</v>
      </c>
      <c r="BJ29" s="157">
        <f t="shared" si="35"/>
        <v>3363.9886166229508</v>
      </c>
      <c r="BK29" s="157">
        <f t="shared" si="35"/>
        <v>3016.2988359130209</v>
      </c>
      <c r="BL29" s="157">
        <f t="shared" ca="1" si="35"/>
        <v>2857.8591648375959</v>
      </c>
      <c r="BM29" s="157">
        <f t="shared" si="35"/>
        <v>3375.7545334777574</v>
      </c>
      <c r="BN29" s="281">
        <f t="shared" si="35"/>
        <v>3375.7545334777574</v>
      </c>
      <c r="BO29"/>
      <c r="BP29"/>
      <c r="BQ29"/>
    </row>
    <row r="30" spans="1:69" x14ac:dyDescent="0.35">
      <c r="A30" s="24"/>
      <c r="B30" s="35" t="s">
        <v>209</v>
      </c>
      <c r="C30" s="24"/>
      <c r="D30" s="24"/>
      <c r="E30" s="24"/>
      <c r="F30" s="289"/>
      <c r="G30" s="16"/>
      <c r="H30" s="16"/>
      <c r="I30" s="16"/>
      <c r="J30" s="160">
        <v>134.1</v>
      </c>
      <c r="K30" s="289">
        <f t="shared" si="23"/>
        <v>134.1</v>
      </c>
      <c r="L30" s="206"/>
      <c r="M30" s="415"/>
      <c r="N30" s="415"/>
      <c r="O30" s="160">
        <v>140</v>
      </c>
      <c r="P30" s="289">
        <f t="shared" si="24"/>
        <v>140</v>
      </c>
      <c r="Q30" s="160">
        <v>127.8</v>
      </c>
      <c r="R30" s="160">
        <v>126</v>
      </c>
      <c r="S30" s="160">
        <v>123.9</v>
      </c>
      <c r="T30" s="160">
        <v>122.3</v>
      </c>
      <c r="U30" s="289">
        <f t="shared" si="25"/>
        <v>122.3</v>
      </c>
      <c r="V30" s="160">
        <v>120.9</v>
      </c>
      <c r="W30" s="162">
        <f t="shared" si="26"/>
        <v>120.9</v>
      </c>
      <c r="X30" s="162">
        <f t="shared" si="26"/>
        <v>120.9</v>
      </c>
      <c r="Y30" s="162">
        <f t="shared" si="26"/>
        <v>120.9</v>
      </c>
      <c r="Z30" s="289">
        <f t="shared" si="26"/>
        <v>120.9</v>
      </c>
      <c r="AA30" s="162">
        <f>Y30</f>
        <v>120.9</v>
      </c>
      <c r="AB30" s="160">
        <v>104</v>
      </c>
      <c r="AC30" s="160">
        <v>102</v>
      </c>
      <c r="AD30" s="472">
        <v>98</v>
      </c>
      <c r="AE30" s="289">
        <f t="shared" ref="AE30:AE35" si="36">AD30</f>
        <v>98</v>
      </c>
      <c r="AF30" s="160">
        <v>96</v>
      </c>
      <c r="AG30" s="160">
        <v>93</v>
      </c>
      <c r="AH30" s="160">
        <v>87</v>
      </c>
      <c r="AI30" s="160">
        <v>86</v>
      </c>
      <c r="AJ30" s="289">
        <f t="shared" ref="AJ30:AJ35" si="37">AI30</f>
        <v>86</v>
      </c>
      <c r="AK30" s="472">
        <v>86</v>
      </c>
      <c r="AL30" s="472">
        <v>81</v>
      </c>
      <c r="AM30" s="472">
        <v>78</v>
      </c>
      <c r="AN30" s="472">
        <v>75</v>
      </c>
      <c r="AO30" s="289">
        <f t="shared" ref="AO30:AO35" si="38">AN30</f>
        <v>75</v>
      </c>
      <c r="AP30" s="472">
        <v>70</v>
      </c>
      <c r="AQ30" s="472">
        <v>67</v>
      </c>
      <c r="AR30" s="472">
        <v>65</v>
      </c>
      <c r="AS30" s="472">
        <v>65</v>
      </c>
      <c r="AT30" s="289">
        <f t="shared" ref="AT30:AT35" si="39">AS30</f>
        <v>65</v>
      </c>
      <c r="AU30" s="472">
        <v>61</v>
      </c>
      <c r="AV30" s="472">
        <v>59</v>
      </c>
      <c r="AW30" s="472">
        <v>59</v>
      </c>
      <c r="AX30" s="472">
        <v>57</v>
      </c>
      <c r="AY30" s="289">
        <f t="shared" ref="AY30:AY35" si="40">AX30</f>
        <v>57</v>
      </c>
      <c r="AZ30" s="472">
        <v>57</v>
      </c>
      <c r="BA30" s="472">
        <v>57</v>
      </c>
      <c r="BB30" s="162">
        <f>BA30</f>
        <v>57</v>
      </c>
      <c r="BC30" s="162">
        <f>BB30</f>
        <v>57</v>
      </c>
      <c r="BD30" s="289">
        <f t="shared" ref="BD30:BD35" si="41">BC30</f>
        <v>57</v>
      </c>
      <c r="BE30" s="162">
        <f>BC30</f>
        <v>57</v>
      </c>
      <c r="BF30" s="162">
        <f>BE30</f>
        <v>57</v>
      </c>
      <c r="BG30" s="162">
        <f>BF30</f>
        <v>57</v>
      </c>
      <c r="BH30" s="162">
        <f>BG30</f>
        <v>57</v>
      </c>
      <c r="BI30" s="289">
        <f t="shared" ref="BI30:BI35" si="42">BH30</f>
        <v>57</v>
      </c>
      <c r="BJ30" s="162">
        <f>BH30</f>
        <v>57</v>
      </c>
      <c r="BK30" s="162">
        <f>BJ30</f>
        <v>57</v>
      </c>
      <c r="BL30" s="162">
        <f>BK30</f>
        <v>57</v>
      </c>
      <c r="BM30" s="162">
        <f>BL30</f>
        <v>57</v>
      </c>
      <c r="BN30" s="289">
        <f t="shared" ref="BN30:BN35" si="43">BM30</f>
        <v>57</v>
      </c>
      <c r="BO30"/>
      <c r="BP30"/>
      <c r="BQ30"/>
    </row>
    <row r="31" spans="1:69" x14ac:dyDescent="0.35">
      <c r="A31" s="24"/>
      <c r="B31" s="35" t="s">
        <v>75</v>
      </c>
      <c r="C31" s="24"/>
      <c r="D31" s="24"/>
      <c r="E31" s="24"/>
      <c r="F31" s="289">
        <v>3380.6</v>
      </c>
      <c r="G31" s="16"/>
      <c r="H31" s="16"/>
      <c r="I31" s="16"/>
      <c r="J31" s="160">
        <v>3063</v>
      </c>
      <c r="K31" s="289">
        <f t="shared" si="23"/>
        <v>3063</v>
      </c>
      <c r="L31" s="206"/>
      <c r="M31" s="415"/>
      <c r="N31" s="415"/>
      <c r="O31" s="160">
        <v>5111.1000000000004</v>
      </c>
      <c r="P31" s="289">
        <f t="shared" si="24"/>
        <v>5111.1000000000004</v>
      </c>
      <c r="Q31" s="160">
        <v>5118</v>
      </c>
      <c r="R31" s="160">
        <v>4934.2</v>
      </c>
      <c r="S31" s="160">
        <v>4484</v>
      </c>
      <c r="T31" s="160">
        <v>5226.1000000000004</v>
      </c>
      <c r="U31" s="289">
        <f t="shared" si="25"/>
        <v>5226.1000000000004</v>
      </c>
      <c r="V31" s="160">
        <v>5228.6000000000004</v>
      </c>
      <c r="W31" s="160">
        <v>5387.9</v>
      </c>
      <c r="X31" s="160">
        <v>5238</v>
      </c>
      <c r="Y31" s="160">
        <v>5581</v>
      </c>
      <c r="Z31" s="289">
        <f>Y31</f>
        <v>5581</v>
      </c>
      <c r="AA31" s="160">
        <v>6788</v>
      </c>
      <c r="AB31" s="160">
        <v>6333</v>
      </c>
      <c r="AC31" s="160">
        <v>6363</v>
      </c>
      <c r="AD31" s="472">
        <v>6422</v>
      </c>
      <c r="AE31" s="289">
        <f t="shared" si="36"/>
        <v>6422</v>
      </c>
      <c r="AF31" s="160">
        <v>6340</v>
      </c>
      <c r="AG31" s="160">
        <v>6355</v>
      </c>
      <c r="AH31" s="160">
        <v>6969</v>
      </c>
      <c r="AI31" s="160">
        <v>7413</v>
      </c>
      <c r="AJ31" s="289">
        <f t="shared" si="37"/>
        <v>7413</v>
      </c>
      <c r="AK31" s="472">
        <f>7786-AK27</f>
        <v>7285</v>
      </c>
      <c r="AL31" s="472">
        <v>7158</v>
      </c>
      <c r="AM31" s="472">
        <v>7476</v>
      </c>
      <c r="AN31" s="472">
        <v>7389</v>
      </c>
      <c r="AO31" s="289">
        <f t="shared" si="38"/>
        <v>7389</v>
      </c>
      <c r="AP31" s="472">
        <v>6963</v>
      </c>
      <c r="AQ31" s="472">
        <v>6923</v>
      </c>
      <c r="AR31" s="472">
        <v>6851</v>
      </c>
      <c r="AS31" s="472">
        <v>7001</v>
      </c>
      <c r="AT31" s="289">
        <f t="shared" si="39"/>
        <v>7001</v>
      </c>
      <c r="AU31" s="472">
        <v>6259</v>
      </c>
      <c r="AV31" s="472">
        <v>6253</v>
      </c>
      <c r="AW31" s="472">
        <v>6876</v>
      </c>
      <c r="AX31" s="472">
        <v>6731</v>
      </c>
      <c r="AY31" s="289">
        <f t="shared" si="40"/>
        <v>6731</v>
      </c>
      <c r="AZ31" s="472">
        <v>6823</v>
      </c>
      <c r="BA31" s="472">
        <v>6967</v>
      </c>
      <c r="BB31" s="162">
        <f ca="1">BB135-BB27</f>
        <v>6983</v>
      </c>
      <c r="BC31" s="162">
        <f ca="1">BC135-BC27</f>
        <v>6983</v>
      </c>
      <c r="BD31" s="289">
        <f t="shared" ca="1" si="41"/>
        <v>6983</v>
      </c>
      <c r="BE31" s="162">
        <f ca="1">BE135-BE27</f>
        <v>6983</v>
      </c>
      <c r="BF31" s="162">
        <f ca="1">BF135-BF27</f>
        <v>6983</v>
      </c>
      <c r="BG31" s="162">
        <f ca="1">BG135-BG27</f>
        <v>6983</v>
      </c>
      <c r="BH31" s="162">
        <f ca="1">BH135-BH27</f>
        <v>6983</v>
      </c>
      <c r="BI31" s="289">
        <f t="shared" ca="1" si="42"/>
        <v>6983</v>
      </c>
      <c r="BJ31" s="162">
        <f ca="1">BJ135-BJ27</f>
        <v>6983</v>
      </c>
      <c r="BK31" s="162">
        <f ca="1">BK135-BK27</f>
        <v>6983</v>
      </c>
      <c r="BL31" s="162">
        <f ca="1">BL135-BL27</f>
        <v>6983</v>
      </c>
      <c r="BM31" s="162">
        <f ca="1">BM135-BM27</f>
        <v>6983</v>
      </c>
      <c r="BN31" s="289">
        <f t="shared" ca="1" si="43"/>
        <v>6983</v>
      </c>
      <c r="BO31"/>
      <c r="BP31"/>
      <c r="BQ31"/>
    </row>
    <row r="32" spans="1:69" x14ac:dyDescent="0.35">
      <c r="A32" s="24"/>
      <c r="B32" s="35" t="s">
        <v>210</v>
      </c>
      <c r="C32" s="24"/>
      <c r="D32" s="24"/>
      <c r="E32" s="24"/>
      <c r="F32" s="289"/>
      <c r="G32" s="16"/>
      <c r="H32" s="16"/>
      <c r="I32" s="16"/>
      <c r="J32" s="160">
        <v>104.3</v>
      </c>
      <c r="K32" s="289">
        <f t="shared" si="23"/>
        <v>104.3</v>
      </c>
      <c r="L32" s="206"/>
      <c r="M32" s="415"/>
      <c r="N32" s="415"/>
      <c r="O32" s="160">
        <v>341.6</v>
      </c>
      <c r="P32" s="289">
        <f t="shared" si="24"/>
        <v>341.6</v>
      </c>
      <c r="Q32" s="160">
        <v>382.2</v>
      </c>
      <c r="R32" s="160">
        <v>363.2</v>
      </c>
      <c r="S32" s="160">
        <v>354.8</v>
      </c>
      <c r="T32" s="160">
        <v>351.7</v>
      </c>
      <c r="U32" s="289">
        <f t="shared" si="25"/>
        <v>351.7</v>
      </c>
      <c r="V32" s="160">
        <v>353.4</v>
      </c>
      <c r="W32" s="162">
        <f t="shared" si="26"/>
        <v>353.4</v>
      </c>
      <c r="X32" s="162">
        <f t="shared" si="26"/>
        <v>353.4</v>
      </c>
      <c r="Y32" s="162">
        <f t="shared" si="26"/>
        <v>353.4</v>
      </c>
      <c r="Z32" s="289">
        <f t="shared" si="26"/>
        <v>353.4</v>
      </c>
      <c r="AA32" s="162">
        <f>Y32</f>
        <v>353.4</v>
      </c>
      <c r="AB32" s="160">
        <v>414</v>
      </c>
      <c r="AC32" s="160">
        <v>385</v>
      </c>
      <c r="AD32" s="472">
        <v>404</v>
      </c>
      <c r="AE32" s="289">
        <f t="shared" si="36"/>
        <v>404</v>
      </c>
      <c r="AF32" s="160">
        <v>404</v>
      </c>
      <c r="AG32" s="160">
        <v>422</v>
      </c>
      <c r="AH32" s="160">
        <v>564</v>
      </c>
      <c r="AI32" s="160">
        <v>488</v>
      </c>
      <c r="AJ32" s="289">
        <f t="shared" si="37"/>
        <v>488</v>
      </c>
      <c r="AK32" s="472">
        <v>498</v>
      </c>
      <c r="AL32" s="472">
        <v>572</v>
      </c>
      <c r="AM32" s="472">
        <v>604</v>
      </c>
      <c r="AN32" s="472">
        <v>457</v>
      </c>
      <c r="AO32" s="289">
        <f t="shared" si="38"/>
        <v>457</v>
      </c>
      <c r="AP32" s="472">
        <v>476</v>
      </c>
      <c r="AQ32" s="472">
        <v>485</v>
      </c>
      <c r="AR32" s="472">
        <v>483</v>
      </c>
      <c r="AS32" s="472">
        <v>402</v>
      </c>
      <c r="AT32" s="289">
        <f t="shared" si="39"/>
        <v>402</v>
      </c>
      <c r="AU32" s="472">
        <v>458</v>
      </c>
      <c r="AV32" s="472">
        <v>465</v>
      </c>
      <c r="AW32" s="472">
        <v>416</v>
      </c>
      <c r="AX32" s="472">
        <v>449</v>
      </c>
      <c r="AY32" s="289">
        <f t="shared" si="40"/>
        <v>449</v>
      </c>
      <c r="AZ32" s="472">
        <v>439</v>
      </c>
      <c r="BA32" s="472">
        <v>355</v>
      </c>
      <c r="BB32" s="162">
        <f t="shared" ref="BB32:BC35" si="44">BA32</f>
        <v>355</v>
      </c>
      <c r="BC32" s="162">
        <f t="shared" si="44"/>
        <v>355</v>
      </c>
      <c r="BD32" s="289">
        <f t="shared" si="41"/>
        <v>355</v>
      </c>
      <c r="BE32" s="162">
        <f>BC32</f>
        <v>355</v>
      </c>
      <c r="BF32" s="162">
        <f t="shared" ref="BF32:BH35" si="45">BE32</f>
        <v>355</v>
      </c>
      <c r="BG32" s="162">
        <f t="shared" si="45"/>
        <v>355</v>
      </c>
      <c r="BH32" s="162">
        <f t="shared" si="45"/>
        <v>355</v>
      </c>
      <c r="BI32" s="289">
        <f t="shared" si="42"/>
        <v>355</v>
      </c>
      <c r="BJ32" s="162">
        <f>BH32</f>
        <v>355</v>
      </c>
      <c r="BK32" s="162">
        <f t="shared" ref="BK32:BM35" si="46">BJ32</f>
        <v>355</v>
      </c>
      <c r="BL32" s="162">
        <f t="shared" si="46"/>
        <v>355</v>
      </c>
      <c r="BM32" s="162">
        <f t="shared" si="46"/>
        <v>355</v>
      </c>
      <c r="BN32" s="289">
        <f t="shared" si="43"/>
        <v>355</v>
      </c>
      <c r="BO32"/>
      <c r="BP32"/>
      <c r="BQ32"/>
    </row>
    <row r="33" spans="1:69" x14ac:dyDescent="0.35">
      <c r="A33" s="24"/>
      <c r="B33" s="35" t="s">
        <v>211</v>
      </c>
      <c r="C33" s="24"/>
      <c r="D33" s="24"/>
      <c r="E33" s="24"/>
      <c r="F33" s="289">
        <v>203.5</v>
      </c>
      <c r="G33" s="16"/>
      <c r="H33" s="16"/>
      <c r="I33" s="16"/>
      <c r="J33" s="160">
        <v>199.8</v>
      </c>
      <c r="K33" s="289">
        <f t="shared" si="23"/>
        <v>199.8</v>
      </c>
      <c r="L33" s="206"/>
      <c r="M33" s="415"/>
      <c r="N33" s="415"/>
      <c r="O33" s="160">
        <v>389.1</v>
      </c>
      <c r="P33" s="289">
        <f t="shared" si="24"/>
        <v>389.1</v>
      </c>
      <c r="Q33" s="160">
        <v>490.9</v>
      </c>
      <c r="R33" s="160">
        <v>398.3</v>
      </c>
      <c r="S33" s="160">
        <v>471.8</v>
      </c>
      <c r="T33" s="160">
        <v>494.6</v>
      </c>
      <c r="U33" s="289">
        <f t="shared" si="25"/>
        <v>494.6</v>
      </c>
      <c r="V33" s="160">
        <v>474.5</v>
      </c>
      <c r="W33" s="162">
        <f>V33</f>
        <v>474.5</v>
      </c>
      <c r="X33" s="162">
        <f>W33</f>
        <v>474.5</v>
      </c>
      <c r="Y33" s="162">
        <f>X33</f>
        <v>474.5</v>
      </c>
      <c r="Z33" s="289">
        <f>Y33</f>
        <v>474.5</v>
      </c>
      <c r="AA33" s="162">
        <f>Y33</f>
        <v>474.5</v>
      </c>
      <c r="AB33" s="160">
        <v>455</v>
      </c>
      <c r="AC33" s="160">
        <v>471</v>
      </c>
      <c r="AD33" s="472">
        <v>483</v>
      </c>
      <c r="AE33" s="289">
        <f t="shared" si="36"/>
        <v>483</v>
      </c>
      <c r="AF33" s="160">
        <v>402</v>
      </c>
      <c r="AG33" s="160">
        <v>406</v>
      </c>
      <c r="AH33" s="160">
        <v>492</v>
      </c>
      <c r="AI33" s="160">
        <v>388</v>
      </c>
      <c r="AJ33" s="289">
        <f t="shared" si="37"/>
        <v>388</v>
      </c>
      <c r="AK33" s="472">
        <v>368</v>
      </c>
      <c r="AL33" s="472">
        <v>336</v>
      </c>
      <c r="AM33" s="472">
        <v>308</v>
      </c>
      <c r="AN33" s="472">
        <v>322</v>
      </c>
      <c r="AO33" s="289">
        <f t="shared" si="38"/>
        <v>322</v>
      </c>
      <c r="AP33" s="472">
        <v>205</v>
      </c>
      <c r="AQ33" s="472">
        <v>204</v>
      </c>
      <c r="AR33" s="472">
        <v>208</v>
      </c>
      <c r="AS33" s="472">
        <v>196</v>
      </c>
      <c r="AT33" s="289">
        <f t="shared" si="39"/>
        <v>196</v>
      </c>
      <c r="AU33" s="472">
        <v>201</v>
      </c>
      <c r="AV33" s="472">
        <v>207</v>
      </c>
      <c r="AW33" s="472">
        <v>209</v>
      </c>
      <c r="AX33" s="472">
        <v>211</v>
      </c>
      <c r="AY33" s="289">
        <f t="shared" si="40"/>
        <v>211</v>
      </c>
      <c r="AZ33" s="472">
        <v>218</v>
      </c>
      <c r="BA33" s="472">
        <v>226</v>
      </c>
      <c r="BB33" s="162">
        <f t="shared" si="44"/>
        <v>226</v>
      </c>
      <c r="BC33" s="162">
        <f t="shared" si="44"/>
        <v>226</v>
      </c>
      <c r="BD33" s="289">
        <f t="shared" si="41"/>
        <v>226</v>
      </c>
      <c r="BE33" s="162">
        <f>BC33</f>
        <v>226</v>
      </c>
      <c r="BF33" s="162">
        <f t="shared" si="45"/>
        <v>226</v>
      </c>
      <c r="BG33" s="162">
        <f t="shared" si="45"/>
        <v>226</v>
      </c>
      <c r="BH33" s="162">
        <f t="shared" si="45"/>
        <v>226</v>
      </c>
      <c r="BI33" s="289">
        <f t="shared" si="42"/>
        <v>226</v>
      </c>
      <c r="BJ33" s="162">
        <f>BH33</f>
        <v>226</v>
      </c>
      <c r="BK33" s="162">
        <f t="shared" si="46"/>
        <v>226</v>
      </c>
      <c r="BL33" s="162">
        <f t="shared" si="46"/>
        <v>226</v>
      </c>
      <c r="BM33" s="162">
        <f t="shared" si="46"/>
        <v>226</v>
      </c>
      <c r="BN33" s="289">
        <f t="shared" si="43"/>
        <v>226</v>
      </c>
      <c r="BO33"/>
      <c r="BP33"/>
      <c r="BQ33"/>
    </row>
    <row r="34" spans="1:69" x14ac:dyDescent="0.35">
      <c r="A34" s="24"/>
      <c r="B34" s="35" t="s">
        <v>231</v>
      </c>
      <c r="C34" s="24"/>
      <c r="D34" s="24"/>
      <c r="E34" s="24"/>
      <c r="F34" s="193">
        <v>0</v>
      </c>
      <c r="G34" s="16"/>
      <c r="H34" s="16"/>
      <c r="I34" s="16"/>
      <c r="J34" s="160">
        <v>0</v>
      </c>
      <c r="K34" s="193">
        <v>0</v>
      </c>
      <c r="L34" s="206"/>
      <c r="M34" s="206"/>
      <c r="N34" s="206"/>
      <c r="O34" s="160">
        <v>0</v>
      </c>
      <c r="P34" s="193">
        <v>0</v>
      </c>
      <c r="Q34" s="160">
        <v>0</v>
      </c>
      <c r="R34" s="160">
        <v>0</v>
      </c>
      <c r="S34" s="160">
        <v>0</v>
      </c>
      <c r="T34" s="160">
        <v>0</v>
      </c>
      <c r="U34" s="289">
        <f t="shared" si="25"/>
        <v>0</v>
      </c>
      <c r="V34" s="160">
        <v>523.5</v>
      </c>
      <c r="W34" s="160">
        <v>599.29999999999995</v>
      </c>
      <c r="X34" s="160">
        <v>584.5</v>
      </c>
      <c r="Y34" s="160">
        <v>574</v>
      </c>
      <c r="Z34" s="289">
        <f>Y34</f>
        <v>574</v>
      </c>
      <c r="AA34" s="160">
        <v>552</v>
      </c>
      <c r="AB34" s="160">
        <f>541-AB25</f>
        <v>451</v>
      </c>
      <c r="AC34" s="160">
        <f>530-AC25</f>
        <v>439</v>
      </c>
      <c r="AD34" s="472">
        <v>427</v>
      </c>
      <c r="AE34" s="289">
        <f t="shared" si="36"/>
        <v>427</v>
      </c>
      <c r="AF34" s="160">
        <v>406</v>
      </c>
      <c r="AG34" s="160">
        <v>386</v>
      </c>
      <c r="AH34" s="160">
        <v>470</v>
      </c>
      <c r="AI34" s="160">
        <v>455</v>
      </c>
      <c r="AJ34" s="289">
        <f t="shared" si="37"/>
        <v>455</v>
      </c>
      <c r="AK34" s="160">
        <v>440</v>
      </c>
      <c r="AL34" s="160">
        <v>421</v>
      </c>
      <c r="AM34" s="160">
        <v>389</v>
      </c>
      <c r="AN34" s="160">
        <v>368</v>
      </c>
      <c r="AO34" s="289">
        <f t="shared" si="38"/>
        <v>368</v>
      </c>
      <c r="AP34" s="160">
        <v>349</v>
      </c>
      <c r="AQ34" s="160">
        <v>344</v>
      </c>
      <c r="AR34" s="160">
        <v>316</v>
      </c>
      <c r="AS34" s="160">
        <v>306</v>
      </c>
      <c r="AT34" s="289">
        <f t="shared" si="39"/>
        <v>306</v>
      </c>
      <c r="AU34" s="160">
        <v>280</v>
      </c>
      <c r="AV34" s="160">
        <v>254</v>
      </c>
      <c r="AW34" s="160">
        <v>245</v>
      </c>
      <c r="AX34" s="160">
        <v>216</v>
      </c>
      <c r="AY34" s="289">
        <f t="shared" si="40"/>
        <v>216</v>
      </c>
      <c r="AZ34" s="160">
        <v>210</v>
      </c>
      <c r="BA34" s="160">
        <v>214</v>
      </c>
      <c r="BB34" s="162">
        <f t="shared" si="44"/>
        <v>214</v>
      </c>
      <c r="BC34" s="162">
        <f t="shared" si="44"/>
        <v>214</v>
      </c>
      <c r="BD34" s="289">
        <f t="shared" si="41"/>
        <v>214</v>
      </c>
      <c r="BE34" s="162">
        <f>BC34</f>
        <v>214</v>
      </c>
      <c r="BF34" s="162">
        <f t="shared" si="45"/>
        <v>214</v>
      </c>
      <c r="BG34" s="162">
        <f t="shared" si="45"/>
        <v>214</v>
      </c>
      <c r="BH34" s="162">
        <f t="shared" si="45"/>
        <v>214</v>
      </c>
      <c r="BI34" s="289">
        <f t="shared" si="42"/>
        <v>214</v>
      </c>
      <c r="BJ34" s="162">
        <f>BH34</f>
        <v>214</v>
      </c>
      <c r="BK34" s="162">
        <f t="shared" si="46"/>
        <v>214</v>
      </c>
      <c r="BL34" s="162">
        <f t="shared" si="46"/>
        <v>214</v>
      </c>
      <c r="BM34" s="162">
        <f t="shared" si="46"/>
        <v>214</v>
      </c>
      <c r="BN34" s="289">
        <f t="shared" si="43"/>
        <v>214</v>
      </c>
      <c r="BO34"/>
      <c r="BP34"/>
      <c r="BQ34"/>
    </row>
    <row r="35" spans="1:69" x14ac:dyDescent="0.35">
      <c r="A35" s="24"/>
      <c r="B35" s="35" t="s">
        <v>212</v>
      </c>
      <c r="C35" s="24"/>
      <c r="D35" s="24"/>
      <c r="E35" s="24"/>
      <c r="F35" s="289"/>
      <c r="G35" s="16"/>
      <c r="H35" s="16"/>
      <c r="I35" s="16"/>
      <c r="J35" s="160">
        <v>425.2</v>
      </c>
      <c r="K35" s="289">
        <f t="shared" si="23"/>
        <v>425.2</v>
      </c>
      <c r="L35" s="206"/>
      <c r="M35" s="415"/>
      <c r="N35" s="415"/>
      <c r="O35" s="160">
        <v>664</v>
      </c>
      <c r="P35" s="289">
        <f t="shared" si="24"/>
        <v>664</v>
      </c>
      <c r="Q35" s="160">
        <v>554.20000000000005</v>
      </c>
      <c r="R35" s="160">
        <v>625.9</v>
      </c>
      <c r="S35" s="160">
        <v>574.9</v>
      </c>
      <c r="T35" s="160">
        <v>576.5</v>
      </c>
      <c r="U35" s="289">
        <f t="shared" si="25"/>
        <v>576.5</v>
      </c>
      <c r="V35" s="160">
        <v>486.6</v>
      </c>
      <c r="W35" s="160">
        <v>234.69999999999911</v>
      </c>
      <c r="X35" s="160">
        <v>-128.79999999999893</v>
      </c>
      <c r="Y35" s="160">
        <v>418.20000000000215</v>
      </c>
      <c r="Z35" s="289">
        <f>Y35</f>
        <v>418.20000000000215</v>
      </c>
      <c r="AA35" s="160">
        <v>-132.80000000000132</v>
      </c>
      <c r="AB35" s="160">
        <v>418</v>
      </c>
      <c r="AC35" s="160">
        <v>498</v>
      </c>
      <c r="AD35" s="472">
        <v>590</v>
      </c>
      <c r="AE35" s="289">
        <f t="shared" si="36"/>
        <v>590</v>
      </c>
      <c r="AF35" s="160">
        <v>473</v>
      </c>
      <c r="AG35" s="160">
        <v>460</v>
      </c>
      <c r="AH35" s="160">
        <v>420</v>
      </c>
      <c r="AI35" s="160">
        <v>438</v>
      </c>
      <c r="AJ35" s="289">
        <f t="shared" si="37"/>
        <v>438</v>
      </c>
      <c r="AK35" s="160">
        <v>492</v>
      </c>
      <c r="AL35" s="160">
        <v>513</v>
      </c>
      <c r="AM35" s="160">
        <v>588</v>
      </c>
      <c r="AN35" s="160">
        <v>674</v>
      </c>
      <c r="AO35" s="289">
        <f t="shared" si="38"/>
        <v>674</v>
      </c>
      <c r="AP35" s="160">
        <v>610</v>
      </c>
      <c r="AQ35" s="160">
        <v>689</v>
      </c>
      <c r="AR35" s="160">
        <v>647</v>
      </c>
      <c r="AS35" s="160">
        <v>676</v>
      </c>
      <c r="AT35" s="289">
        <f t="shared" si="39"/>
        <v>676</v>
      </c>
      <c r="AU35" s="160">
        <v>635</v>
      </c>
      <c r="AV35" s="160">
        <v>618</v>
      </c>
      <c r="AW35" s="160">
        <v>661</v>
      </c>
      <c r="AX35" s="160">
        <v>517</v>
      </c>
      <c r="AY35" s="289">
        <f t="shared" si="40"/>
        <v>517</v>
      </c>
      <c r="AZ35" s="160">
        <v>574</v>
      </c>
      <c r="BA35" s="160">
        <v>913</v>
      </c>
      <c r="BB35" s="162">
        <f t="shared" si="44"/>
        <v>913</v>
      </c>
      <c r="BC35" s="162">
        <f t="shared" si="44"/>
        <v>913</v>
      </c>
      <c r="BD35" s="289">
        <f t="shared" si="41"/>
        <v>913</v>
      </c>
      <c r="BE35" s="162">
        <f>BC35</f>
        <v>913</v>
      </c>
      <c r="BF35" s="162">
        <f t="shared" si="45"/>
        <v>913</v>
      </c>
      <c r="BG35" s="162">
        <f t="shared" si="45"/>
        <v>913</v>
      </c>
      <c r="BH35" s="162">
        <f t="shared" si="45"/>
        <v>913</v>
      </c>
      <c r="BI35" s="289">
        <f t="shared" si="42"/>
        <v>913</v>
      </c>
      <c r="BJ35" s="162">
        <f>BH35</f>
        <v>913</v>
      </c>
      <c r="BK35" s="162">
        <f t="shared" si="46"/>
        <v>913</v>
      </c>
      <c r="BL35" s="162">
        <f t="shared" si="46"/>
        <v>913</v>
      </c>
      <c r="BM35" s="162">
        <f t="shared" si="46"/>
        <v>913</v>
      </c>
      <c r="BN35" s="289">
        <f t="shared" si="43"/>
        <v>913</v>
      </c>
      <c r="BO35"/>
      <c r="BP35"/>
      <c r="BQ35"/>
    </row>
    <row r="36" spans="1:69" x14ac:dyDescent="0.35">
      <c r="A36" s="24"/>
      <c r="B36" s="24" t="s">
        <v>76</v>
      </c>
      <c r="C36" s="24"/>
      <c r="D36" s="24"/>
      <c r="E36" s="24"/>
      <c r="F36" s="281"/>
      <c r="G36" s="16"/>
      <c r="H36" s="16"/>
      <c r="I36" s="16"/>
      <c r="J36" s="163">
        <f t="shared" ref="J36:O36" si="47">SUM(J30:J35)+J29</f>
        <v>6354.6</v>
      </c>
      <c r="K36" s="281">
        <f t="shared" si="47"/>
        <v>6354.6</v>
      </c>
      <c r="L36" s="163"/>
      <c r="M36" s="163"/>
      <c r="N36" s="163"/>
      <c r="O36" s="163">
        <f t="shared" si="47"/>
        <v>8709.1</v>
      </c>
      <c r="P36" s="281">
        <f t="shared" ref="P36:V36" si="48">SUM(P30:P35)+P29</f>
        <v>8709.1</v>
      </c>
      <c r="Q36" s="163">
        <f t="shared" si="48"/>
        <v>8594</v>
      </c>
      <c r="R36" s="163">
        <f t="shared" si="48"/>
        <v>8291.5</v>
      </c>
      <c r="S36" s="163">
        <f t="shared" si="48"/>
        <v>7833</v>
      </c>
      <c r="T36" s="163">
        <f t="shared" si="48"/>
        <v>8869.7000000000007</v>
      </c>
      <c r="U36" s="281">
        <f t="shared" si="48"/>
        <v>8869.7000000000007</v>
      </c>
      <c r="V36" s="163">
        <f t="shared" si="48"/>
        <v>9193.1</v>
      </c>
      <c r="W36" s="163">
        <f t="shared" ref="W36:BD36" si="49">SUM(W30:W35)+W29</f>
        <v>9010.5999999999985</v>
      </c>
      <c r="X36" s="163">
        <f t="shared" si="49"/>
        <v>8780.5</v>
      </c>
      <c r="Y36" s="163">
        <f t="shared" si="49"/>
        <v>9434.0000000000018</v>
      </c>
      <c r="Z36" s="281">
        <f t="shared" si="49"/>
        <v>9434.0000000000018</v>
      </c>
      <c r="AA36" s="163">
        <f t="shared" si="49"/>
        <v>10506.999999999998</v>
      </c>
      <c r="AB36" s="163">
        <f t="shared" si="49"/>
        <v>10061</v>
      </c>
      <c r="AC36" s="163">
        <f t="shared" si="49"/>
        <v>9979</v>
      </c>
      <c r="AD36" s="163">
        <f t="shared" si="49"/>
        <v>10646</v>
      </c>
      <c r="AE36" s="281">
        <f t="shared" si="49"/>
        <v>10646</v>
      </c>
      <c r="AF36" s="163">
        <f t="shared" si="49"/>
        <v>10275</v>
      </c>
      <c r="AG36" s="163">
        <f t="shared" si="49"/>
        <v>10172</v>
      </c>
      <c r="AH36" s="163">
        <f t="shared" si="49"/>
        <v>11795</v>
      </c>
      <c r="AI36" s="163">
        <f t="shared" si="49"/>
        <v>11764</v>
      </c>
      <c r="AJ36" s="281">
        <f t="shared" si="49"/>
        <v>11764</v>
      </c>
      <c r="AK36" s="163">
        <f t="shared" si="49"/>
        <v>12157</v>
      </c>
      <c r="AL36" s="163">
        <f t="shared" si="49"/>
        <v>11836</v>
      </c>
      <c r="AM36" s="163">
        <f t="shared" si="49"/>
        <v>11509</v>
      </c>
      <c r="AN36" s="163">
        <f t="shared" si="49"/>
        <v>11660</v>
      </c>
      <c r="AO36" s="281">
        <f t="shared" si="49"/>
        <v>11660</v>
      </c>
      <c r="AP36" s="163">
        <f t="shared" si="49"/>
        <v>11661</v>
      </c>
      <c r="AQ36" s="163">
        <f t="shared" si="49"/>
        <v>11379</v>
      </c>
      <c r="AR36" s="163">
        <f>SUM(AR30:AR35)+AR29</f>
        <v>10839</v>
      </c>
      <c r="AS36" s="163">
        <f t="shared" si="49"/>
        <v>11146</v>
      </c>
      <c r="AT36" s="281">
        <f t="shared" si="49"/>
        <v>11146</v>
      </c>
      <c r="AU36" s="163">
        <f>SUM(AU30:AU35)+AU29</f>
        <v>11276</v>
      </c>
      <c r="AV36" s="163">
        <f>SUM(AV30:AV35)+AV29</f>
        <v>11075</v>
      </c>
      <c r="AW36" s="163">
        <f>SUM(AW30:AW35)+AW29</f>
        <v>11701</v>
      </c>
      <c r="AX36" s="163">
        <f t="shared" si="49"/>
        <v>11778</v>
      </c>
      <c r="AY36" s="281">
        <f t="shared" si="49"/>
        <v>11778</v>
      </c>
      <c r="AZ36" s="163">
        <f t="shared" si="49"/>
        <v>11238</v>
      </c>
      <c r="BA36" s="163">
        <f t="shared" si="49"/>
        <v>11379</v>
      </c>
      <c r="BB36" s="163">
        <f t="shared" ca="1" si="49"/>
        <v>11251</v>
      </c>
      <c r="BC36" s="163">
        <f t="shared" ca="1" si="49"/>
        <v>11703.106311183836</v>
      </c>
      <c r="BD36" s="281">
        <f t="shared" ca="1" si="49"/>
        <v>11703.106311183836</v>
      </c>
      <c r="BE36" s="163">
        <f t="shared" ref="BE36:BN36" ca="1" si="50">SUM(BE30:BE35)+BE29</f>
        <v>11902.336316992511</v>
      </c>
      <c r="BF36" s="163">
        <f t="shared" ca="1" si="50"/>
        <v>11577.294775230805</v>
      </c>
      <c r="BG36" s="163">
        <f t="shared" ca="1" si="50"/>
        <v>11428.984592309287</v>
      </c>
      <c r="BH36" s="163">
        <f t="shared" ca="1" si="50"/>
        <v>11914.398439134158</v>
      </c>
      <c r="BI36" s="281">
        <f t="shared" ca="1" si="50"/>
        <v>11914.398439134158</v>
      </c>
      <c r="BJ36" s="163">
        <f t="shared" ca="1" si="50"/>
        <v>12111.988616622952</v>
      </c>
      <c r="BK36" s="163">
        <f t="shared" ca="1" si="50"/>
        <v>11764.298835913021</v>
      </c>
      <c r="BL36" s="163">
        <f t="shared" ca="1" si="50"/>
        <v>11605.859164837595</v>
      </c>
      <c r="BM36" s="163">
        <f t="shared" ca="1" si="50"/>
        <v>12123.754533477757</v>
      </c>
      <c r="BN36" s="281">
        <f t="shared" ca="1" si="50"/>
        <v>12123.754533477757</v>
      </c>
      <c r="BO36"/>
      <c r="BP36"/>
      <c r="BQ36"/>
    </row>
    <row r="37" spans="1:69" x14ac:dyDescent="0.35">
      <c r="A37" s="24"/>
      <c r="B37" s="35"/>
      <c r="C37" s="24"/>
      <c r="D37" s="24"/>
      <c r="E37" s="24"/>
      <c r="F37" s="202"/>
      <c r="G37" s="16"/>
      <c r="H37" s="16"/>
      <c r="I37" s="16"/>
      <c r="J37" s="188"/>
      <c r="K37" s="202"/>
      <c r="L37" s="188"/>
      <c r="M37" s="415"/>
      <c r="N37" s="415"/>
      <c r="O37" s="188"/>
      <c r="P37" s="202"/>
      <c r="Q37" s="188"/>
      <c r="R37" s="75"/>
      <c r="S37" s="188"/>
      <c r="T37" s="188"/>
      <c r="U37" s="202"/>
      <c r="V37" s="188"/>
      <c r="W37" s="188"/>
      <c r="X37" s="188"/>
      <c r="Y37" s="188"/>
      <c r="Z37" s="202"/>
      <c r="AA37" s="188"/>
      <c r="AB37" s="188"/>
      <c r="AC37" s="188"/>
      <c r="AD37" s="188"/>
      <c r="AE37" s="202"/>
      <c r="AF37" s="188"/>
      <c r="AG37" s="188"/>
      <c r="AH37" s="188"/>
      <c r="AI37" s="188"/>
      <c r="AJ37" s="202"/>
      <c r="AK37" s="188"/>
      <c r="AL37" s="188"/>
      <c r="AM37" s="188"/>
      <c r="AN37" s="188"/>
      <c r="AO37" s="202"/>
      <c r="AP37" s="188"/>
      <c r="AQ37" s="188"/>
      <c r="AR37" s="188"/>
      <c r="AS37" s="188"/>
      <c r="AT37" s="202"/>
      <c r="AU37" s="188"/>
      <c r="AV37" s="188"/>
      <c r="AW37" s="188"/>
      <c r="AX37" s="188"/>
      <c r="AY37" s="202"/>
      <c r="AZ37" s="188"/>
      <c r="BA37" s="188"/>
      <c r="BB37" s="188"/>
      <c r="BC37" s="188"/>
      <c r="BD37" s="202"/>
      <c r="BE37" s="188"/>
      <c r="BF37" s="188"/>
      <c r="BG37" s="188"/>
      <c r="BH37" s="188"/>
      <c r="BI37" s="202"/>
      <c r="BJ37" s="188"/>
      <c r="BK37" s="188"/>
      <c r="BL37" s="188"/>
      <c r="BM37" s="188"/>
      <c r="BN37" s="202"/>
      <c r="BO37"/>
      <c r="BP37"/>
      <c r="BQ37"/>
    </row>
    <row r="38" spans="1:69" x14ac:dyDescent="0.35">
      <c r="B38" s="2" t="s">
        <v>77</v>
      </c>
      <c r="F38" s="219">
        <v>-333</v>
      </c>
      <c r="G38" s="75"/>
      <c r="H38" s="75"/>
      <c r="I38" s="75"/>
      <c r="J38" s="156">
        <v>-1027.3</v>
      </c>
      <c r="K38" s="219">
        <f t="shared" si="23"/>
        <v>-1027.3</v>
      </c>
      <c r="L38" s="415"/>
      <c r="M38" s="206"/>
      <c r="N38" s="206"/>
      <c r="O38" s="156">
        <v>-114.9</v>
      </c>
      <c r="P38" s="219">
        <f t="shared" si="24"/>
        <v>-114.9</v>
      </c>
      <c r="Q38" s="156">
        <v>420</v>
      </c>
      <c r="R38" s="156">
        <v>460.1</v>
      </c>
      <c r="S38" s="156">
        <v>606.1</v>
      </c>
      <c r="T38" s="156">
        <v>656.5</v>
      </c>
      <c r="U38" s="219">
        <f t="shared" si="25"/>
        <v>656.5</v>
      </c>
      <c r="V38" s="156">
        <v>325</v>
      </c>
      <c r="W38" s="156">
        <v>574.70000000000005</v>
      </c>
      <c r="X38" s="156">
        <f>X21-X36</f>
        <v>682.30000000000291</v>
      </c>
      <c r="Y38" s="156">
        <f>Y21-Y36</f>
        <v>790.99999999999818</v>
      </c>
      <c r="Z38" s="219">
        <f>Y38</f>
        <v>790.99999999999818</v>
      </c>
      <c r="AA38" s="156">
        <v>799</v>
      </c>
      <c r="AB38" s="156">
        <v>1237</v>
      </c>
      <c r="AC38" s="156">
        <v>1693</v>
      </c>
      <c r="AD38" s="483">
        <v>1763</v>
      </c>
      <c r="AE38" s="219">
        <f>AD38</f>
        <v>1763</v>
      </c>
      <c r="AF38" s="156">
        <v>2225</v>
      </c>
      <c r="AG38" s="156">
        <v>2380</v>
      </c>
      <c r="AH38" s="156">
        <v>2619</v>
      </c>
      <c r="AI38" s="156">
        <v>2916</v>
      </c>
      <c r="AJ38" s="219">
        <f>AI38</f>
        <v>2916</v>
      </c>
      <c r="AK38" s="323">
        <f>AK21-AK36</f>
        <v>2582</v>
      </c>
      <c r="AL38" s="323">
        <f>AL21-AL36</f>
        <v>2479</v>
      </c>
      <c r="AM38" s="323">
        <f>AM21-AM36</f>
        <v>2430</v>
      </c>
      <c r="AN38" s="323">
        <f>AN21-AN36</f>
        <v>2689</v>
      </c>
      <c r="AO38" s="219">
        <f>AN38</f>
        <v>2689</v>
      </c>
      <c r="AP38" s="323">
        <f>AP21-AP36</f>
        <v>3058</v>
      </c>
      <c r="AQ38" s="323">
        <f>AQ21-AQ36</f>
        <v>3312</v>
      </c>
      <c r="AR38" s="323">
        <f>AR21-AR36</f>
        <v>3352</v>
      </c>
      <c r="AS38" s="323">
        <f>AS21-AS36</f>
        <v>3476</v>
      </c>
      <c r="AT38" s="219">
        <f>AS38</f>
        <v>3476</v>
      </c>
      <c r="AU38" s="323">
        <f>AU21-AU36</f>
        <v>3735</v>
      </c>
      <c r="AV38" s="323">
        <f>AV21-AV36</f>
        <v>3938</v>
      </c>
      <c r="AW38" s="323">
        <f>AW21-AW36</f>
        <v>4068</v>
      </c>
      <c r="AX38" s="323">
        <f>AX21-AX36</f>
        <v>3727</v>
      </c>
      <c r="AY38" s="219">
        <f>AX38</f>
        <v>3727</v>
      </c>
      <c r="AZ38" s="323">
        <f>AZ21-AZ36</f>
        <v>3858</v>
      </c>
      <c r="BA38" s="323">
        <f>BA21-BA36</f>
        <v>4108</v>
      </c>
      <c r="BB38" s="323">
        <f ca="1">BB21-BB36</f>
        <v>4192.9885978016064</v>
      </c>
      <c r="BC38" s="323">
        <f ca="1">BC21-BC36</f>
        <v>4271.737155544788</v>
      </c>
      <c r="BD38" s="219">
        <f ca="1">BC38</f>
        <v>4271.737155544788</v>
      </c>
      <c r="BE38" s="323">
        <f ca="1">BE21-BE36</f>
        <v>4615.4213757372672</v>
      </c>
      <c r="BF38" s="323">
        <f ca="1">BF21-BF36</f>
        <v>4925.4478881735358</v>
      </c>
      <c r="BG38" s="323">
        <f ca="1">BG21-BG36</f>
        <v>5225.9884293647992</v>
      </c>
      <c r="BH38" s="323">
        <f ca="1">BH21-BH36</f>
        <v>5428.0488889719782</v>
      </c>
      <c r="BI38" s="219">
        <f ca="1">BH38</f>
        <v>5428.0488889719782</v>
      </c>
      <c r="BJ38" s="323">
        <f ca="1">BJ21-BJ36</f>
        <v>5864.2068758435416</v>
      </c>
      <c r="BK38" s="323">
        <f ca="1">BK21-BK36</f>
        <v>6269.7038498525071</v>
      </c>
      <c r="BL38" s="323">
        <f ca="1">BL21-BL36</f>
        <v>6667.1668619564043</v>
      </c>
      <c r="BM38" s="323">
        <f ca="1">BM21-BM36</f>
        <v>6955.3585771806429</v>
      </c>
      <c r="BN38" s="219">
        <f ca="1">BM38</f>
        <v>6955.3585771806429</v>
      </c>
      <c r="BO38"/>
      <c r="BP38"/>
      <c r="BQ38"/>
    </row>
    <row r="39" spans="1:69" x14ac:dyDescent="0.35">
      <c r="A39" s="24"/>
      <c r="B39" s="24" t="s">
        <v>78</v>
      </c>
      <c r="C39" s="24"/>
      <c r="D39" s="24"/>
      <c r="E39" s="24"/>
      <c r="F39" s="281"/>
      <c r="G39" s="16"/>
      <c r="H39" s="16"/>
      <c r="I39" s="16"/>
      <c r="J39" s="157">
        <f t="shared" ref="J39:O39" si="51">J38+J36</f>
        <v>5327.3</v>
      </c>
      <c r="K39" s="281">
        <f t="shared" si="51"/>
        <v>5327.3</v>
      </c>
      <c r="L39" s="157"/>
      <c r="M39" s="157"/>
      <c r="N39" s="157"/>
      <c r="O39" s="157">
        <f t="shared" si="51"/>
        <v>8594.2000000000007</v>
      </c>
      <c r="P39" s="281">
        <f t="shared" ref="P39:V39" si="52">P38+P36</f>
        <v>8594.2000000000007</v>
      </c>
      <c r="Q39" s="157">
        <f t="shared" si="52"/>
        <v>9014</v>
      </c>
      <c r="R39" s="157">
        <f t="shared" si="52"/>
        <v>8751.6</v>
      </c>
      <c r="S39" s="157">
        <f t="shared" si="52"/>
        <v>8439.1</v>
      </c>
      <c r="T39" s="157">
        <f t="shared" si="52"/>
        <v>9526.2000000000007</v>
      </c>
      <c r="U39" s="281">
        <f t="shared" si="52"/>
        <v>9526.2000000000007</v>
      </c>
      <c r="V39" s="157">
        <f t="shared" si="52"/>
        <v>9518.1</v>
      </c>
      <c r="W39" s="157">
        <f t="shared" ref="W39:AB39" si="53">W38+W36</f>
        <v>9585.2999999999993</v>
      </c>
      <c r="X39" s="157">
        <f t="shared" si="53"/>
        <v>9462.8000000000029</v>
      </c>
      <c r="Y39" s="157">
        <f t="shared" si="53"/>
        <v>10225</v>
      </c>
      <c r="Z39" s="281">
        <f t="shared" si="53"/>
        <v>10225</v>
      </c>
      <c r="AA39" s="157">
        <f t="shared" si="53"/>
        <v>11305.999999999998</v>
      </c>
      <c r="AB39" s="157">
        <f t="shared" si="53"/>
        <v>11298</v>
      </c>
      <c r="AC39" s="157">
        <f t="shared" ref="AC39:AI39" si="54">AC38+AC36</f>
        <v>11672</v>
      </c>
      <c r="AD39" s="157">
        <f t="shared" si="54"/>
        <v>12409</v>
      </c>
      <c r="AE39" s="281">
        <f>AE38+AE36</f>
        <v>12409</v>
      </c>
      <c r="AF39" s="157">
        <f t="shared" si="54"/>
        <v>12500</v>
      </c>
      <c r="AG39" s="157">
        <f t="shared" si="54"/>
        <v>12552</v>
      </c>
      <c r="AH39" s="157">
        <f t="shared" si="54"/>
        <v>14414</v>
      </c>
      <c r="AI39" s="157">
        <f t="shared" si="54"/>
        <v>14680</v>
      </c>
      <c r="AJ39" s="281">
        <f t="shared" ref="AJ39:BD39" si="55">AJ38+AJ36</f>
        <v>14680</v>
      </c>
      <c r="AK39" s="157">
        <f t="shared" si="55"/>
        <v>14739</v>
      </c>
      <c r="AL39" s="157">
        <f t="shared" si="55"/>
        <v>14315</v>
      </c>
      <c r="AM39" s="157">
        <f t="shared" si="55"/>
        <v>13939</v>
      </c>
      <c r="AN39" s="157">
        <f t="shared" si="55"/>
        <v>14349</v>
      </c>
      <c r="AO39" s="281">
        <f t="shared" si="55"/>
        <v>14349</v>
      </c>
      <c r="AP39" s="157">
        <f t="shared" si="55"/>
        <v>14719</v>
      </c>
      <c r="AQ39" s="157">
        <f t="shared" si="55"/>
        <v>14691</v>
      </c>
      <c r="AR39" s="157">
        <f>AR38+AR36</f>
        <v>14191</v>
      </c>
      <c r="AS39" s="157">
        <f t="shared" si="55"/>
        <v>14622</v>
      </c>
      <c r="AT39" s="281">
        <f t="shared" si="55"/>
        <v>14622</v>
      </c>
      <c r="AU39" s="157">
        <f t="shared" si="55"/>
        <v>15011</v>
      </c>
      <c r="AV39" s="157">
        <f t="shared" si="55"/>
        <v>15013</v>
      </c>
      <c r="AW39" s="157">
        <f t="shared" si="55"/>
        <v>15769</v>
      </c>
      <c r="AX39" s="157">
        <f t="shared" si="55"/>
        <v>15505</v>
      </c>
      <c r="AY39" s="281">
        <f t="shared" si="55"/>
        <v>15505</v>
      </c>
      <c r="AZ39" s="157">
        <f t="shared" si="55"/>
        <v>15096</v>
      </c>
      <c r="BA39" s="157">
        <f t="shared" si="55"/>
        <v>15487</v>
      </c>
      <c r="BB39" s="157">
        <f t="shared" ca="1" si="55"/>
        <v>15443.988597801606</v>
      </c>
      <c r="BC39" s="157">
        <f t="shared" ca="1" si="55"/>
        <v>15974.843466728624</v>
      </c>
      <c r="BD39" s="281">
        <f t="shared" ca="1" si="55"/>
        <v>15974.843466728624</v>
      </c>
      <c r="BE39" s="157">
        <f t="shared" ref="BE39:BN39" ca="1" si="56">BE38+BE36</f>
        <v>16517.757692729778</v>
      </c>
      <c r="BF39" s="157">
        <f t="shared" ca="1" si="56"/>
        <v>16502.74266340434</v>
      </c>
      <c r="BG39" s="157">
        <f t="shared" ca="1" si="56"/>
        <v>16654.973021674086</v>
      </c>
      <c r="BH39" s="157">
        <f t="shared" ca="1" si="56"/>
        <v>17342.447328106136</v>
      </c>
      <c r="BI39" s="281">
        <f t="shared" ca="1" si="56"/>
        <v>17342.447328106136</v>
      </c>
      <c r="BJ39" s="157">
        <f t="shared" ca="1" si="56"/>
        <v>17976.195492466493</v>
      </c>
      <c r="BK39" s="157">
        <f t="shared" ca="1" si="56"/>
        <v>18034.002685765528</v>
      </c>
      <c r="BL39" s="157">
        <f t="shared" ca="1" si="56"/>
        <v>18273.026026793999</v>
      </c>
      <c r="BM39" s="157">
        <f t="shared" ca="1" si="56"/>
        <v>19079.1131106584</v>
      </c>
      <c r="BN39" s="281">
        <f t="shared" ca="1" si="56"/>
        <v>19079.1131106584</v>
      </c>
      <c r="BO39"/>
      <c r="BP39"/>
      <c r="BQ39"/>
    </row>
    <row r="40" spans="1:69" outlineLevel="1" x14ac:dyDescent="0.35">
      <c r="A40" s="24"/>
      <c r="B40" s="145" t="s">
        <v>213</v>
      </c>
      <c r="C40" s="24"/>
      <c r="D40" s="24"/>
      <c r="E40" s="24"/>
      <c r="F40" s="435"/>
      <c r="G40" s="16"/>
      <c r="H40" s="16"/>
      <c r="I40" s="16"/>
      <c r="J40" s="434">
        <f t="shared" ref="J40:P40" si="57">J39-J21</f>
        <v>0</v>
      </c>
      <c r="K40" s="435">
        <f t="shared" si="57"/>
        <v>0</v>
      </c>
      <c r="L40" s="434"/>
      <c r="M40" s="434"/>
      <c r="N40" s="434"/>
      <c r="O40" s="434">
        <f t="shared" si="57"/>
        <v>0</v>
      </c>
      <c r="P40" s="435">
        <f t="shared" si="57"/>
        <v>0</v>
      </c>
      <c r="Q40" s="434">
        <f t="shared" ref="Q40:V40" si="58">Q39-Q21</f>
        <v>0</v>
      </c>
      <c r="R40" s="434">
        <f>R39-R21</f>
        <v>0</v>
      </c>
      <c r="S40" s="434">
        <f t="shared" si="58"/>
        <v>0</v>
      </c>
      <c r="T40" s="434">
        <f t="shared" si="58"/>
        <v>0</v>
      </c>
      <c r="U40" s="435">
        <f t="shared" si="58"/>
        <v>0</v>
      </c>
      <c r="V40" s="434">
        <f t="shared" si="58"/>
        <v>0</v>
      </c>
      <c r="W40" s="434">
        <f t="shared" ref="W40:BD40" si="59">W39-W21</f>
        <v>0</v>
      </c>
      <c r="X40" s="434">
        <f t="shared" si="59"/>
        <v>0</v>
      </c>
      <c r="Y40" s="434">
        <f t="shared" si="59"/>
        <v>0</v>
      </c>
      <c r="Z40" s="435">
        <f t="shared" si="59"/>
        <v>0</v>
      </c>
      <c r="AA40" s="434">
        <f t="shared" si="59"/>
        <v>3.999999999998181</v>
      </c>
      <c r="AB40" s="434">
        <f t="shared" si="59"/>
        <v>0</v>
      </c>
      <c r="AC40" s="434">
        <f t="shared" si="59"/>
        <v>0</v>
      </c>
      <c r="AD40" s="434">
        <f t="shared" si="59"/>
        <v>0</v>
      </c>
      <c r="AE40" s="435">
        <f t="shared" si="59"/>
        <v>0</v>
      </c>
      <c r="AF40" s="434">
        <f t="shared" si="59"/>
        <v>0</v>
      </c>
      <c r="AG40" s="434">
        <f t="shared" si="59"/>
        <v>0</v>
      </c>
      <c r="AH40" s="434">
        <f t="shared" si="59"/>
        <v>0</v>
      </c>
      <c r="AI40" s="434">
        <f t="shared" si="59"/>
        <v>0</v>
      </c>
      <c r="AJ40" s="435">
        <f t="shared" si="59"/>
        <v>0</v>
      </c>
      <c r="AK40" s="434">
        <f t="shared" si="59"/>
        <v>0</v>
      </c>
      <c r="AL40" s="434">
        <f t="shared" si="59"/>
        <v>0</v>
      </c>
      <c r="AM40" s="434">
        <f t="shared" si="59"/>
        <v>0</v>
      </c>
      <c r="AN40" s="434">
        <f t="shared" si="59"/>
        <v>0</v>
      </c>
      <c r="AO40" s="435">
        <f t="shared" si="59"/>
        <v>0</v>
      </c>
      <c r="AP40" s="434">
        <f t="shared" si="59"/>
        <v>0</v>
      </c>
      <c r="AQ40" s="434">
        <f t="shared" si="59"/>
        <v>0</v>
      </c>
      <c r="AR40" s="434">
        <f t="shared" si="59"/>
        <v>0</v>
      </c>
      <c r="AS40" s="434">
        <f t="shared" si="59"/>
        <v>0</v>
      </c>
      <c r="AT40" s="435">
        <f t="shared" si="59"/>
        <v>0</v>
      </c>
      <c r="AU40" s="434">
        <f t="shared" si="59"/>
        <v>0</v>
      </c>
      <c r="AV40" s="434">
        <f t="shared" si="59"/>
        <v>0</v>
      </c>
      <c r="AW40" s="434">
        <f t="shared" si="59"/>
        <v>0</v>
      </c>
      <c r="AX40" s="434">
        <f t="shared" si="59"/>
        <v>0</v>
      </c>
      <c r="AY40" s="435">
        <f t="shared" si="59"/>
        <v>0</v>
      </c>
      <c r="AZ40" s="434">
        <f t="shared" si="59"/>
        <v>0</v>
      </c>
      <c r="BA40" s="434">
        <f t="shared" si="59"/>
        <v>0</v>
      </c>
      <c r="BB40" s="434">
        <f t="shared" ca="1" si="59"/>
        <v>0</v>
      </c>
      <c r="BC40" s="434">
        <f t="shared" ca="1" si="59"/>
        <v>0</v>
      </c>
      <c r="BD40" s="435">
        <f t="shared" ca="1" si="59"/>
        <v>0</v>
      </c>
      <c r="BE40" s="434">
        <f t="shared" ref="BE40:BN40" ca="1" si="60">BE39-BE21</f>
        <v>0</v>
      </c>
      <c r="BF40" s="434">
        <f t="shared" ca="1" si="60"/>
        <v>0</v>
      </c>
      <c r="BG40" s="434">
        <f t="shared" ca="1" si="60"/>
        <v>0</v>
      </c>
      <c r="BH40" s="434">
        <f t="shared" ca="1" si="60"/>
        <v>0</v>
      </c>
      <c r="BI40" s="435">
        <f t="shared" ca="1" si="60"/>
        <v>0</v>
      </c>
      <c r="BJ40" s="434">
        <f t="shared" ca="1" si="60"/>
        <v>0</v>
      </c>
      <c r="BK40" s="434">
        <f t="shared" ca="1" si="60"/>
        <v>0</v>
      </c>
      <c r="BL40" s="434">
        <f t="shared" ca="1" si="60"/>
        <v>0</v>
      </c>
      <c r="BM40" s="434">
        <f t="shared" ca="1" si="60"/>
        <v>0</v>
      </c>
      <c r="BN40" s="435">
        <f t="shared" ca="1" si="60"/>
        <v>0</v>
      </c>
      <c r="BO40"/>
      <c r="BP40"/>
      <c r="BQ40"/>
    </row>
    <row r="41" spans="1:69" x14ac:dyDescent="0.35">
      <c r="A41" s="24"/>
      <c r="B41" s="301" t="s">
        <v>79</v>
      </c>
      <c r="C41" s="301"/>
      <c r="D41" s="301"/>
      <c r="E41" s="301"/>
      <c r="F41" s="303"/>
      <c r="G41" s="302"/>
      <c r="H41" s="302"/>
      <c r="I41" s="302"/>
      <c r="J41" s="302"/>
      <c r="K41" s="303"/>
      <c r="L41" s="302"/>
      <c r="M41" s="302"/>
      <c r="N41" s="309"/>
      <c r="O41" s="302"/>
      <c r="P41" s="302"/>
      <c r="Q41" s="302"/>
      <c r="R41" s="302"/>
      <c r="S41" s="309"/>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2"/>
      <c r="BD41" s="302"/>
      <c r="BE41" s="302"/>
      <c r="BF41" s="302"/>
      <c r="BG41" s="302"/>
      <c r="BH41" s="302"/>
      <c r="BI41" s="302"/>
      <c r="BJ41" s="302"/>
      <c r="BK41" s="302"/>
      <c r="BL41" s="302"/>
      <c r="BM41" s="302"/>
      <c r="BN41" s="302"/>
      <c r="BO41"/>
      <c r="BP41"/>
      <c r="BQ41"/>
    </row>
    <row r="42" spans="1:69" x14ac:dyDescent="0.35">
      <c r="A42" s="24"/>
      <c r="B42" s="24" t="s">
        <v>87</v>
      </c>
      <c r="C42" s="24"/>
      <c r="D42" s="24"/>
      <c r="E42" s="24"/>
      <c r="F42" s="144"/>
      <c r="G42" s="16"/>
      <c r="H42" s="16"/>
      <c r="I42" s="16"/>
      <c r="J42" s="16"/>
      <c r="K42" s="144"/>
      <c r="L42" s="16"/>
      <c r="M42" s="16"/>
      <c r="N42" s="147"/>
      <c r="O42" s="16"/>
      <c r="P42" s="39"/>
      <c r="Q42" s="16"/>
      <c r="R42" s="16"/>
      <c r="S42" s="24"/>
      <c r="T42" s="16"/>
      <c r="U42" s="39"/>
      <c r="V42" s="16"/>
      <c r="W42" s="16"/>
      <c r="X42" s="16"/>
      <c r="Y42" s="16"/>
      <c r="Z42" s="39"/>
      <c r="AA42" s="16"/>
      <c r="AB42" s="16"/>
      <c r="AC42" s="16"/>
      <c r="AD42" s="16"/>
      <c r="AE42" s="39"/>
      <c r="AF42" s="16"/>
      <c r="AG42" s="16"/>
      <c r="AH42" s="16"/>
      <c r="AI42" s="16"/>
      <c r="AJ42" s="39"/>
      <c r="AK42" s="16"/>
      <c r="AL42" s="16"/>
      <c r="AM42" s="16"/>
      <c r="AN42" s="16"/>
      <c r="AO42" s="39"/>
      <c r="AP42" s="16"/>
      <c r="AQ42" s="16"/>
      <c r="AR42" s="16"/>
      <c r="AS42" s="16"/>
      <c r="AT42" s="39"/>
      <c r="AU42" s="16"/>
      <c r="AV42" s="16"/>
      <c r="AW42" s="16"/>
      <c r="AX42" s="16"/>
      <c r="AY42" s="39"/>
      <c r="AZ42" s="16"/>
      <c r="BA42" s="16"/>
      <c r="BB42" s="16"/>
      <c r="BC42" s="16"/>
      <c r="BD42" s="39"/>
      <c r="BE42" s="16"/>
      <c r="BF42" s="16"/>
      <c r="BG42" s="16"/>
      <c r="BH42" s="16"/>
      <c r="BI42" s="39"/>
      <c r="BJ42" s="16"/>
      <c r="BK42" s="16"/>
      <c r="BL42" s="16"/>
      <c r="BM42" s="16"/>
      <c r="BN42" s="39"/>
      <c r="BO42"/>
      <c r="BP42"/>
      <c r="BQ42"/>
    </row>
    <row r="43" spans="1:69" x14ac:dyDescent="0.35">
      <c r="A43" s="24"/>
      <c r="B43" s="35" t="s">
        <v>80</v>
      </c>
      <c r="C43" s="24"/>
      <c r="D43" s="24"/>
      <c r="E43" s="24"/>
      <c r="F43" s="193"/>
      <c r="G43" s="16"/>
      <c r="H43" s="16"/>
      <c r="I43" s="16"/>
      <c r="J43" s="16"/>
      <c r="K43" s="193">
        <v>275.8</v>
      </c>
      <c r="L43" s="206"/>
      <c r="M43" s="16"/>
      <c r="N43" s="147"/>
      <c r="O43" s="16"/>
      <c r="P43" s="193">
        <v>1007.7</v>
      </c>
      <c r="Q43" s="160">
        <v>376.8</v>
      </c>
      <c r="R43" s="160">
        <v>377.90000000000003</v>
      </c>
      <c r="S43" s="160">
        <v>312</v>
      </c>
      <c r="T43" s="160">
        <v>252.70000000000005</v>
      </c>
      <c r="U43" s="193">
        <v>1319.4</v>
      </c>
      <c r="V43" s="160">
        <v>373.6</v>
      </c>
      <c r="W43" s="315">
        <f>IS!AJ80</f>
        <v>310.30000000000024</v>
      </c>
      <c r="X43" s="315">
        <f>IS!AK80</f>
        <v>379.4</v>
      </c>
      <c r="Y43" s="315">
        <f>IS!AL80</f>
        <v>359</v>
      </c>
      <c r="Z43" s="289">
        <f>SUM(V43:Y43)</f>
        <v>1422.3000000000002</v>
      </c>
      <c r="AA43" s="315">
        <f>IS!AN80</f>
        <v>487.4</v>
      </c>
      <c r="AB43" s="315">
        <f>IS!AO80</f>
        <v>509</v>
      </c>
      <c r="AC43" s="315">
        <f>IS!AP80</f>
        <v>467</v>
      </c>
      <c r="AD43" s="315">
        <f>IS!AQ80</f>
        <v>314</v>
      </c>
      <c r="AE43" s="193">
        <v>1777</v>
      </c>
      <c r="AF43" s="160">
        <v>736</v>
      </c>
      <c r="AG43" s="160">
        <v>577</v>
      </c>
      <c r="AH43" s="160">
        <v>474</v>
      </c>
      <c r="AI43" s="160">
        <v>427</v>
      </c>
      <c r="AJ43" s="193">
        <v>2214</v>
      </c>
      <c r="AK43" s="160">
        <v>498</v>
      </c>
      <c r="AL43" s="160">
        <v>327</v>
      </c>
      <c r="AM43" s="160">
        <v>303</v>
      </c>
      <c r="AN43" s="160">
        <v>246</v>
      </c>
      <c r="AO43" s="289">
        <f t="shared" ref="AO43:AO48" si="61">SUM(AK43:AN43)</f>
        <v>1374</v>
      </c>
      <c r="AP43" s="160">
        <v>501</v>
      </c>
      <c r="AQ43" s="160">
        <f>878 -AP43</f>
        <v>377</v>
      </c>
      <c r="AR43" s="160">
        <f>1268-AQ43-AP43</f>
        <v>390</v>
      </c>
      <c r="AS43" s="206">
        <f t="shared" ref="AS43:AS48" si="62">AT43-AR43-AQ43-AP43</f>
        <v>340</v>
      </c>
      <c r="AT43" s="193">
        <v>1608</v>
      </c>
      <c r="AU43" s="160">
        <v>577</v>
      </c>
      <c r="AV43" s="160">
        <f>1130-AU43</f>
        <v>553</v>
      </c>
      <c r="AW43" s="160">
        <f>1664-AV43-AU43</f>
        <v>534</v>
      </c>
      <c r="AX43" s="160">
        <f>2059-AW43-AV43-AU43</f>
        <v>395</v>
      </c>
      <c r="AY43" s="193">
        <v>2059</v>
      </c>
      <c r="AZ43" s="160">
        <v>625</v>
      </c>
      <c r="BA43" s="160">
        <f>1204-AZ43</f>
        <v>579</v>
      </c>
      <c r="BB43" s="315">
        <f ca="1">IS!BO80</f>
        <v>718.72867000377255</v>
      </c>
      <c r="BC43" s="315">
        <f ca="1">IS!BP80</f>
        <v>563.58977128957281</v>
      </c>
      <c r="BD43" s="289">
        <f t="shared" ref="BD43:BD48" ca="1" si="63">SUM(AZ43:BC43)</f>
        <v>2486.3184412933451</v>
      </c>
      <c r="BE43" s="315">
        <f ca="1">IS!BR80</f>
        <v>717.85534647472525</v>
      </c>
      <c r="BF43" s="315">
        <f ca="1">IS!BS80</f>
        <v>676.7609025387784</v>
      </c>
      <c r="BG43" s="315">
        <f ca="1">IS!BT80</f>
        <v>721.49641014245321</v>
      </c>
      <c r="BH43" s="315">
        <f ca="1">IS!BU80</f>
        <v>577.53912516797004</v>
      </c>
      <c r="BI43" s="289">
        <f t="shared" ref="BI43:BI48" ca="1" si="64">SUM(BE43:BH43)</f>
        <v>2693.6517843239271</v>
      </c>
      <c r="BJ43" s="315">
        <f ca="1">IS!BW80</f>
        <v>803.92175592383194</v>
      </c>
      <c r="BK43" s="315">
        <f ca="1">IS!BX80</f>
        <v>767.79655400118634</v>
      </c>
      <c r="BL43" s="315">
        <f ca="1">IS!BY80</f>
        <v>812.99460412577946</v>
      </c>
      <c r="BM43" s="315">
        <f ca="1">IS!BZ80</f>
        <v>657.94131134652389</v>
      </c>
      <c r="BN43" s="289">
        <f t="shared" ref="BN43:BN48" ca="1" si="65">SUM(BJ43:BM43)</f>
        <v>3042.6542253973216</v>
      </c>
      <c r="BO43"/>
      <c r="BP43"/>
      <c r="BQ43"/>
    </row>
    <row r="44" spans="1:69" x14ac:dyDescent="0.35">
      <c r="A44" s="24"/>
      <c r="B44" s="35" t="s">
        <v>214</v>
      </c>
      <c r="C44" s="24"/>
      <c r="D44" s="24"/>
      <c r="E44" s="24"/>
      <c r="F44" s="193"/>
      <c r="G44" s="16"/>
      <c r="H44" s="16"/>
      <c r="I44" s="16"/>
      <c r="J44" s="16"/>
      <c r="K44" s="193">
        <v>126.7</v>
      </c>
      <c r="L44" s="206"/>
      <c r="M44" s="16"/>
      <c r="N44" s="147"/>
      <c r="O44" s="16"/>
      <c r="P44" s="193">
        <v>158.30000000000001</v>
      </c>
      <c r="Q44" s="160">
        <v>49.1</v>
      </c>
      <c r="R44" s="160">
        <v>48.4</v>
      </c>
      <c r="S44" s="160">
        <v>46.099999999999994</v>
      </c>
      <c r="T44" s="160">
        <v>48.300000000000011</v>
      </c>
      <c r="U44" s="193">
        <v>191.9</v>
      </c>
      <c r="V44" s="160">
        <v>50.3</v>
      </c>
      <c r="W44" s="315">
        <f>IS!AJ37</f>
        <v>51</v>
      </c>
      <c r="X44" s="315">
        <f>IS!AK37</f>
        <v>48.6</v>
      </c>
      <c r="Y44" s="315">
        <f>IS!AL37</f>
        <v>50</v>
      </c>
      <c r="Z44" s="289">
        <f t="shared" ref="Z44:Z56" si="66">SUM(V44:Y44)</f>
        <v>199.9</v>
      </c>
      <c r="AA44" s="315">
        <f>IS!AN37</f>
        <v>49</v>
      </c>
      <c r="AB44" s="315">
        <f>IS!AO37</f>
        <v>58</v>
      </c>
      <c r="AC44" s="315">
        <f>IS!AP37</f>
        <v>56</v>
      </c>
      <c r="AD44" s="315">
        <f>IS!AQ37</f>
        <v>57</v>
      </c>
      <c r="AE44" s="193">
        <v>220</v>
      </c>
      <c r="AF44" s="160">
        <v>59</v>
      </c>
      <c r="AG44" s="160">
        <v>60</v>
      </c>
      <c r="AH44" s="160">
        <v>61</v>
      </c>
      <c r="AI44" s="160">
        <v>77</v>
      </c>
      <c r="AJ44" s="193">
        <v>257</v>
      </c>
      <c r="AK44" s="160">
        <v>78</v>
      </c>
      <c r="AL44" s="160">
        <v>81</v>
      </c>
      <c r="AM44" s="160">
        <v>83</v>
      </c>
      <c r="AN44" s="160">
        <v>89</v>
      </c>
      <c r="AO44" s="289">
        <f t="shared" si="61"/>
        <v>331</v>
      </c>
      <c r="AP44" s="160">
        <v>88</v>
      </c>
      <c r="AQ44" s="160">
        <f>181-AP44</f>
        <v>93</v>
      </c>
      <c r="AR44" s="160">
        <f>276 -AQ44-AP44</f>
        <v>95</v>
      </c>
      <c r="AS44" s="206">
        <f t="shared" si="62"/>
        <v>97</v>
      </c>
      <c r="AT44" s="193">
        <v>373</v>
      </c>
      <c r="AU44" s="160">
        <v>100</v>
      </c>
      <c r="AV44" s="160">
        <f>210-AU44</f>
        <v>110</v>
      </c>
      <c r="AW44" s="160">
        <f>318-AV44-AU44</f>
        <v>108</v>
      </c>
      <c r="AX44" s="160">
        <f>431-AW44-AV44-AU44</f>
        <v>113</v>
      </c>
      <c r="AY44" s="193">
        <v>431</v>
      </c>
      <c r="AZ44" s="160">
        <v>113</v>
      </c>
      <c r="BA44" s="160">
        <f>233-AZ44</f>
        <v>120</v>
      </c>
      <c r="BB44" s="315">
        <f>IS!BO37</f>
        <v>118.25992779783394</v>
      </c>
      <c r="BC44" s="315">
        <f>IS!BP37</f>
        <v>124.31757290721819</v>
      </c>
      <c r="BD44" s="289">
        <f t="shared" si="63"/>
        <v>475.5775007050521</v>
      </c>
      <c r="BE44" s="315">
        <f>IS!BR37</f>
        <v>123.65774743550783</v>
      </c>
      <c r="BF44" s="315">
        <f>IS!BS37</f>
        <v>128.5312197949757</v>
      </c>
      <c r="BG44" s="315">
        <f>IS!BT37</f>
        <v>126.08826209762682</v>
      </c>
      <c r="BH44" s="315">
        <f>IS!BU37</f>
        <v>133.04266887841536</v>
      </c>
      <c r="BI44" s="289">
        <f t="shared" si="64"/>
        <v>511.31989820652575</v>
      </c>
      <c r="BJ44" s="315">
        <f>IS!BW37</f>
        <v>134.47246189546391</v>
      </c>
      <c r="BK44" s="315">
        <f>IS!BX37</f>
        <v>135.40084001555778</v>
      </c>
      <c r="BL44" s="315">
        <f>IS!BY37</f>
        <v>134.93681595623246</v>
      </c>
      <c r="BM44" s="315">
        <f>IS!BZ37</f>
        <v>142.50080775543029</v>
      </c>
      <c r="BN44" s="289">
        <f t="shared" si="65"/>
        <v>547.31092562268441</v>
      </c>
      <c r="BO44"/>
      <c r="BP44"/>
      <c r="BQ44"/>
    </row>
    <row r="45" spans="1:69" x14ac:dyDescent="0.35">
      <c r="A45" s="24"/>
      <c r="B45" s="35" t="s">
        <v>81</v>
      </c>
      <c r="C45" s="24"/>
      <c r="D45" s="24"/>
      <c r="E45" s="24"/>
      <c r="F45" s="193"/>
      <c r="G45" s="16"/>
      <c r="H45" s="16"/>
      <c r="I45" s="16"/>
      <c r="J45" s="16"/>
      <c r="K45" s="193">
        <v>98.1</v>
      </c>
      <c r="L45" s="206"/>
      <c r="M45" s="16"/>
      <c r="N45" s="147"/>
      <c r="O45" s="16"/>
      <c r="P45" s="193">
        <v>122.9</v>
      </c>
      <c r="Q45" s="160">
        <v>35.1</v>
      </c>
      <c r="R45" s="160">
        <v>34.4</v>
      </c>
      <c r="S45" s="160">
        <v>30.5</v>
      </c>
      <c r="T45" s="160">
        <v>30.300000000000011</v>
      </c>
      <c r="U45" s="193">
        <v>130.30000000000001</v>
      </c>
      <c r="V45" s="160">
        <v>35.700000000000003</v>
      </c>
      <c r="W45" s="315">
        <f>IS!AJ36</f>
        <v>34</v>
      </c>
      <c r="X45" s="315">
        <f>IS!AK36</f>
        <v>31</v>
      </c>
      <c r="Y45" s="315">
        <f>IS!AL36</f>
        <v>30.300000000000011</v>
      </c>
      <c r="Z45" s="289">
        <f t="shared" si="66"/>
        <v>131</v>
      </c>
      <c r="AA45" s="160">
        <v>37</v>
      </c>
      <c r="AB45" s="160">
        <v>35</v>
      </c>
      <c r="AC45" s="160">
        <v>38</v>
      </c>
      <c r="AD45" s="160">
        <v>44</v>
      </c>
      <c r="AE45" s="193">
        <v>154</v>
      </c>
      <c r="AF45" s="160">
        <v>45</v>
      </c>
      <c r="AG45" s="160">
        <v>41</v>
      </c>
      <c r="AH45" s="160">
        <v>41</v>
      </c>
      <c r="AI45" s="160">
        <v>48</v>
      </c>
      <c r="AJ45" s="193">
        <v>175</v>
      </c>
      <c r="AK45" s="160">
        <v>46</v>
      </c>
      <c r="AL45" s="160">
        <v>38</v>
      </c>
      <c r="AM45" s="160">
        <v>46</v>
      </c>
      <c r="AN45" s="160">
        <v>39</v>
      </c>
      <c r="AO45" s="289">
        <f t="shared" si="61"/>
        <v>169</v>
      </c>
      <c r="AP45" s="160">
        <v>47</v>
      </c>
      <c r="AQ45" s="160">
        <f>97-AP45</f>
        <v>50</v>
      </c>
      <c r="AR45" s="160">
        <f>143 -AQ45-AP45</f>
        <v>46</v>
      </c>
      <c r="AS45" s="206">
        <f t="shared" si="62"/>
        <v>50</v>
      </c>
      <c r="AT45" s="193">
        <v>193</v>
      </c>
      <c r="AU45" s="160">
        <v>53</v>
      </c>
      <c r="AV45" s="160">
        <f>109-AU45</f>
        <v>56</v>
      </c>
      <c r="AW45" s="160">
        <f>116-AV45-AU45</f>
        <v>7</v>
      </c>
      <c r="AX45" s="160">
        <f>220-AW45-AV45-AU45</f>
        <v>104</v>
      </c>
      <c r="AY45" s="193">
        <v>220</v>
      </c>
      <c r="AZ45" s="160">
        <v>56</v>
      </c>
      <c r="BA45" s="160">
        <f>117-AZ45</f>
        <v>61</v>
      </c>
      <c r="BB45" s="160">
        <f>AW45+1</f>
        <v>8</v>
      </c>
      <c r="BC45" s="160">
        <v>50</v>
      </c>
      <c r="BD45" s="289">
        <f t="shared" si="63"/>
        <v>175</v>
      </c>
      <c r="BE45" s="160">
        <f>AZ45+1</f>
        <v>57</v>
      </c>
      <c r="BF45" s="160">
        <f>BA45+1</f>
        <v>62</v>
      </c>
      <c r="BG45" s="160">
        <f>BB45+1</f>
        <v>9</v>
      </c>
      <c r="BH45" s="160">
        <f>BC45+1</f>
        <v>51</v>
      </c>
      <c r="BI45" s="289">
        <f t="shared" si="64"/>
        <v>179</v>
      </c>
      <c r="BJ45" s="160">
        <f>BE45+1</f>
        <v>58</v>
      </c>
      <c r="BK45" s="160">
        <f>BF45+1</f>
        <v>63</v>
      </c>
      <c r="BL45" s="160">
        <f>BG45+1</f>
        <v>10</v>
      </c>
      <c r="BM45" s="160">
        <f>BH45+1</f>
        <v>52</v>
      </c>
      <c r="BN45" s="289">
        <f t="shared" si="65"/>
        <v>183</v>
      </c>
      <c r="BO45"/>
      <c r="BP45"/>
      <c r="BQ45"/>
    </row>
    <row r="46" spans="1:69" x14ac:dyDescent="0.35">
      <c r="A46" s="24"/>
      <c r="B46" s="35" t="s">
        <v>426</v>
      </c>
      <c r="C46" s="24"/>
      <c r="D46" s="24"/>
      <c r="E46" s="24"/>
      <c r="F46" s="193"/>
      <c r="G46" s="16"/>
      <c r="H46" s="16"/>
      <c r="I46" s="16"/>
      <c r="J46" s="16"/>
      <c r="K46" s="193">
        <v>0</v>
      </c>
      <c r="L46" s="206"/>
      <c r="M46" s="16"/>
      <c r="N46" s="147"/>
      <c r="O46" s="16"/>
      <c r="P46" s="193">
        <v>-59.7</v>
      </c>
      <c r="Q46" s="160">
        <v>0</v>
      </c>
      <c r="R46" s="160">
        <v>0</v>
      </c>
      <c r="S46" s="160">
        <v>0</v>
      </c>
      <c r="T46" s="160">
        <v>0</v>
      </c>
      <c r="U46" s="193">
        <v>0</v>
      </c>
      <c r="V46" s="160">
        <v>13.8</v>
      </c>
      <c r="W46" s="160">
        <v>0</v>
      </c>
      <c r="X46" s="160">
        <v>0</v>
      </c>
      <c r="Y46" s="160">
        <v>0</v>
      </c>
      <c r="Z46" s="289">
        <f t="shared" si="66"/>
        <v>13.8</v>
      </c>
      <c r="AA46" s="160">
        <v>0</v>
      </c>
      <c r="AB46" s="160">
        <v>0</v>
      </c>
      <c r="AC46" s="160">
        <v>0</v>
      </c>
      <c r="AD46" s="160">
        <v>0</v>
      </c>
      <c r="AE46" s="193">
        <v>0</v>
      </c>
      <c r="AF46" s="485"/>
      <c r="AG46" s="485"/>
      <c r="AH46" s="160">
        <v>0</v>
      </c>
      <c r="AI46" s="160">
        <v>-36</v>
      </c>
      <c r="AJ46" s="193">
        <v>-36</v>
      </c>
      <c r="AK46" s="160">
        <v>0</v>
      </c>
      <c r="AL46" s="160">
        <v>0</v>
      </c>
      <c r="AM46" s="160">
        <v>0</v>
      </c>
      <c r="AN46" s="160">
        <v>0</v>
      </c>
      <c r="AO46" s="289">
        <f t="shared" si="61"/>
        <v>0</v>
      </c>
      <c r="AP46" s="160">
        <v>0</v>
      </c>
      <c r="AQ46" s="160">
        <v>0</v>
      </c>
      <c r="AR46" s="160">
        <v>0</v>
      </c>
      <c r="AS46" s="206">
        <f t="shared" si="62"/>
        <v>0</v>
      </c>
      <c r="AT46" s="193">
        <v>0</v>
      </c>
      <c r="AU46" s="160">
        <v>0</v>
      </c>
      <c r="AV46" s="160">
        <v>0</v>
      </c>
      <c r="AW46" s="160">
        <f>-7-AV46-AU46</f>
        <v>-7</v>
      </c>
      <c r="AX46" s="160">
        <f>-7-AW46-AV46-AU46</f>
        <v>0</v>
      </c>
      <c r="AY46" s="193">
        <v>-7</v>
      </c>
      <c r="AZ46" s="160">
        <v>0</v>
      </c>
      <c r="BA46" s="160">
        <v>0</v>
      </c>
      <c r="BB46" s="160">
        <v>0</v>
      </c>
      <c r="BC46" s="160">
        <v>0</v>
      </c>
      <c r="BD46" s="289">
        <f t="shared" si="63"/>
        <v>0</v>
      </c>
      <c r="BE46" s="160">
        <v>0</v>
      </c>
      <c r="BF46" s="160">
        <v>0</v>
      </c>
      <c r="BG46" s="160">
        <v>0</v>
      </c>
      <c r="BH46" s="160">
        <v>0</v>
      </c>
      <c r="BI46" s="289">
        <f t="shared" si="64"/>
        <v>0</v>
      </c>
      <c r="BJ46" s="160">
        <v>0</v>
      </c>
      <c r="BK46" s="160">
        <v>0</v>
      </c>
      <c r="BL46" s="160">
        <v>0</v>
      </c>
      <c r="BM46" s="160">
        <v>0</v>
      </c>
      <c r="BN46" s="289">
        <f t="shared" si="65"/>
        <v>0</v>
      </c>
      <c r="BO46"/>
      <c r="BP46"/>
      <c r="BQ46"/>
    </row>
    <row r="47" spans="1:69" x14ac:dyDescent="0.35">
      <c r="A47" s="24"/>
      <c r="B47" s="35" t="s">
        <v>425</v>
      </c>
      <c r="C47" s="24"/>
      <c r="D47" s="24"/>
      <c r="E47" s="24"/>
      <c r="F47" s="193"/>
      <c r="G47" s="16"/>
      <c r="H47" s="16"/>
      <c r="I47" s="16"/>
      <c r="J47" s="16"/>
      <c r="K47" s="193">
        <f>-36.6-1.6</f>
        <v>-38.200000000000003</v>
      </c>
      <c r="L47" s="206"/>
      <c r="M47" s="16"/>
      <c r="N47" s="147"/>
      <c r="O47" s="16"/>
      <c r="P47" s="193">
        <v>-111.1</v>
      </c>
      <c r="Q47" s="160">
        <v>0</v>
      </c>
      <c r="R47" s="160">
        <v>0</v>
      </c>
      <c r="S47" s="160">
        <v>0</v>
      </c>
      <c r="T47" s="160">
        <v>0</v>
      </c>
      <c r="U47" s="193">
        <v>0</v>
      </c>
      <c r="V47" s="160">
        <v>0</v>
      </c>
      <c r="W47" s="160">
        <v>0</v>
      </c>
      <c r="X47" s="160">
        <v>0</v>
      </c>
      <c r="Y47" s="160">
        <v>0</v>
      </c>
      <c r="Z47" s="289">
        <f t="shared" si="66"/>
        <v>0</v>
      </c>
      <c r="AA47" s="160">
        <v>0</v>
      </c>
      <c r="AB47" s="160">
        <v>0</v>
      </c>
      <c r="AC47" s="160">
        <v>0</v>
      </c>
      <c r="AD47" s="160">
        <v>0</v>
      </c>
      <c r="AE47" s="193">
        <v>0</v>
      </c>
      <c r="AF47" s="160"/>
      <c r="AG47" s="160"/>
      <c r="AH47" s="160">
        <v>0</v>
      </c>
      <c r="AI47" s="160">
        <v>0</v>
      </c>
      <c r="AJ47" s="193"/>
      <c r="AK47" s="160">
        <v>0</v>
      </c>
      <c r="AL47" s="160">
        <v>20</v>
      </c>
      <c r="AM47" s="160">
        <v>0</v>
      </c>
      <c r="AN47" s="160">
        <v>0</v>
      </c>
      <c r="AO47" s="289">
        <f t="shared" si="61"/>
        <v>20</v>
      </c>
      <c r="AP47" s="160">
        <v>0</v>
      </c>
      <c r="AQ47" s="160">
        <v>0</v>
      </c>
      <c r="AR47" s="160">
        <v>12</v>
      </c>
      <c r="AS47" s="206">
        <f t="shared" si="62"/>
        <v>41</v>
      </c>
      <c r="AT47" s="193">
        <f>-4+35+22</f>
        <v>53</v>
      </c>
      <c r="AU47" s="160">
        <v>4</v>
      </c>
      <c r="AV47" s="160">
        <f>10-AU47</f>
        <v>6</v>
      </c>
      <c r="AW47" s="160">
        <f>15+14-SUM(AU47:AV47)</f>
        <v>19</v>
      </c>
      <c r="AX47" s="160">
        <f>32+15-AW47-AV47-AU47</f>
        <v>18</v>
      </c>
      <c r="AY47" s="193">
        <f>32+15</f>
        <v>47</v>
      </c>
      <c r="AZ47" s="160">
        <f>5+3</f>
        <v>8</v>
      </c>
      <c r="BA47" s="160">
        <f>7-AZ47</f>
        <v>-1</v>
      </c>
      <c r="BB47" s="160">
        <v>0</v>
      </c>
      <c r="BC47" s="160">
        <v>0</v>
      </c>
      <c r="BD47" s="289">
        <f t="shared" si="63"/>
        <v>7</v>
      </c>
      <c r="BE47" s="160">
        <v>0</v>
      </c>
      <c r="BF47" s="160">
        <v>0</v>
      </c>
      <c r="BG47" s="160">
        <v>0</v>
      </c>
      <c r="BH47" s="160">
        <v>0</v>
      </c>
      <c r="BI47" s="289">
        <f t="shared" si="64"/>
        <v>0</v>
      </c>
      <c r="BJ47" s="160">
        <v>0</v>
      </c>
      <c r="BK47" s="160">
        <v>0</v>
      </c>
      <c r="BL47" s="160">
        <v>0</v>
      </c>
      <c r="BM47" s="160">
        <v>0</v>
      </c>
      <c r="BN47" s="289">
        <f t="shared" si="65"/>
        <v>0</v>
      </c>
      <c r="BO47"/>
      <c r="BP47"/>
      <c r="BQ47"/>
    </row>
    <row r="48" spans="1:69" x14ac:dyDescent="0.35">
      <c r="A48" s="24"/>
      <c r="B48" s="35" t="s">
        <v>96</v>
      </c>
      <c r="C48" s="24"/>
      <c r="D48" s="24"/>
      <c r="E48" s="24"/>
      <c r="F48" s="193"/>
      <c r="G48" s="16"/>
      <c r="H48" s="16"/>
      <c r="I48" s="16"/>
      <c r="J48" s="16"/>
      <c r="K48" s="193">
        <v>-153.1</v>
      </c>
      <c r="L48" s="206"/>
      <c r="M48" s="16"/>
      <c r="N48" s="147"/>
      <c r="O48" s="16"/>
      <c r="P48" s="193">
        <v>88.3</v>
      </c>
      <c r="Q48" s="160">
        <v>-4.2</v>
      </c>
      <c r="R48" s="160">
        <v>-7.8999999999999995</v>
      </c>
      <c r="S48" s="160">
        <v>-63.199999999999996</v>
      </c>
      <c r="T48" s="160">
        <v>-23.600000000000009</v>
      </c>
      <c r="U48" s="193">
        <v>-98.9</v>
      </c>
      <c r="V48" s="160">
        <v>0</v>
      </c>
      <c r="W48" s="160">
        <v>0</v>
      </c>
      <c r="X48" s="160">
        <v>0</v>
      </c>
      <c r="Y48" s="160">
        <v>0</v>
      </c>
      <c r="Z48" s="289">
        <f t="shared" si="66"/>
        <v>0</v>
      </c>
      <c r="AA48" s="160">
        <v>57</v>
      </c>
      <c r="AB48" s="160">
        <v>-11</v>
      </c>
      <c r="AC48" s="160">
        <v>-47</v>
      </c>
      <c r="AD48" s="160">
        <v>-43</v>
      </c>
      <c r="AE48" s="193">
        <v>-44</v>
      </c>
      <c r="AF48" s="160">
        <v>44</v>
      </c>
      <c r="AG48" s="160">
        <v>15</v>
      </c>
      <c r="AH48" s="160">
        <v>-138</v>
      </c>
      <c r="AI48" s="160">
        <v>-139</v>
      </c>
      <c r="AJ48" s="193">
        <v>-218</v>
      </c>
      <c r="AK48" s="160">
        <v>30</v>
      </c>
      <c r="AL48" s="160">
        <v>35</v>
      </c>
      <c r="AM48" s="160">
        <v>-7</v>
      </c>
      <c r="AN48" s="160">
        <v>-10</v>
      </c>
      <c r="AO48" s="289">
        <f t="shared" si="61"/>
        <v>48</v>
      </c>
      <c r="AP48" s="160">
        <v>0</v>
      </c>
      <c r="AQ48" s="160">
        <f>21-AP48</f>
        <v>21</v>
      </c>
      <c r="AR48" s="160">
        <f>-10-AQ48-AP48</f>
        <v>-31</v>
      </c>
      <c r="AS48" s="206">
        <f t="shared" si="62"/>
        <v>-28</v>
      </c>
      <c r="AT48" s="193">
        <v>-38</v>
      </c>
      <c r="AU48" s="160">
        <v>25</v>
      </c>
      <c r="AV48" s="160">
        <f>25-AU48</f>
        <v>0</v>
      </c>
      <c r="AW48" s="160">
        <f>9-AV48-AU48</f>
        <v>-16</v>
      </c>
      <c r="AX48" s="160">
        <f>-62-AW48-AV48-AU48</f>
        <v>-71</v>
      </c>
      <c r="AY48" s="193">
        <v>-62</v>
      </c>
      <c r="AZ48" s="160">
        <v>18</v>
      </c>
      <c r="BA48" s="160">
        <f>17-AZ48</f>
        <v>-1</v>
      </c>
      <c r="BB48" s="160">
        <v>0</v>
      </c>
      <c r="BC48" s="160">
        <v>-79</v>
      </c>
      <c r="BD48" s="289">
        <f t="shared" si="63"/>
        <v>-62</v>
      </c>
      <c r="BE48" s="160">
        <v>0</v>
      </c>
      <c r="BF48" s="160">
        <v>0</v>
      </c>
      <c r="BG48" s="160">
        <v>0</v>
      </c>
      <c r="BH48" s="160">
        <v>0</v>
      </c>
      <c r="BI48" s="289">
        <f t="shared" si="64"/>
        <v>0</v>
      </c>
      <c r="BJ48" s="160">
        <v>0</v>
      </c>
      <c r="BK48" s="160">
        <v>0</v>
      </c>
      <c r="BL48" s="160">
        <v>0</v>
      </c>
      <c r="BM48" s="160">
        <v>0</v>
      </c>
      <c r="BN48" s="289">
        <f t="shared" si="65"/>
        <v>0</v>
      </c>
      <c r="BO48"/>
      <c r="BP48"/>
      <c r="BQ48"/>
    </row>
    <row r="49" spans="1:69" x14ac:dyDescent="0.35">
      <c r="A49" s="24"/>
      <c r="B49" s="42" t="s">
        <v>215</v>
      </c>
      <c r="C49" s="24"/>
      <c r="D49" s="24"/>
      <c r="E49" s="24"/>
      <c r="F49" s="202"/>
      <c r="G49" s="16"/>
      <c r="H49" s="16"/>
      <c r="I49" s="16"/>
      <c r="J49" s="16"/>
      <c r="K49" s="202"/>
      <c r="L49" s="24"/>
      <c r="M49" s="16"/>
      <c r="N49" s="147"/>
      <c r="O49" s="16"/>
      <c r="P49" s="202"/>
      <c r="Q49" s="24"/>
      <c r="R49" s="206"/>
      <c r="S49" s="206"/>
      <c r="T49" s="24"/>
      <c r="U49" s="158"/>
      <c r="V49" s="24"/>
      <c r="W49" s="24"/>
      <c r="X49" s="24"/>
      <c r="Y49" s="24"/>
      <c r="Z49" s="39"/>
      <c r="AA49" s="609"/>
      <c r="AB49" s="609"/>
      <c r="AC49" s="609"/>
      <c r="AD49" s="609"/>
      <c r="AE49" s="484"/>
      <c r="AF49" s="160"/>
      <c r="AG49" s="160"/>
      <c r="AH49" s="24"/>
      <c r="AI49" s="24"/>
      <c r="AJ49" s="484"/>
      <c r="AK49" s="24"/>
      <c r="AL49" s="24"/>
      <c r="AM49" s="24"/>
      <c r="AN49" s="24"/>
      <c r="AO49" s="39"/>
      <c r="AP49" s="609"/>
      <c r="AQ49" s="24"/>
      <c r="AR49" s="24"/>
      <c r="AS49" s="24"/>
      <c r="AT49" s="484"/>
      <c r="AU49" s="609"/>
      <c r="AV49" s="24"/>
      <c r="AW49" s="24"/>
      <c r="AX49" s="24"/>
      <c r="AY49" s="39"/>
      <c r="AZ49" s="24"/>
      <c r="BA49" s="24"/>
      <c r="BB49" s="24"/>
      <c r="BC49" s="24"/>
      <c r="BD49" s="39"/>
      <c r="BE49" s="24"/>
      <c r="BF49" s="24"/>
      <c r="BG49" s="24"/>
      <c r="BH49" s="24"/>
      <c r="BI49" s="39"/>
      <c r="BJ49" s="24"/>
      <c r="BK49" s="24"/>
      <c r="BL49" s="24"/>
      <c r="BM49" s="24"/>
      <c r="BN49" s="39"/>
      <c r="BO49"/>
      <c r="BP49"/>
      <c r="BQ49"/>
    </row>
    <row r="50" spans="1:69" x14ac:dyDescent="0.35">
      <c r="A50" s="24"/>
      <c r="B50" s="35" t="s">
        <v>216</v>
      </c>
      <c r="C50" s="24"/>
      <c r="D50" s="24"/>
      <c r="E50" s="24"/>
      <c r="F50" s="193"/>
      <c r="G50" s="16"/>
      <c r="H50" s="16"/>
      <c r="I50" s="16"/>
      <c r="J50" s="16"/>
      <c r="K50" s="193">
        <v>-104.8</v>
      </c>
      <c r="L50" s="206"/>
      <c r="M50" s="16"/>
      <c r="N50" s="147"/>
      <c r="O50" s="16"/>
      <c r="P50" s="193">
        <v>-148.1</v>
      </c>
      <c r="Q50" s="160">
        <v>-29.9</v>
      </c>
      <c r="R50" s="160">
        <v>47.7</v>
      </c>
      <c r="S50" s="160">
        <v>4.6999999999999957</v>
      </c>
      <c r="T50" s="160">
        <v>-158.6</v>
      </c>
      <c r="U50" s="193">
        <v>-136.1</v>
      </c>
      <c r="V50" s="160">
        <v>-8.5</v>
      </c>
      <c r="W50" s="162">
        <f t="shared" ref="W50:Y51" si="67">V12-W12</f>
        <v>37.726027397260168</v>
      </c>
      <c r="X50" s="162">
        <f t="shared" si="67"/>
        <v>-68.789041095890298</v>
      </c>
      <c r="Y50" s="162">
        <f t="shared" si="67"/>
        <v>-154.09315068493152</v>
      </c>
      <c r="Z50" s="289">
        <f t="shared" si="66"/>
        <v>-193.65616438356165</v>
      </c>
      <c r="AA50" s="160">
        <v>-7</v>
      </c>
      <c r="AB50" s="160">
        <v>18</v>
      </c>
      <c r="AC50" s="160">
        <v>62</v>
      </c>
      <c r="AD50" s="160">
        <v>-42</v>
      </c>
      <c r="AE50" s="193">
        <v>31</v>
      </c>
      <c r="AF50" s="160">
        <v>-71</v>
      </c>
      <c r="AG50" s="160">
        <v>42</v>
      </c>
      <c r="AH50" s="160">
        <v>-108</v>
      </c>
      <c r="AI50" s="160">
        <v>-120</v>
      </c>
      <c r="AJ50" s="193">
        <v>-257</v>
      </c>
      <c r="AK50" s="160">
        <v>-117</v>
      </c>
      <c r="AL50" s="160">
        <v>180</v>
      </c>
      <c r="AM50" s="160">
        <v>60</v>
      </c>
      <c r="AN50" s="160">
        <v>-89</v>
      </c>
      <c r="AO50" s="289">
        <f t="shared" ref="AO50:AO56" si="68">SUM(AK50:AN50)</f>
        <v>34</v>
      </c>
      <c r="AP50" s="160">
        <v>-51</v>
      </c>
      <c r="AQ50" s="160">
        <f>121-AP50</f>
        <v>172</v>
      </c>
      <c r="AR50" s="160">
        <f>127-AQ50-AP50</f>
        <v>6</v>
      </c>
      <c r="AS50" s="206">
        <f>AT50-AR50-AQ50-AP50</f>
        <v>-139</v>
      </c>
      <c r="AT50" s="193">
        <v>-12</v>
      </c>
      <c r="AU50" s="160">
        <v>-197</v>
      </c>
      <c r="AV50" s="160">
        <f>-64-AU50</f>
        <v>133</v>
      </c>
      <c r="AW50" s="160">
        <f>-43-AV50-AU50</f>
        <v>21</v>
      </c>
      <c r="AX50" s="160">
        <f>-187-AW50-AV50-AU50</f>
        <v>-144</v>
      </c>
      <c r="AY50" s="193">
        <v>-187</v>
      </c>
      <c r="AZ50" s="160">
        <v>-16</v>
      </c>
      <c r="BA50" s="160">
        <f>94 -AZ50</f>
        <v>110</v>
      </c>
      <c r="BB50" s="162">
        <f t="shared" ref="BB50:BC51" ca="1" si="69">BA12-BB12</f>
        <v>2</v>
      </c>
      <c r="BC50" s="162">
        <f t="shared" ca="1" si="69"/>
        <v>-297.85403923488411</v>
      </c>
      <c r="BD50" s="289">
        <f t="shared" ref="BD50:BD56" ca="1" si="70">SUM(AZ50:BC50)</f>
        <v>-201.85403923488411</v>
      </c>
      <c r="BE50" s="162">
        <f>BC12-BE12</f>
        <v>45.795988425747055</v>
      </c>
      <c r="BF50" s="162">
        <f t="shared" ref="BF50:BH51" si="71">BE12-BF12</f>
        <v>102.40058758676128</v>
      </c>
      <c r="BG50" s="162">
        <f t="shared" ca="1" si="71"/>
        <v>14.259090971746673</v>
      </c>
      <c r="BH50" s="162">
        <f t="shared" ca="1" si="71"/>
        <v>-324.05699586572246</v>
      </c>
      <c r="BI50" s="289">
        <f t="shared" ref="BI50:BI56" ca="1" si="72">SUM(BE50:BH50)</f>
        <v>-161.60132888146745</v>
      </c>
      <c r="BJ50" s="162">
        <f>BH12-BJ12</f>
        <v>53.1213928892289</v>
      </c>
      <c r="BK50" s="162">
        <f t="shared" ref="BK50:BM51" si="73">BJ12-BK12</f>
        <v>110.49692971390732</v>
      </c>
      <c r="BL50" s="162">
        <f t="shared" ca="1" si="73"/>
        <v>14.929633054356145</v>
      </c>
      <c r="BM50" s="162">
        <f t="shared" ca="1" si="73"/>
        <v>-349.57277019877483</v>
      </c>
      <c r="BN50" s="289">
        <f t="shared" ref="BN50:BN56" ca="1" si="74">SUM(BJ50:BM50)</f>
        <v>-171.02481454128247</v>
      </c>
      <c r="BO50"/>
      <c r="BP50"/>
      <c r="BQ50"/>
    </row>
    <row r="51" spans="1:69" x14ac:dyDescent="0.35">
      <c r="A51" s="24"/>
      <c r="B51" s="35" t="s">
        <v>69</v>
      </c>
      <c r="C51" s="24"/>
      <c r="D51" s="24"/>
      <c r="E51" s="24"/>
      <c r="F51" s="193"/>
      <c r="G51" s="16"/>
      <c r="H51" s="16"/>
      <c r="I51" s="16"/>
      <c r="J51" s="16"/>
      <c r="K51" s="193">
        <v>37</v>
      </c>
      <c r="L51" s="206"/>
      <c r="M51" s="16"/>
      <c r="N51" s="147"/>
      <c r="O51" s="16"/>
      <c r="P51" s="193">
        <v>-70.3</v>
      </c>
      <c r="Q51" s="160">
        <v>47.8</v>
      </c>
      <c r="R51" s="160">
        <v>-58</v>
      </c>
      <c r="S51" s="160">
        <v>46.800000000000004</v>
      </c>
      <c r="T51" s="160">
        <v>-45</v>
      </c>
      <c r="U51" s="193">
        <v>-8.4</v>
      </c>
      <c r="V51" s="160">
        <v>-5.9</v>
      </c>
      <c r="W51" s="162">
        <f t="shared" si="67"/>
        <v>-289.12602739726037</v>
      </c>
      <c r="X51" s="162">
        <f t="shared" si="67"/>
        <v>139.48904109589063</v>
      </c>
      <c r="Y51" s="162">
        <f t="shared" si="67"/>
        <v>173.59315068493191</v>
      </c>
      <c r="Z51" s="289">
        <f t="shared" si="66"/>
        <v>18.056164383562191</v>
      </c>
      <c r="AA51" s="160">
        <v>-38</v>
      </c>
      <c r="AB51" s="160">
        <v>-7</v>
      </c>
      <c r="AC51" s="160">
        <v>37</v>
      </c>
      <c r="AD51" s="160">
        <v>-30</v>
      </c>
      <c r="AE51" s="193">
        <v>-38</v>
      </c>
      <c r="AF51" s="160">
        <v>67</v>
      </c>
      <c r="AG51" s="160">
        <v>-50</v>
      </c>
      <c r="AH51" s="160">
        <v>47</v>
      </c>
      <c r="AI51" s="160">
        <v>-76</v>
      </c>
      <c r="AJ51" s="193">
        <v>-12</v>
      </c>
      <c r="AK51" s="160">
        <v>-11</v>
      </c>
      <c r="AL51" s="160">
        <v>-161</v>
      </c>
      <c r="AM51" s="160">
        <v>32</v>
      </c>
      <c r="AN51" s="160">
        <v>-83</v>
      </c>
      <c r="AO51" s="289">
        <f t="shared" si="68"/>
        <v>-223</v>
      </c>
      <c r="AP51" s="160">
        <v>74</v>
      </c>
      <c r="AQ51" s="160">
        <f>78-AP51</f>
        <v>4</v>
      </c>
      <c r="AR51" s="160">
        <f>151 -AQ51-AP51</f>
        <v>73</v>
      </c>
      <c r="AS51" s="206">
        <f t="shared" ref="AS51:AS56" si="75">AT51-AR51-AQ51-AP51</f>
        <v>-32</v>
      </c>
      <c r="AT51" s="193">
        <v>119</v>
      </c>
      <c r="AU51" s="160">
        <v>49</v>
      </c>
      <c r="AV51" s="160">
        <f>-6-AU51</f>
        <v>-55</v>
      </c>
      <c r="AW51" s="160">
        <f>25-AV51-AU51</f>
        <v>31</v>
      </c>
      <c r="AX51" s="160">
        <f>-36-AW51-AV51-AU51</f>
        <v>-61</v>
      </c>
      <c r="AY51" s="193">
        <v>-36</v>
      </c>
      <c r="AZ51" s="160">
        <v>12</v>
      </c>
      <c r="BA51" s="160">
        <f>-25 -AZ51</f>
        <v>-37</v>
      </c>
      <c r="BB51" s="162">
        <f t="shared" si="69"/>
        <v>7</v>
      </c>
      <c r="BC51" s="162">
        <f t="shared" si="69"/>
        <v>0</v>
      </c>
      <c r="BD51" s="289">
        <f t="shared" si="70"/>
        <v>-18</v>
      </c>
      <c r="BE51" s="162">
        <f>BC13-BE13</f>
        <v>0</v>
      </c>
      <c r="BF51" s="162">
        <f t="shared" si="71"/>
        <v>0</v>
      </c>
      <c r="BG51" s="162">
        <f t="shared" si="71"/>
        <v>0</v>
      </c>
      <c r="BH51" s="162">
        <f t="shared" si="71"/>
        <v>0</v>
      </c>
      <c r="BI51" s="289">
        <f t="shared" si="72"/>
        <v>0</v>
      </c>
      <c r="BJ51" s="162">
        <f>BH13-BJ13</f>
        <v>0</v>
      </c>
      <c r="BK51" s="162">
        <f t="shared" si="73"/>
        <v>0</v>
      </c>
      <c r="BL51" s="162">
        <f t="shared" si="73"/>
        <v>0</v>
      </c>
      <c r="BM51" s="162">
        <f t="shared" si="73"/>
        <v>0</v>
      </c>
      <c r="BN51" s="289">
        <f t="shared" si="74"/>
        <v>0</v>
      </c>
      <c r="BO51"/>
      <c r="BP51"/>
      <c r="BQ51"/>
    </row>
    <row r="52" spans="1:69" x14ac:dyDescent="0.35">
      <c r="A52" s="24"/>
      <c r="B52" s="35" t="s">
        <v>217</v>
      </c>
      <c r="C52" s="24"/>
      <c r="D52" s="24"/>
      <c r="E52" s="24"/>
      <c r="F52" s="193"/>
      <c r="G52" s="16"/>
      <c r="H52" s="16"/>
      <c r="I52" s="16"/>
      <c r="J52" s="16"/>
      <c r="K52" s="193">
        <v>6.6</v>
      </c>
      <c r="L52" s="206"/>
      <c r="M52" s="16"/>
      <c r="N52" s="147"/>
      <c r="O52" s="16"/>
      <c r="P52" s="193">
        <v>12.1</v>
      </c>
      <c r="Q52" s="160">
        <v>-14.5</v>
      </c>
      <c r="R52" s="160">
        <v>0.19999999999999929</v>
      </c>
      <c r="S52" s="160">
        <v>6.9</v>
      </c>
      <c r="T52" s="160">
        <v>-9.2000000000000011</v>
      </c>
      <c r="U52" s="193">
        <v>-16.600000000000001</v>
      </c>
      <c r="V52" s="160">
        <v>-13.5</v>
      </c>
      <c r="W52" s="162">
        <f>V20-W20</f>
        <v>155.39999999999998</v>
      </c>
      <c r="X52" s="162">
        <f>W20-X20</f>
        <v>-10.600000000002012</v>
      </c>
      <c r="Y52" s="162">
        <f>X20-Y20</f>
        <v>-154.09999999999741</v>
      </c>
      <c r="Z52" s="289">
        <f t="shared" si="66"/>
        <v>-22.799999999999443</v>
      </c>
      <c r="AA52" s="160">
        <v>-109</v>
      </c>
      <c r="AB52" s="160">
        <v>0</v>
      </c>
      <c r="AC52" s="160">
        <v>8</v>
      </c>
      <c r="AD52" s="160">
        <v>52</v>
      </c>
      <c r="AE52" s="193">
        <v>-49</v>
      </c>
      <c r="AF52" s="160">
        <v>-30</v>
      </c>
      <c r="AG52" s="160">
        <v>7</v>
      </c>
      <c r="AH52" s="160">
        <v>16</v>
      </c>
      <c r="AI52" s="160">
        <v>-19</v>
      </c>
      <c r="AJ52" s="193">
        <v>-26</v>
      </c>
      <c r="AK52" s="160">
        <v>-21</v>
      </c>
      <c r="AL52" s="160">
        <v>9</v>
      </c>
      <c r="AM52" s="160">
        <v>22</v>
      </c>
      <c r="AN52" s="160">
        <v>-58</v>
      </c>
      <c r="AO52" s="289">
        <f t="shared" si="68"/>
        <v>-48</v>
      </c>
      <c r="AP52" s="160">
        <v>-21</v>
      </c>
      <c r="AQ52" s="160">
        <f>-24-AP52</f>
        <v>-3</v>
      </c>
      <c r="AR52" s="160">
        <f>-31-AQ52-AP52</f>
        <v>-7</v>
      </c>
      <c r="AS52" s="206">
        <f t="shared" si="75"/>
        <v>-38</v>
      </c>
      <c r="AT52" s="193">
        <v>-69</v>
      </c>
      <c r="AU52" s="160">
        <v>-19</v>
      </c>
      <c r="AV52" s="160">
        <f>-1-AU52</f>
        <v>18</v>
      </c>
      <c r="AW52" s="160">
        <f>-1-AV52-AU52</f>
        <v>0</v>
      </c>
      <c r="AX52" s="160">
        <f>-17-AW52-AV52-AU52</f>
        <v>-16</v>
      </c>
      <c r="AY52" s="193">
        <v>-17</v>
      </c>
      <c r="AZ52" s="160">
        <v>-19</v>
      </c>
      <c r="BA52" s="160">
        <f>-24-AZ52</f>
        <v>-5</v>
      </c>
      <c r="BB52" s="162">
        <f>BA20-BB20</f>
        <v>0</v>
      </c>
      <c r="BC52" s="162">
        <f>BB20-BC20</f>
        <v>0</v>
      </c>
      <c r="BD52" s="289">
        <f t="shared" si="70"/>
        <v>-24</v>
      </c>
      <c r="BE52" s="162">
        <f>BC20-BE20</f>
        <v>0</v>
      </c>
      <c r="BF52" s="162">
        <f>BE20-BF20</f>
        <v>0</v>
      </c>
      <c r="BG52" s="162">
        <f>BF20-BG20</f>
        <v>0</v>
      </c>
      <c r="BH52" s="162">
        <f>BG20-BH20</f>
        <v>0</v>
      </c>
      <c r="BI52" s="289">
        <f t="shared" si="72"/>
        <v>0</v>
      </c>
      <c r="BJ52" s="162">
        <f>BH20-BJ20</f>
        <v>0</v>
      </c>
      <c r="BK52" s="162">
        <f>BJ20-BK20</f>
        <v>0</v>
      </c>
      <c r="BL52" s="162">
        <f>BK20-BL20</f>
        <v>0</v>
      </c>
      <c r="BM52" s="162">
        <f>BL20-BM20</f>
        <v>0</v>
      </c>
      <c r="BN52" s="289">
        <f t="shared" si="74"/>
        <v>0</v>
      </c>
      <c r="BO52"/>
      <c r="BP52"/>
      <c r="BQ52"/>
    </row>
    <row r="53" spans="1:69" x14ac:dyDescent="0.35">
      <c r="A53" s="24"/>
      <c r="B53" s="35" t="s">
        <v>204</v>
      </c>
      <c r="C53" s="24"/>
      <c r="D53" s="24"/>
      <c r="E53" s="24"/>
      <c r="F53" s="193"/>
      <c r="G53" s="16"/>
      <c r="H53" s="16"/>
      <c r="I53" s="16"/>
      <c r="J53" s="16"/>
      <c r="K53" s="193">
        <v>902.4</v>
      </c>
      <c r="L53" s="206"/>
      <c r="M53" s="16"/>
      <c r="N53" s="147"/>
      <c r="O53" s="16"/>
      <c r="P53" s="193">
        <v>-638.4</v>
      </c>
      <c r="Q53" s="160">
        <v>-224.2</v>
      </c>
      <c r="R53" s="160">
        <v>61</v>
      </c>
      <c r="S53" s="160">
        <v>-13.300000000000011</v>
      </c>
      <c r="T53" s="160">
        <v>42.5</v>
      </c>
      <c r="U53" s="193">
        <v>-134</v>
      </c>
      <c r="V53" s="160">
        <v>-179.5</v>
      </c>
      <c r="W53" s="162">
        <f>W24-V24</f>
        <v>103.79863013698628</v>
      </c>
      <c r="X53" s="162">
        <f>X24-W24</f>
        <v>13.019178082191729</v>
      </c>
      <c r="Y53" s="162">
        <f>Y24-X24</f>
        <v>164.21917808219189</v>
      </c>
      <c r="Z53" s="289">
        <f t="shared" si="66"/>
        <v>101.53698630136989</v>
      </c>
      <c r="AA53" s="160">
        <v>-186</v>
      </c>
      <c r="AB53" s="160">
        <v>149</v>
      </c>
      <c r="AC53" s="160">
        <v>9</v>
      </c>
      <c r="AD53" s="160">
        <v>275</v>
      </c>
      <c r="AE53" s="193">
        <v>247</v>
      </c>
      <c r="AF53" s="160">
        <v>-206</v>
      </c>
      <c r="AG53" s="160">
        <v>24</v>
      </c>
      <c r="AH53" s="160">
        <v>162</v>
      </c>
      <c r="AI53" s="160">
        <v>89</v>
      </c>
      <c r="AJ53" s="193">
        <f>-11+80</f>
        <v>69</v>
      </c>
      <c r="AK53" s="160">
        <v>-296</v>
      </c>
      <c r="AL53" s="160">
        <v>20</v>
      </c>
      <c r="AM53" s="160">
        <v>-82</v>
      </c>
      <c r="AN53" s="160">
        <v>197</v>
      </c>
      <c r="AO53" s="289">
        <f t="shared" si="68"/>
        <v>-161</v>
      </c>
      <c r="AP53" s="160">
        <v>-178</v>
      </c>
      <c r="AQ53" s="160">
        <f>-86-AP53</f>
        <v>92</v>
      </c>
      <c r="AR53" s="160">
        <f>-61-AQ53-AP53</f>
        <v>25</v>
      </c>
      <c r="AS53" s="206">
        <f t="shared" si="75"/>
        <v>137</v>
      </c>
      <c r="AT53" s="193">
        <v>76</v>
      </c>
      <c r="AU53" s="160">
        <v>-110</v>
      </c>
      <c r="AV53" s="160">
        <f>-82-AU53</f>
        <v>28</v>
      </c>
      <c r="AW53" s="160">
        <f>45-AV53-AU53</f>
        <v>127</v>
      </c>
      <c r="AX53" s="160">
        <f>225-AW53-AV53-AU53</f>
        <v>180</v>
      </c>
      <c r="AY53" s="193">
        <v>225</v>
      </c>
      <c r="AZ53" s="160">
        <v>-292</v>
      </c>
      <c r="BA53" s="160">
        <f>-341-AZ53</f>
        <v>-49</v>
      </c>
      <c r="BB53" s="162">
        <f ca="1">BB24-BA24</f>
        <v>64.000000000000227</v>
      </c>
      <c r="BC53" s="162">
        <f ca="1">BC24-BB24</f>
        <v>282.7680574552237</v>
      </c>
      <c r="BD53" s="289">
        <f t="shared" ca="1" si="70"/>
        <v>5.768057455223925</v>
      </c>
      <c r="BE53" s="162">
        <f>BE24-BC24</f>
        <v>-199.82512888122665</v>
      </c>
      <c r="BF53" s="162">
        <f>BF24-BE24</f>
        <v>-100.58281120838637</v>
      </c>
      <c r="BG53" s="162">
        <f ca="1">BG24-BF24</f>
        <v>86.710451718395007</v>
      </c>
      <c r="BH53" s="162">
        <f ca="1">BH24-BG24</f>
        <v>300.47776449141475</v>
      </c>
      <c r="BI53" s="289">
        <f t="shared" ca="1" si="72"/>
        <v>86.780276120196731</v>
      </c>
      <c r="BJ53" s="162">
        <f>BJ24-BH24</f>
        <v>-228.89404282480336</v>
      </c>
      <c r="BK53" s="162">
        <f>BK24-BJ24</f>
        <v>-105.86422139959382</v>
      </c>
      <c r="BL53" s="162">
        <f ca="1">BL24-BK24</f>
        <v>94.108059647343225</v>
      </c>
      <c r="BM53" s="162">
        <f ca="1">BM24-BL24</f>
        <v>318.23376638746618</v>
      </c>
      <c r="BN53" s="289">
        <f t="shared" ca="1" si="74"/>
        <v>77.58356181041222</v>
      </c>
      <c r="BO53"/>
      <c r="BP53"/>
      <c r="BQ53"/>
    </row>
    <row r="54" spans="1:69" x14ac:dyDescent="0.35">
      <c r="A54" s="24"/>
      <c r="B54" s="35" t="s">
        <v>207</v>
      </c>
      <c r="C54" s="24"/>
      <c r="D54" s="24"/>
      <c r="E54" s="24"/>
      <c r="F54" s="193"/>
      <c r="G54" s="16"/>
      <c r="H54" s="16"/>
      <c r="I54" s="16"/>
      <c r="J54" s="16"/>
      <c r="K54" s="193">
        <v>74.900000000000006</v>
      </c>
      <c r="L54" s="206"/>
      <c r="M54" s="16"/>
      <c r="N54" s="147"/>
      <c r="O54" s="16"/>
      <c r="P54" s="193">
        <v>72.900000000000006</v>
      </c>
      <c r="Q54" s="160">
        <v>167.7</v>
      </c>
      <c r="R54" s="160">
        <v>-112.39999999999999</v>
      </c>
      <c r="S54" s="160">
        <v>-90.6</v>
      </c>
      <c r="T54" s="160">
        <v>174.2</v>
      </c>
      <c r="U54" s="193">
        <v>138.9</v>
      </c>
      <c r="V54" s="160">
        <v>103.9</v>
      </c>
      <c r="W54" s="162">
        <f>W28-V28</f>
        <v>-269.49863013698609</v>
      </c>
      <c r="X54" s="162">
        <f>X28-W28</f>
        <v>285.08082191780818</v>
      </c>
      <c r="Y54" s="162">
        <f>Y28-X28</f>
        <v>-390.21917808219212</v>
      </c>
      <c r="Z54" s="289">
        <f t="shared" si="66"/>
        <v>-270.73698630137005</v>
      </c>
      <c r="AA54" s="160">
        <v>64</v>
      </c>
      <c r="AB54" s="160">
        <v>-124</v>
      </c>
      <c r="AC54" s="160">
        <v>-111</v>
      </c>
      <c r="AD54" s="160">
        <v>142</v>
      </c>
      <c r="AE54" s="193">
        <v>-29</v>
      </c>
      <c r="AF54" s="160">
        <v>146</v>
      </c>
      <c r="AG54" s="160">
        <v>-97</v>
      </c>
      <c r="AH54" s="160">
        <v>-124</v>
      </c>
      <c r="AI54" s="160">
        <v>140</v>
      </c>
      <c r="AJ54" s="193">
        <v>65</v>
      </c>
      <c r="AK54" s="160">
        <v>290</v>
      </c>
      <c r="AL54" s="160">
        <v>-198</v>
      </c>
      <c r="AM54" s="160">
        <v>-112</v>
      </c>
      <c r="AN54" s="160">
        <v>40</v>
      </c>
      <c r="AO54" s="289">
        <f t="shared" si="68"/>
        <v>20</v>
      </c>
      <c r="AP54" s="160">
        <v>296</v>
      </c>
      <c r="AQ54" s="160">
        <f>97-AP54</f>
        <v>-199</v>
      </c>
      <c r="AR54" s="160">
        <f>-35-AQ54-AP54</f>
        <v>-132</v>
      </c>
      <c r="AS54" s="206">
        <f t="shared" si="75"/>
        <v>59</v>
      </c>
      <c r="AT54" s="193">
        <v>24</v>
      </c>
      <c r="AU54" s="160">
        <v>308</v>
      </c>
      <c r="AV54" s="160">
        <f>120-AU54</f>
        <v>-188</v>
      </c>
      <c r="AW54" s="160">
        <f>-51-AV54-AU54</f>
        <v>-171</v>
      </c>
      <c r="AX54" s="160">
        <f>154-AW54-AV54-AU54</f>
        <v>205</v>
      </c>
      <c r="AY54" s="193">
        <v>154</v>
      </c>
      <c r="AZ54" s="160">
        <v>261</v>
      </c>
      <c r="BA54" s="160">
        <f>26 -AZ54</f>
        <v>-235</v>
      </c>
      <c r="BB54" s="162">
        <f ca="1">(BB28-BA28)+(BB32-BA32)</f>
        <v>-208</v>
      </c>
      <c r="BC54" s="162">
        <f ca="1">(BC28-BB28)+(BC32-BB32)</f>
        <v>169.33825372861156</v>
      </c>
      <c r="BD54" s="289">
        <f t="shared" ca="1" si="70"/>
        <v>-12.661746271388438</v>
      </c>
      <c r="BE54" s="162">
        <f>(BE28-BD28)+(BE32-BD32)</f>
        <v>399.0551346899008</v>
      </c>
      <c r="BF54" s="162">
        <f>(BF28-BE28)+(BF32-BE32)</f>
        <v>-224.45873055331845</v>
      </c>
      <c r="BG54" s="162">
        <f ca="1">(BG28-BF28)+(BG32-BF32)</f>
        <v>-235.02063463991317</v>
      </c>
      <c r="BH54" s="162">
        <f ca="1">(BH28-BG28)+(BH32-BG32)</f>
        <v>184.93608233345799</v>
      </c>
      <c r="BI54" s="289">
        <f t="shared" ca="1" si="72"/>
        <v>124.51185183012717</v>
      </c>
      <c r="BJ54" s="162">
        <f>(BJ28-BI28)+(BJ32-BI32)</f>
        <v>426.48422031359473</v>
      </c>
      <c r="BK54" s="162">
        <f>(BK28-BJ28)+(BK32-BJ32)</f>
        <v>-241.82555931033608</v>
      </c>
      <c r="BL54" s="162">
        <f ca="1">(BL28-BK28)+(BL32-BK32)</f>
        <v>-252.54773072276839</v>
      </c>
      <c r="BM54" s="162">
        <f ca="1">(BM28-BL28)+(BM32-BL32)</f>
        <v>199.6616022526955</v>
      </c>
      <c r="BN54" s="289">
        <f t="shared" ca="1" si="74"/>
        <v>131.77253253318577</v>
      </c>
      <c r="BO54"/>
      <c r="BP54"/>
      <c r="BQ54"/>
    </row>
    <row r="55" spans="1:69" x14ac:dyDescent="0.35">
      <c r="A55" s="24"/>
      <c r="B55" s="35" t="s">
        <v>218</v>
      </c>
      <c r="C55" s="24"/>
      <c r="D55" s="24"/>
      <c r="E55" s="24"/>
      <c r="F55" s="193"/>
      <c r="G55" s="16"/>
      <c r="H55" s="16"/>
      <c r="I55" s="16"/>
      <c r="J55" s="16"/>
      <c r="K55" s="193">
        <v>2.2000000000000002</v>
      </c>
      <c r="L55" s="206"/>
      <c r="M55" s="16"/>
      <c r="N55" s="147"/>
      <c r="O55" s="16"/>
      <c r="P55" s="193">
        <v>63</v>
      </c>
      <c r="Q55" s="160">
        <v>-17.899999999999999</v>
      </c>
      <c r="R55" s="160">
        <v>-15.700000000000003</v>
      </c>
      <c r="S55" s="160">
        <v>76.400000000000006</v>
      </c>
      <c r="T55" s="160">
        <v>15.799999999999997</v>
      </c>
      <c r="U55" s="193">
        <v>58.6</v>
      </c>
      <c r="V55" s="160">
        <v>-21.9</v>
      </c>
      <c r="W55" s="162">
        <f>SUM(W32,W33,W35)-SUM(V32,V33,V35)</f>
        <v>-251.900000000001</v>
      </c>
      <c r="X55" s="162">
        <f>SUM(X32,X33,X35)-SUM(W32,W33,W35)</f>
        <v>-363.49999999999795</v>
      </c>
      <c r="Y55" s="162">
        <f>SUM(Y32,Y33,Y35)-SUM(X32,X33,X35)</f>
        <v>547.00000000000114</v>
      </c>
      <c r="Z55" s="289">
        <f t="shared" si="66"/>
        <v>-90.299999999997794</v>
      </c>
      <c r="AA55" s="160"/>
      <c r="AB55" s="160">
        <v>0</v>
      </c>
      <c r="AC55" s="160">
        <v>0</v>
      </c>
      <c r="AD55" s="160">
        <v>-12</v>
      </c>
      <c r="AE55" s="193">
        <v>-12</v>
      </c>
      <c r="AF55" s="160">
        <v>-78</v>
      </c>
      <c r="AG55" s="160">
        <v>3</v>
      </c>
      <c r="AH55" s="160">
        <v>-4</v>
      </c>
      <c r="AI55" s="160">
        <v>-105</v>
      </c>
      <c r="AJ55" s="193">
        <v>-184</v>
      </c>
      <c r="AK55" s="160">
        <v>-18</v>
      </c>
      <c r="AL55" s="160">
        <v>-26</v>
      </c>
      <c r="AM55" s="160">
        <v>3</v>
      </c>
      <c r="AN55" s="160">
        <v>8</v>
      </c>
      <c r="AO55" s="289">
        <f t="shared" si="68"/>
        <v>-33</v>
      </c>
      <c r="AP55" s="160">
        <v>-119</v>
      </c>
      <c r="AQ55" s="160">
        <f>-120-AP55</f>
        <v>-1</v>
      </c>
      <c r="AR55" s="160">
        <f>-114-AQ55-AP55</f>
        <v>6</v>
      </c>
      <c r="AS55" s="206">
        <f t="shared" si="75"/>
        <v>-15</v>
      </c>
      <c r="AT55" s="193">
        <v>-129</v>
      </c>
      <c r="AU55" s="160">
        <v>6</v>
      </c>
      <c r="AV55" s="160">
        <f>12-AU55</f>
        <v>6</v>
      </c>
      <c r="AW55" s="160">
        <f>12-AV55-AU55</f>
        <v>0</v>
      </c>
      <c r="AX55" s="160">
        <f>18-AW55-AV55-AU55</f>
        <v>6</v>
      </c>
      <c r="AY55" s="193">
        <v>18</v>
      </c>
      <c r="AZ55" s="160">
        <v>6</v>
      </c>
      <c r="BA55" s="160">
        <f>10-AZ55</f>
        <v>4</v>
      </c>
      <c r="BB55" s="162">
        <f>SUM(BB32,BB33,BB35)-SUM(BA32,BA33,BA35)</f>
        <v>0</v>
      </c>
      <c r="BC55" s="162">
        <f>SUM(BC32,BC33,BC35)-SUM(BB32,BB33,BB35)</f>
        <v>0</v>
      </c>
      <c r="BD55" s="289">
        <f t="shared" si="70"/>
        <v>10</v>
      </c>
      <c r="BE55" s="162">
        <f>SUM(BE32,BE33,BE35)-SUM(BC32,BC33,BC35)</f>
        <v>0</v>
      </c>
      <c r="BF55" s="162">
        <f>SUM(BF32,BF33,BF35)-SUM(BE32,BE33,BE35)</f>
        <v>0</v>
      </c>
      <c r="BG55" s="162">
        <f>SUM(BG32,BG33,BG35)-SUM(BF32,BF33,BF35)</f>
        <v>0</v>
      </c>
      <c r="BH55" s="162">
        <f>SUM(BH32,BH33,BH35)-SUM(BG32,BG33,BG35)</f>
        <v>0</v>
      </c>
      <c r="BI55" s="289">
        <f t="shared" si="72"/>
        <v>0</v>
      </c>
      <c r="BJ55" s="162">
        <f>SUM(BJ32,BJ33,BJ35)-SUM(BH32,BH33,BH35)</f>
        <v>0</v>
      </c>
      <c r="BK55" s="162">
        <f>SUM(BK32,BK33,BK35)-SUM(BJ32,BJ33,BJ35)</f>
        <v>0</v>
      </c>
      <c r="BL55" s="162">
        <f>SUM(BL32,BL33,BL35)-SUM(BK32,BK33,BK35)</f>
        <v>0</v>
      </c>
      <c r="BM55" s="162">
        <f>SUM(BM32,BM33,BM35)-SUM(BL32,BL33,BL35)</f>
        <v>0</v>
      </c>
      <c r="BN55" s="289">
        <f t="shared" si="74"/>
        <v>0</v>
      </c>
      <c r="BO55"/>
      <c r="BP55"/>
      <c r="BQ55"/>
    </row>
    <row r="56" spans="1:69" x14ac:dyDescent="0.35">
      <c r="A56" s="24"/>
      <c r="B56" s="35" t="s">
        <v>37</v>
      </c>
      <c r="C56" s="24"/>
      <c r="D56" s="24"/>
      <c r="E56" s="24"/>
      <c r="F56" s="193"/>
      <c r="G56" s="16"/>
      <c r="H56" s="16"/>
      <c r="I56" s="16"/>
      <c r="J56" s="16"/>
      <c r="K56" s="193">
        <f>25.3+6.3</f>
        <v>31.6</v>
      </c>
      <c r="L56" s="206"/>
      <c r="M56" s="16"/>
      <c r="N56" s="147"/>
      <c r="O56" s="16"/>
      <c r="P56" s="193">
        <f>262.9-5.9</f>
        <v>257</v>
      </c>
      <c r="Q56" s="160">
        <v>5.7</v>
      </c>
      <c r="R56" s="160">
        <v>10.199999999999999</v>
      </c>
      <c r="S56" s="160">
        <v>-49</v>
      </c>
      <c r="T56" s="160">
        <v>49.1</v>
      </c>
      <c r="U56" s="193">
        <f>-25.9+41.9</f>
        <v>16</v>
      </c>
      <c r="V56" s="160">
        <f>-2.5+21.6</f>
        <v>19.100000000000001</v>
      </c>
      <c r="W56" s="160">
        <v>866.09999999999729</v>
      </c>
      <c r="X56" s="160">
        <v>-370</v>
      </c>
      <c r="Y56" s="160">
        <v>-149</v>
      </c>
      <c r="Z56" s="289">
        <f t="shared" si="66"/>
        <v>366.19999999999732</v>
      </c>
      <c r="AA56" s="160">
        <v>-9</v>
      </c>
      <c r="AB56" s="160">
        <v>5</v>
      </c>
      <c r="AC56" s="160">
        <v>-8</v>
      </c>
      <c r="AD56" s="160">
        <v>-99</v>
      </c>
      <c r="AE56" s="193">
        <v>-111</v>
      </c>
      <c r="AF56" s="160">
        <v>-36</v>
      </c>
      <c r="AG56" s="160">
        <v>-28</v>
      </c>
      <c r="AH56" s="160">
        <v>9</v>
      </c>
      <c r="AI56" s="160">
        <v>13</v>
      </c>
      <c r="AJ56" s="193">
        <f>-55+13</f>
        <v>-42</v>
      </c>
      <c r="AK56" s="160">
        <v>-9</v>
      </c>
      <c r="AL56" s="160">
        <v>-34</v>
      </c>
      <c r="AM56" s="160">
        <v>-12</v>
      </c>
      <c r="AN56" s="160">
        <v>-2</v>
      </c>
      <c r="AO56" s="289">
        <f t="shared" si="68"/>
        <v>-57</v>
      </c>
      <c r="AP56" s="160">
        <f>-24-5</f>
        <v>-29</v>
      </c>
      <c r="AQ56" s="160">
        <f>-9-22-AP56</f>
        <v>-2</v>
      </c>
      <c r="AR56" s="160">
        <f>-16-36-AQ56-AP56</f>
        <v>-21</v>
      </c>
      <c r="AS56" s="206">
        <f t="shared" si="75"/>
        <v>5</v>
      </c>
      <c r="AT56" s="193">
        <f>-26-21</f>
        <v>-47</v>
      </c>
      <c r="AU56" s="160">
        <f>-7-14</f>
        <v>-21</v>
      </c>
      <c r="AV56" s="160">
        <f>-15+13-AU56</f>
        <v>19</v>
      </c>
      <c r="AW56" s="160">
        <v>50</v>
      </c>
      <c r="AX56" s="160">
        <f>26-33-AW56-AV56-AU56</f>
        <v>-55</v>
      </c>
      <c r="AY56" s="193">
        <f>26-33</f>
        <v>-7</v>
      </c>
      <c r="AZ56" s="160">
        <f>-7-8</f>
        <v>-15</v>
      </c>
      <c r="BA56" s="160">
        <f>6-19-5-AZ56</f>
        <v>-3</v>
      </c>
      <c r="BB56" s="160"/>
      <c r="BC56" s="160"/>
      <c r="BD56" s="289">
        <f t="shared" si="70"/>
        <v>-18</v>
      </c>
      <c r="BE56" s="160"/>
      <c r="BF56" s="160"/>
      <c r="BG56" s="160"/>
      <c r="BH56" s="160"/>
      <c r="BI56" s="289">
        <f t="shared" si="72"/>
        <v>0</v>
      </c>
      <c r="BJ56" s="160"/>
      <c r="BK56" s="160"/>
      <c r="BL56" s="160"/>
      <c r="BM56" s="160"/>
      <c r="BN56" s="289">
        <f t="shared" si="74"/>
        <v>0</v>
      </c>
      <c r="BO56"/>
      <c r="BP56"/>
      <c r="BQ56"/>
    </row>
    <row r="57" spans="1:69" x14ac:dyDescent="0.35">
      <c r="A57" s="24"/>
      <c r="B57" s="24" t="s">
        <v>82</v>
      </c>
      <c r="C57" s="24"/>
      <c r="D57" s="24"/>
      <c r="E57" s="24"/>
      <c r="F57" s="194">
        <v>1198.0999999999999</v>
      </c>
      <c r="G57" s="16"/>
      <c r="H57" s="16"/>
      <c r="I57" s="16"/>
      <c r="J57" s="16"/>
      <c r="K57" s="194">
        <f>SUM(K50:K56,K43:K48)</f>
        <v>1259.2</v>
      </c>
      <c r="L57" s="188"/>
      <c r="M57" s="16"/>
      <c r="N57" s="147"/>
      <c r="O57" s="16"/>
      <c r="P57" s="194">
        <f t="shared" ref="P57:AE57" si="76">SUM(P50:P56,P43:P48)</f>
        <v>754.59999999999991</v>
      </c>
      <c r="Q57" s="163">
        <f t="shared" si="76"/>
        <v>391.50000000000006</v>
      </c>
      <c r="R57" s="163">
        <f t="shared" si="76"/>
        <v>385.8</v>
      </c>
      <c r="S57" s="163">
        <f t="shared" si="76"/>
        <v>307.3</v>
      </c>
      <c r="T57" s="163">
        <f t="shared" si="76"/>
        <v>376.50000000000006</v>
      </c>
      <c r="U57" s="194">
        <f t="shared" si="76"/>
        <v>1461.1000000000001</v>
      </c>
      <c r="V57" s="163">
        <f t="shared" si="76"/>
        <v>367.1</v>
      </c>
      <c r="W57" s="163">
        <f t="shared" si="76"/>
        <v>747.79999999999654</v>
      </c>
      <c r="X57" s="163">
        <f t="shared" si="76"/>
        <v>83.700000000000244</v>
      </c>
      <c r="Y57" s="163">
        <f t="shared" si="76"/>
        <v>476.70000000000391</v>
      </c>
      <c r="Z57" s="194">
        <f t="shared" si="76"/>
        <v>1675.3000000000006</v>
      </c>
      <c r="AA57" s="163">
        <f t="shared" si="76"/>
        <v>345.4</v>
      </c>
      <c r="AB57" s="163">
        <f t="shared" si="76"/>
        <v>632</v>
      </c>
      <c r="AC57" s="163">
        <f t="shared" si="76"/>
        <v>511</v>
      </c>
      <c r="AD57" s="163">
        <f t="shared" si="76"/>
        <v>658</v>
      </c>
      <c r="AE57" s="194">
        <f t="shared" si="76"/>
        <v>2146</v>
      </c>
      <c r="AF57" s="163">
        <f>SUM(AF43:AF56)</f>
        <v>676</v>
      </c>
      <c r="AG57" s="188">
        <f>SUM(AG50:AG56,AG43:AG48)</f>
        <v>594</v>
      </c>
      <c r="AH57" s="188">
        <f>SUM(AH50:AH56,AH43:AH48)</f>
        <v>436</v>
      </c>
      <c r="AI57" s="163">
        <f>AJ57-SUM(AF57:AH57)</f>
        <v>299</v>
      </c>
      <c r="AJ57" s="194">
        <f t="shared" ref="AJ57:AR57" si="77">SUM(AJ50:AJ56,AJ43:AJ48)</f>
        <v>2005</v>
      </c>
      <c r="AK57" s="163">
        <f t="shared" si="77"/>
        <v>470</v>
      </c>
      <c r="AL57" s="163">
        <f t="shared" si="77"/>
        <v>291</v>
      </c>
      <c r="AM57" s="163">
        <f t="shared" si="77"/>
        <v>336</v>
      </c>
      <c r="AN57" s="163">
        <f t="shared" si="77"/>
        <v>377</v>
      </c>
      <c r="AO57" s="194">
        <f t="shared" si="77"/>
        <v>1474</v>
      </c>
      <c r="AP57" s="163">
        <f t="shared" si="77"/>
        <v>608</v>
      </c>
      <c r="AQ57" s="163">
        <f t="shared" si="77"/>
        <v>604</v>
      </c>
      <c r="AR57" s="163">
        <f t="shared" si="77"/>
        <v>462</v>
      </c>
      <c r="AS57" s="163">
        <f t="shared" ref="AS57:AX57" si="78">SUM(AS50:AS56,AS43:AS48)</f>
        <v>477</v>
      </c>
      <c r="AT57" s="194">
        <f t="shared" si="78"/>
        <v>2151</v>
      </c>
      <c r="AU57" s="163">
        <f t="shared" si="78"/>
        <v>775</v>
      </c>
      <c r="AV57" s="163">
        <f t="shared" si="78"/>
        <v>686</v>
      </c>
      <c r="AW57" s="163">
        <f t="shared" si="78"/>
        <v>703</v>
      </c>
      <c r="AX57" s="163">
        <f t="shared" si="78"/>
        <v>674</v>
      </c>
      <c r="AY57" s="194">
        <f t="shared" ref="AY57:BD57" si="79">SUM(AY50:AY56,AY43:AY48)</f>
        <v>2838</v>
      </c>
      <c r="AZ57" s="163">
        <f t="shared" si="79"/>
        <v>757</v>
      </c>
      <c r="BA57" s="163">
        <f t="shared" si="79"/>
        <v>543</v>
      </c>
      <c r="BB57" s="163">
        <f t="shared" ca="1" si="79"/>
        <v>709.98859780160672</v>
      </c>
      <c r="BC57" s="163">
        <f t="shared" ca="1" si="79"/>
        <v>813.15961614574212</v>
      </c>
      <c r="BD57" s="194">
        <f t="shared" ca="1" si="79"/>
        <v>2823.1482139473487</v>
      </c>
      <c r="BE57" s="163">
        <f t="shared" ref="BE57:BN57" ca="1" si="80">SUM(BE50:BE56,BE43:BE48)</f>
        <v>1143.5390881446542</v>
      </c>
      <c r="BF57" s="163">
        <f t="shared" ca="1" si="80"/>
        <v>644.65116815881061</v>
      </c>
      <c r="BG57" s="163">
        <f t="shared" ca="1" si="80"/>
        <v>722.53358029030858</v>
      </c>
      <c r="BH57" s="163">
        <f t="shared" ca="1" si="80"/>
        <v>922.9386450055357</v>
      </c>
      <c r="BI57" s="194">
        <f t="shared" ca="1" si="80"/>
        <v>3433.6624815993091</v>
      </c>
      <c r="BJ57" s="163">
        <f t="shared" ca="1" si="80"/>
        <v>1247.1057881973163</v>
      </c>
      <c r="BK57" s="163">
        <f t="shared" ca="1" si="80"/>
        <v>729.00454302072148</v>
      </c>
      <c r="BL57" s="163">
        <f t="shared" ca="1" si="80"/>
        <v>814.42138206094296</v>
      </c>
      <c r="BM57" s="163">
        <f t="shared" ca="1" si="80"/>
        <v>1020.764717543341</v>
      </c>
      <c r="BN57" s="194">
        <f t="shared" ca="1" si="80"/>
        <v>3811.2964308223218</v>
      </c>
      <c r="BO57"/>
      <c r="BP57"/>
      <c r="BQ57"/>
    </row>
    <row r="58" spans="1:69" x14ac:dyDescent="0.35">
      <c r="A58" s="24"/>
      <c r="B58" s="24"/>
      <c r="C58" s="24"/>
      <c r="D58" s="24"/>
      <c r="E58" s="24"/>
      <c r="F58" s="39"/>
      <c r="G58" s="16"/>
      <c r="H58" s="16"/>
      <c r="I58" s="16"/>
      <c r="J58" s="16"/>
      <c r="K58" s="39"/>
      <c r="L58" s="16"/>
      <c r="M58" s="16"/>
      <c r="N58" s="147"/>
      <c r="O58" s="16"/>
      <c r="P58" s="39"/>
      <c r="Q58" s="16"/>
      <c r="R58" s="16"/>
      <c r="S58" s="16"/>
      <c r="T58" s="16"/>
      <c r="U58" s="39"/>
      <c r="V58" s="16"/>
      <c r="W58" s="16"/>
      <c r="X58" s="16"/>
      <c r="Y58" s="16"/>
      <c r="Z58" s="39"/>
      <c r="AA58" s="16"/>
      <c r="AB58" s="16"/>
      <c r="AC58" s="16"/>
      <c r="AD58" s="16"/>
      <c r="AE58" s="39"/>
      <c r="AF58" s="16"/>
      <c r="AG58" s="16"/>
      <c r="AH58" s="16"/>
      <c r="AI58" s="16"/>
      <c r="AJ58" s="39"/>
      <c r="AK58" s="16"/>
      <c r="AL58" s="16"/>
      <c r="AM58" s="16"/>
      <c r="AN58" s="16"/>
      <c r="AO58" s="39"/>
      <c r="AP58" s="16"/>
      <c r="AQ58" s="16"/>
      <c r="AR58" s="16"/>
      <c r="AS58" s="16"/>
      <c r="AT58" s="39"/>
      <c r="AU58" s="16"/>
      <c r="AV58" s="16"/>
      <c r="AW58" s="16"/>
      <c r="AX58" s="16"/>
      <c r="AY58" s="39"/>
      <c r="AZ58" s="16"/>
      <c r="BA58" s="16"/>
      <c r="BB58" s="16"/>
      <c r="BC58" s="16"/>
      <c r="BD58" s="39"/>
      <c r="BE58" s="16"/>
      <c r="BF58" s="16"/>
      <c r="BG58" s="16"/>
      <c r="BH58" s="16"/>
      <c r="BI58" s="39"/>
      <c r="BJ58" s="16"/>
      <c r="BK58" s="16"/>
      <c r="BL58" s="16"/>
      <c r="BM58" s="16"/>
      <c r="BN58" s="39"/>
      <c r="BO58"/>
      <c r="BP58"/>
      <c r="BQ58"/>
    </row>
    <row r="59" spans="1:69" x14ac:dyDescent="0.35">
      <c r="A59" s="24"/>
      <c r="B59" s="24" t="s">
        <v>88</v>
      </c>
      <c r="C59" s="24"/>
      <c r="D59" s="24"/>
      <c r="E59" s="24"/>
      <c r="F59" s="433"/>
      <c r="G59" s="16"/>
      <c r="H59" s="16"/>
      <c r="I59" s="16"/>
      <c r="J59" s="16"/>
      <c r="K59" s="433"/>
      <c r="L59" s="16"/>
      <c r="M59" s="16"/>
      <c r="N59" s="147"/>
      <c r="O59" s="16"/>
      <c r="P59" s="433"/>
      <c r="Q59" s="16"/>
      <c r="R59" s="16"/>
      <c r="S59" s="16"/>
      <c r="T59" s="16"/>
      <c r="U59" s="39"/>
      <c r="V59" s="16"/>
      <c r="W59" s="16"/>
      <c r="X59" s="16"/>
      <c r="Y59" s="16"/>
      <c r="Z59" s="39"/>
      <c r="AA59" s="16"/>
      <c r="AB59" s="16"/>
      <c r="AC59" s="16"/>
      <c r="AD59" s="16"/>
      <c r="AE59" s="39"/>
      <c r="AF59" s="16"/>
      <c r="AG59" s="16"/>
      <c r="AH59" s="16"/>
      <c r="AI59" s="16"/>
      <c r="AJ59" s="39"/>
      <c r="AK59" s="16"/>
      <c r="AL59" s="16"/>
      <c r="AM59" s="16"/>
      <c r="AN59" s="16"/>
      <c r="AO59" s="39"/>
      <c r="AP59" s="16"/>
      <c r="AQ59" s="16"/>
      <c r="AR59" s="16"/>
      <c r="AS59" s="16"/>
      <c r="AT59" s="39"/>
      <c r="AU59" s="16"/>
      <c r="AV59" s="16"/>
      <c r="AW59" s="16"/>
      <c r="AX59" s="16"/>
      <c r="AY59" s="39"/>
      <c r="AZ59" s="16"/>
      <c r="BA59" s="16"/>
      <c r="BB59" s="16"/>
      <c r="BC59" s="16"/>
      <c r="BD59" s="39"/>
      <c r="BE59" s="16"/>
      <c r="BF59" s="16"/>
      <c r="BG59" s="16"/>
      <c r="BH59" s="16"/>
      <c r="BI59" s="39"/>
      <c r="BJ59" s="16"/>
      <c r="BK59" s="16"/>
      <c r="BL59" s="16"/>
      <c r="BM59" s="16"/>
      <c r="BN59" s="39"/>
      <c r="BO59"/>
      <c r="BP59"/>
      <c r="BQ59"/>
    </row>
    <row r="60" spans="1:69" x14ac:dyDescent="0.35">
      <c r="A60" s="24"/>
      <c r="B60" s="35" t="s">
        <v>83</v>
      </c>
      <c r="C60" s="24"/>
      <c r="D60" s="24"/>
      <c r="E60" s="24"/>
      <c r="F60" s="193">
        <v>-89</v>
      </c>
      <c r="G60" s="16"/>
      <c r="H60" s="16"/>
      <c r="I60" s="16"/>
      <c r="J60" s="16"/>
      <c r="K60" s="193">
        <v>-115.2</v>
      </c>
      <c r="L60" s="206"/>
      <c r="M60" s="16"/>
      <c r="N60" s="147"/>
      <c r="O60" s="16"/>
      <c r="P60" s="193">
        <v>-90.6</v>
      </c>
      <c r="Q60" s="160">
        <v>-15</v>
      </c>
      <c r="R60" s="160">
        <v>-22.9</v>
      </c>
      <c r="S60" s="160">
        <v>-25</v>
      </c>
      <c r="T60" s="160">
        <v>-27.500000000000007</v>
      </c>
      <c r="U60" s="193">
        <v>-90.4</v>
      </c>
      <c r="V60" s="160">
        <v>-20</v>
      </c>
      <c r="W60" s="160">
        <v>-38.700000000000003</v>
      </c>
      <c r="X60" s="160">
        <v>-10</v>
      </c>
      <c r="Y60" s="160">
        <v>0</v>
      </c>
      <c r="Z60" s="289">
        <f>SUM(V60:Y60)</f>
        <v>-68.7</v>
      </c>
      <c r="AA60" s="160">
        <v>-21</v>
      </c>
      <c r="AB60" s="160">
        <v>-41</v>
      </c>
      <c r="AC60" s="160">
        <v>-21</v>
      </c>
      <c r="AD60" s="160">
        <v>-20</v>
      </c>
      <c r="AE60" s="193">
        <v>-103</v>
      </c>
      <c r="AF60" s="160">
        <v>-14</v>
      </c>
      <c r="AG60" s="160">
        <v>-30</v>
      </c>
      <c r="AH60" s="160">
        <v>-33</v>
      </c>
      <c r="AI60" s="160">
        <v>-62</v>
      </c>
      <c r="AJ60" s="193">
        <v>-139</v>
      </c>
      <c r="AK60" s="160">
        <v>-59</v>
      </c>
      <c r="AL60" s="160">
        <v>-74</v>
      </c>
      <c r="AM60" s="160">
        <v>-71</v>
      </c>
      <c r="AN60" s="160">
        <v>-79</v>
      </c>
      <c r="AO60" s="289">
        <f>SUM(AK60:AN60)</f>
        <v>-283</v>
      </c>
      <c r="AP60" s="160">
        <v>-73</v>
      </c>
      <c r="AQ60" s="160">
        <f>-127-AP60</f>
        <v>-54</v>
      </c>
      <c r="AR60" s="160">
        <f>-198-AQ60-AP60</f>
        <v>-71</v>
      </c>
      <c r="AS60" s="206">
        <f>AT60-AR60-AQ60-AP60</f>
        <v>-73</v>
      </c>
      <c r="AT60" s="193">
        <v>-271</v>
      </c>
      <c r="AU60" s="160">
        <v>-78</v>
      </c>
      <c r="AV60" s="160">
        <f>-171-AU60</f>
        <v>-93</v>
      </c>
      <c r="AW60" s="160">
        <f>-243-AV60-AU60</f>
        <v>-72</v>
      </c>
      <c r="AX60" s="160">
        <f>-317-AW60-AV60-AU60</f>
        <v>-74</v>
      </c>
      <c r="AY60" s="193">
        <v>-317</v>
      </c>
      <c r="AZ60" s="160">
        <v>-85</v>
      </c>
      <c r="BA60" s="160">
        <f>-160-AZ60</f>
        <v>-75</v>
      </c>
      <c r="BB60" s="160">
        <f>-245-BA60-AZ60</f>
        <v>-85</v>
      </c>
      <c r="BC60" s="160">
        <f>AX60-20</f>
        <v>-94</v>
      </c>
      <c r="BD60" s="289">
        <f>SUM(AZ60:BC60)</f>
        <v>-339</v>
      </c>
      <c r="BE60" s="160">
        <f>AZ60-2.5</f>
        <v>-87.5</v>
      </c>
      <c r="BF60" s="160">
        <f>BA60-2.5</f>
        <v>-77.5</v>
      </c>
      <c r="BG60" s="160">
        <f>BB60-2.5</f>
        <v>-87.5</v>
      </c>
      <c r="BH60" s="160">
        <f>BC60-2.5</f>
        <v>-96.5</v>
      </c>
      <c r="BI60" s="289">
        <f>SUM(BE60:BH60)</f>
        <v>-349</v>
      </c>
      <c r="BJ60" s="160">
        <f>BE60-2.5</f>
        <v>-90</v>
      </c>
      <c r="BK60" s="160">
        <f>BF60-2.5</f>
        <v>-80</v>
      </c>
      <c r="BL60" s="160">
        <f>BG60-2.5</f>
        <v>-90</v>
      </c>
      <c r="BM60" s="160">
        <f>BH60-2.5</f>
        <v>-99</v>
      </c>
      <c r="BN60" s="289">
        <f>SUM(BJ60:BM60)</f>
        <v>-359</v>
      </c>
      <c r="BO60"/>
      <c r="BP60"/>
      <c r="BQ60"/>
    </row>
    <row r="61" spans="1:69" x14ac:dyDescent="0.35">
      <c r="A61" s="58"/>
      <c r="B61" s="145" t="s">
        <v>30</v>
      </c>
      <c r="C61" s="58"/>
      <c r="D61" s="58"/>
      <c r="E61" s="58"/>
      <c r="F61" s="207">
        <f>-F60/IS!S25</f>
        <v>2.5541684603242933E-2</v>
      </c>
      <c r="G61" s="332"/>
      <c r="H61" s="332"/>
      <c r="I61" s="332"/>
      <c r="J61" s="332"/>
      <c r="K61" s="207">
        <f>-K60/IS!X25</f>
        <v>3.1962710171466624E-2</v>
      </c>
      <c r="L61" s="260"/>
      <c r="M61" s="332"/>
      <c r="N61" s="147"/>
      <c r="O61" s="332"/>
      <c r="P61" s="207">
        <f>-P60/IS!AC25</f>
        <v>2.1550391284698267E-2</v>
      </c>
      <c r="Q61" s="460">
        <f>-Q60/IS!AD25</f>
        <v>1.3313215585337712E-2</v>
      </c>
      <c r="R61" s="460">
        <f>-R60/IS!AE25</f>
        <v>1.9487703174197939E-2</v>
      </c>
      <c r="S61" s="460">
        <f>-S60/IS!AF25</f>
        <v>2.3131014063656551E-2</v>
      </c>
      <c r="T61" s="460">
        <f>-T60/IS!AG25</f>
        <v>2.5940948967078586E-2</v>
      </c>
      <c r="U61" s="207">
        <f>-U60/IS!AH25</f>
        <v>2.0347986584734509E-2</v>
      </c>
      <c r="V61" s="460">
        <f>-V60/IS!AI25</f>
        <v>1.7511601435951318E-2</v>
      </c>
      <c r="W61" s="460">
        <f>-W60/IS!AJ25</f>
        <v>3.1888595912986158E-2</v>
      </c>
      <c r="X61" s="460">
        <f>-X60/IS!AK25</f>
        <v>8.0612656187021361E-3</v>
      </c>
      <c r="Y61" s="460">
        <f>-Y60/IS!AL25</f>
        <v>0</v>
      </c>
      <c r="Z61" s="436">
        <f>-Z60/IS!AM25</f>
        <v>1.4225958750931833E-2</v>
      </c>
      <c r="AA61" s="437">
        <f>-AA60/IS!AN25</f>
        <v>1.627906976744186E-2</v>
      </c>
      <c r="AB61" s="437">
        <f>-AB60/IS!AO25</f>
        <v>2.8571428571428571E-2</v>
      </c>
      <c r="AC61" s="437">
        <f>-AC60/IS!AP25</f>
        <v>1.5486725663716814E-2</v>
      </c>
      <c r="AD61" s="437">
        <f>-AD60/IS!AQ25</f>
        <v>1.5503875968992248E-2</v>
      </c>
      <c r="AE61" s="436">
        <f>-AE60/IS!AR25</f>
        <v>1.9177061999627629E-2</v>
      </c>
      <c r="AF61" s="437">
        <f>-AF60/IS!AS25</f>
        <v>8.7500000000000008E-3</v>
      </c>
      <c r="AG61" s="437">
        <f>-AG60/IS!AT25</f>
        <v>1.9317450096587252E-2</v>
      </c>
      <c r="AH61" s="437">
        <f>-AH60/IS!AU25</f>
        <v>2.1625163826998691E-2</v>
      </c>
      <c r="AI61" s="437">
        <f>-AI60/IS!AV25</f>
        <v>4.028589993502274E-2</v>
      </c>
      <c r="AJ61" s="436">
        <f>-AJ60/IS!AW25</f>
        <v>2.2354454808620135E-2</v>
      </c>
      <c r="AK61" s="437">
        <f>-AK60/IS!AX25</f>
        <v>3.8764783180026283E-2</v>
      </c>
      <c r="AL61" s="437">
        <f>-AL60/IS!AY25</f>
        <v>5.3584359160028967E-2</v>
      </c>
      <c r="AM61" s="437">
        <f>-AM60/IS!AZ25</f>
        <v>5.5686274509803922E-2</v>
      </c>
      <c r="AN61" s="437">
        <f>-AN60/IS!BA25</f>
        <v>6.1240310077519379E-2</v>
      </c>
      <c r="AO61" s="436">
        <f>-AO60/IS!BB25</f>
        <v>5.1755669348939284E-2</v>
      </c>
      <c r="AP61" s="460">
        <f>-AP60/IS!BC25</f>
        <v>4.9659863945578232E-2</v>
      </c>
      <c r="AQ61" s="460">
        <f>-AQ60/IS!BD25</f>
        <v>3.614457831325301E-2</v>
      </c>
      <c r="AR61" s="460">
        <f>-AR60/IS!BE25</f>
        <v>4.8233695652173912E-2</v>
      </c>
      <c r="AS61" s="460">
        <f>-AS60/IS!BF25</f>
        <v>4.9324324324324327E-2</v>
      </c>
      <c r="AT61" s="207">
        <f>-AT60/IS!BG25</f>
        <v>4.58079783637593E-2</v>
      </c>
      <c r="AU61" s="460">
        <f>-AU60/IS!BH25</f>
        <v>4.3673012318029114E-2</v>
      </c>
      <c r="AV61" s="460">
        <f>-AV60/IS!BI25</f>
        <v>5.1183269124931208E-2</v>
      </c>
      <c r="AW61" s="460">
        <f>-AW60/IS!BJ25</f>
        <v>3.9713182570325425E-2</v>
      </c>
      <c r="AX61" s="460">
        <f>-AX60/IS!BK25</f>
        <v>4.4258373205741629E-2</v>
      </c>
      <c r="AY61" s="207">
        <f>-AY60/IS!BL25</f>
        <v>4.4723476297968398E-2</v>
      </c>
      <c r="AZ61" s="460">
        <f>-AZ60/IS!BM25</f>
        <v>4.4178794178794181E-2</v>
      </c>
      <c r="BA61" s="460">
        <f>-BA60/IS!BN25</f>
        <v>3.9515279241306642E-2</v>
      </c>
      <c r="BB61" s="460">
        <f>-BB60/IS!BO25</f>
        <v>4.2406070553723502E-2</v>
      </c>
      <c r="BC61" s="460">
        <f>-BC60/IS!BP25</f>
        <v>5.0859248911480415E-2</v>
      </c>
      <c r="BD61" s="207">
        <f>-BD60/IS!BQ25</f>
        <v>4.4171291442348326E-2</v>
      </c>
      <c r="BE61" s="460">
        <f>-BE60/IS!BR25</f>
        <v>4.1526260983003396E-2</v>
      </c>
      <c r="BF61" s="460">
        <f>-BF60/IS!BS25</f>
        <v>3.7698208672851848E-2</v>
      </c>
      <c r="BG61" s="460">
        <f>-BG60/IS!BT25</f>
        <v>4.0557784787484626E-2</v>
      </c>
      <c r="BH61" s="460">
        <f>-BH60/IS!BU25</f>
        <v>4.8434105131526052E-2</v>
      </c>
      <c r="BI61" s="207">
        <f>-BI60/IS!BV25</f>
        <v>4.1983879847470894E-2</v>
      </c>
      <c r="BJ61" s="460">
        <f>-BJ60/IS!BW25</f>
        <v>3.9690461425501082E-2</v>
      </c>
      <c r="BK61" s="460">
        <f>-BK60/IS!BX25</f>
        <v>3.6166008892825834E-2</v>
      </c>
      <c r="BL61" s="460">
        <f>-BL60/IS!BY25</f>
        <v>3.8762606463622451E-2</v>
      </c>
      <c r="BM61" s="460">
        <f>-BM60/IS!BZ25</f>
        <v>4.6154626152697997E-2</v>
      </c>
      <c r="BN61" s="207">
        <f>-BN60/IS!CA25</f>
        <v>4.0128060278236524E-2</v>
      </c>
      <c r="BO61"/>
      <c r="BP61"/>
      <c r="BQ61"/>
    </row>
    <row r="62" spans="1:69" x14ac:dyDescent="0.35">
      <c r="A62" s="58"/>
      <c r="B62" s="145" t="s">
        <v>434</v>
      </c>
      <c r="C62" s="58"/>
      <c r="D62" s="58"/>
      <c r="E62" s="58"/>
      <c r="F62" s="207"/>
      <c r="G62" s="332"/>
      <c r="H62" s="332"/>
      <c r="I62" s="332"/>
      <c r="J62" s="332"/>
      <c r="K62" s="207"/>
      <c r="L62" s="260"/>
      <c r="M62" s="332"/>
      <c r="N62" s="147"/>
      <c r="O62" s="332"/>
      <c r="P62" s="207"/>
      <c r="Q62" s="437">
        <f>-SUM(Q60,O60,N60,M60)/SUM(IS!AD25,IS!AB25,IS!AA25,IS!Z25)</f>
        <v>3.4438424097713288E-3</v>
      </c>
      <c r="R62" s="437">
        <f>-SUM(R60,Q60,O60,N60)/SUM(IS!AF25,IS!AE25,IS!AD25,IS!AB25)</f>
        <v>8.3331501066379373E-3</v>
      </c>
      <c r="S62" s="437">
        <f>-SUM(S60,R60,P60,O60)/SUM(IS!AG25,IS!AF25,IS!AE25,IS!AC25)</f>
        <v>1.8417308280474994E-2</v>
      </c>
      <c r="T62" s="437">
        <f>-SUM(T60,S60,R60,Q60)/SUM(IS!AG25,IS!AF25,IS!AD25,IS!AD25)</f>
        <v>2.0572104772091124E-2</v>
      </c>
      <c r="U62" s="538">
        <f>U61</f>
        <v>2.0347986584734509E-2</v>
      </c>
      <c r="V62" s="437">
        <f>-SUM(V60,T60,S60,R60)/SUM(IS!AI25,IS!AG25,IS!AF25,IS!AE25)</f>
        <v>2.1399250801911126E-2</v>
      </c>
      <c r="W62" s="437">
        <f>-SUM(W60,V60,T60,S60)/SUM(IS!AK25,IS!AJ25,IS!AI25,IS!AG25)</f>
        <v>2.3881622747675194E-2</v>
      </c>
      <c r="X62" s="437">
        <f>-SUM(X60,W60,U60,T60)/SUM(IS!AL25,IS!AK25,IS!AJ25,IS!AH25)</f>
        <v>2.0492509040812814E-2</v>
      </c>
      <c r="Y62" s="437">
        <f>-SUM(Y60,X60,W60,V60)/SUM(IS!AL25,IS!AK25,IS!AI25,IS!AI25)</f>
        <v>1.4439750299514472E-2</v>
      </c>
      <c r="Z62" s="538">
        <f>Z61</f>
        <v>1.4225958750931833E-2</v>
      </c>
      <c r="AA62" s="437">
        <f>-SUM(AA60,Y60,X60,W60)/SUM(IS!AN25,IS!AL25,IS!AK25,IS!AJ25)</f>
        <v>1.4004138956420406E-2</v>
      </c>
      <c r="AB62" s="437">
        <f>-SUM(AB60,AA60,Y60,X60)/SUM(IS!AP25,IS!AO25,IS!AN25,IS!AL25)</f>
        <v>1.3549115543846444E-2</v>
      </c>
      <c r="AC62" s="437">
        <f>-SUM(AC60,AB60,Z60,Y60)/SUM(IS!AQ25,IS!AP25,IS!AO25,IS!AM25)</f>
        <v>1.466858207447644E-2</v>
      </c>
      <c r="AD62" s="437">
        <f>-SUM(AD60,AC60,AB60,AA60)/SUM(IS!AQ25,IS!AP25,IS!AN25,IS!AN25)</f>
        <v>1.9709146574818218E-2</v>
      </c>
      <c r="AE62" s="538">
        <f>AE61</f>
        <v>1.9177061999627629E-2</v>
      </c>
      <c r="AF62" s="437">
        <f>-SUM(AF60,AD60,AC60,AB60)/SUM(IS!AS25,IS!AQ25,IS!AP25,IS!AO25)</f>
        <v>1.6898433374405913E-2</v>
      </c>
      <c r="AG62" s="437">
        <f>-SUM(AG60,AF60,AD60,AC60)/SUM(IS!AT25,IS!AS25,IS!AQ25,IS!AP25)</f>
        <v>1.4657699603379893E-2</v>
      </c>
      <c r="AH62" s="437">
        <f>-SUM(AH60,AG60,AF60,AD60)/SUM(IS!AU25,IS!AT25,IS!AS25,IS!AQ25)</f>
        <v>1.6250628245937343E-2</v>
      </c>
      <c r="AI62" s="437">
        <f>-SUM(AI60,AH60,AG60,AF60)/SUM(IS!AV25,IS!AU25,IS!AT25,IS!AS25)</f>
        <v>2.2354454808620135E-2</v>
      </c>
      <c r="AJ62" s="538">
        <f>AJ61</f>
        <v>2.2354454808620135E-2</v>
      </c>
      <c r="AK62" s="437">
        <f>-SUM(AK60,AI60,AH60,AG60)/SUM(IS!AX25,IS!AV25,IS!AU25,IS!AT25)</f>
        <v>2.9967426710097719E-2</v>
      </c>
      <c r="AL62" s="437">
        <f>-SUM(AL60,AK60,AI60,AH60)/SUM(IS!AY25,IS!AX25,IS!AV25,IS!AU25)</f>
        <v>3.8203753351206432E-2</v>
      </c>
      <c r="AM62" s="437">
        <f>-SUM(AM60,AL60,AK60,AI60)/SUM(IS!AZ25,IS!AY25,IS!AX25,IS!AV25)</f>
        <v>4.6527899247857267E-2</v>
      </c>
      <c r="AN62" s="437">
        <f>-SUM(AN60,AM60,AL60,AK60)/SUM(IS!BA25,IS!AZ25,IS!AY25,IS!AX25)</f>
        <v>5.1755669348939284E-2</v>
      </c>
      <c r="AO62" s="538">
        <f>AO61</f>
        <v>5.1755669348939284E-2</v>
      </c>
      <c r="AP62" s="460">
        <f>-SUM(AP60,AN60,AM60,AL60)/SUM(IS!BC25,IS!BA25,IS!AZ25,IS!AY25)</f>
        <v>5.4837518463810929E-2</v>
      </c>
      <c r="AQ62" s="460">
        <f>-SUM(AQ60,AP60,AN60,AM60)/SUM(IS!BD25,IS!BC25,IS!BA25,IS!AZ25)</f>
        <v>5.0099475492855851E-2</v>
      </c>
      <c r="AR62" s="460">
        <f>-SUM(AR60,AQ60,AP60,AN60)/SUM(IS!BE25,IS!BD25,IS!BC25,IS!BA25)</f>
        <v>4.8375829549423682E-2</v>
      </c>
      <c r="AS62" s="460">
        <f>-SUM(AS60,AR60,AQ60,AP60)/SUM(IS!BF25,IS!BE25,IS!BD25,IS!BC25)</f>
        <v>4.58079783637593E-2</v>
      </c>
      <c r="AT62" s="261">
        <f>AT61</f>
        <v>4.58079783637593E-2</v>
      </c>
      <c r="AU62" s="460">
        <f>-SUM(AU60,AS60,AR60,AQ60)/SUM(IS!BD25:BF25,IS!BH25)</f>
        <v>4.4287548138639284E-2</v>
      </c>
      <c r="AV62" s="460">
        <f>-SUM(AV60,AU60,AS60,AR60)/SUM(IS!BE25:BF25,IS!BH25:BI25)</f>
        <v>4.8054919908466817E-2</v>
      </c>
      <c r="AW62" s="460">
        <f>-SUM(AW60,AV60,AU60,AS60)/SUM(IS!BF25,IS!BH25:BJ25)</f>
        <v>4.5823665893271463E-2</v>
      </c>
      <c r="AX62" s="460">
        <f>-SUM(AX60,AW60,AV60,AU60)/SUM(IS!BH25:BK25)</f>
        <v>4.4723476297968398E-2</v>
      </c>
      <c r="AY62" s="207">
        <f>-AY60/IS!BL25</f>
        <v>4.4723476297968398E-2</v>
      </c>
      <c r="AZ62" s="460">
        <f>-SUM(AZ60,AX60,AW60,AV60)/SUM(IS!BI25:BK25,IS!BM25)</f>
        <v>4.483808469415998E-2</v>
      </c>
      <c r="BA62" s="460">
        <f>-SUM(BA60,AZ60,AX60,AW60)/SUM(IS!BJ25:BK25,IS!BM25:BN25)</f>
        <v>4.1877651566990554E-2</v>
      </c>
      <c r="BB62" s="460">
        <f>-SUM(BB60,BA60,AZ60,AX60)/SUM(IS!BK25,IS!BM25:BO25)</f>
        <v>4.2542238841997593E-2</v>
      </c>
      <c r="BC62" s="460">
        <f>-SUM(BC60,BB60,BA60,AZ60)/SUM(IS!BM25:BP25)</f>
        <v>4.4171291442348326E-2</v>
      </c>
      <c r="BD62" s="207">
        <f>-BD60/IS!BQ25</f>
        <v>4.4171291442348326E-2</v>
      </c>
      <c r="BE62" s="460">
        <f>-SUM(BE60,BC60,BB60,BA60)/SUM(IS!BN25:BP25,IS!BR25)</f>
        <v>4.3460176069920739E-2</v>
      </c>
      <c r="BF62" s="460">
        <f>-SUM(BF60,BE60,BC60,BB60)/SUM(IS!BO25:BP25,IS!BR25:BS25)</f>
        <v>4.2916478944062558E-2</v>
      </c>
      <c r="BG62" s="460">
        <f>-SUM(BG60,BF60,BE60,BC60)/SUM(IS!BP25,IS!BR25:BT25)</f>
        <v>4.241876472562621E-2</v>
      </c>
      <c r="BH62" s="460">
        <f>-SUM(BH60,BG60,BF60,BE60)/SUM(IS!BR25:BU25)</f>
        <v>4.198387984747088E-2</v>
      </c>
      <c r="BI62" s="207">
        <f>-BI60/IS!BV25</f>
        <v>4.1983879847470894E-2</v>
      </c>
      <c r="BJ62" s="460">
        <f>-SUM(BJ60,BH60,BG60,BF60)/SUM(IS!BS25:BU25,IS!BW25)</f>
        <v>4.1483926429958635E-2</v>
      </c>
      <c r="BK62" s="460">
        <f>-SUM(BK60,BJ60,BH60,BG60)/SUM(IS!BT25:BU25,IS!BW25:BX25)</f>
        <v>4.1022634017099255E-2</v>
      </c>
      <c r="BL62" s="460">
        <f>-SUM(BL60,BK60,BJ60,BH60)/SUM(IS!BU25,IS!BW25:BY25)</f>
        <v>4.053996214348049E-2</v>
      </c>
      <c r="BM62" s="460">
        <f>-SUM(BM60,BL60,BK60,BJ60)/SUM(IS!BW25:BZ25)</f>
        <v>4.0128060278236524E-2</v>
      </c>
      <c r="BN62" s="207">
        <f>-BN60/IS!CA25</f>
        <v>4.0128060278236524E-2</v>
      </c>
      <c r="BO62"/>
      <c r="BP62"/>
      <c r="BQ62"/>
    </row>
    <row r="63" spans="1:69" x14ac:dyDescent="0.35">
      <c r="A63" s="24"/>
      <c r="B63" s="35" t="s">
        <v>219</v>
      </c>
      <c r="C63" s="24"/>
      <c r="D63" s="24"/>
      <c r="E63" s="24"/>
      <c r="F63" s="193"/>
      <c r="G63" s="16"/>
      <c r="H63" s="16"/>
      <c r="I63" s="16"/>
      <c r="J63" s="16"/>
      <c r="K63" s="193">
        <v>-379.9</v>
      </c>
      <c r="L63" s="206"/>
      <c r="M63" s="16"/>
      <c r="N63" s="147"/>
      <c r="O63" s="16"/>
      <c r="P63" s="193">
        <v>-170.1</v>
      </c>
      <c r="Q63" s="160">
        <v>-50.3</v>
      </c>
      <c r="R63" s="160">
        <v>-41.900000000000006</v>
      </c>
      <c r="S63" s="160">
        <v>-50.3</v>
      </c>
      <c r="T63" s="160">
        <v>-50.5</v>
      </c>
      <c r="U63" s="193">
        <v>-193</v>
      </c>
      <c r="V63" s="160">
        <v>-37.799999999999997</v>
      </c>
      <c r="W63" s="160">
        <v>-10</v>
      </c>
      <c r="X63" s="160">
        <v>-30</v>
      </c>
      <c r="Y63" s="160">
        <v>-30</v>
      </c>
      <c r="Z63" s="289">
        <f>SUM(V63:Y63)</f>
        <v>-107.8</v>
      </c>
      <c r="AA63" s="160">
        <v>-55</v>
      </c>
      <c r="AB63" s="160">
        <v>-8</v>
      </c>
      <c r="AC63" s="160">
        <v>-10</v>
      </c>
      <c r="AD63" s="160">
        <v>-4</v>
      </c>
      <c r="AE63" s="193">
        <f>-181+104</f>
        <v>-77</v>
      </c>
      <c r="AF63" s="160">
        <v>-30</v>
      </c>
      <c r="AG63" s="160">
        <v>6</v>
      </c>
      <c r="AH63" s="160">
        <v>-11</v>
      </c>
      <c r="AI63" s="160">
        <v>-255</v>
      </c>
      <c r="AJ63" s="193">
        <f>-437+147</f>
        <v>-290</v>
      </c>
      <c r="AK63" s="160">
        <v>-19</v>
      </c>
      <c r="AL63" s="160">
        <v>-64</v>
      </c>
      <c r="AM63" s="160">
        <v>-8</v>
      </c>
      <c r="AN63" s="160">
        <v>-11</v>
      </c>
      <c r="AO63" s="289">
        <f>SUM(AK63:AN63)</f>
        <v>-102</v>
      </c>
      <c r="AP63" s="160">
        <f>-45+55</f>
        <v>10</v>
      </c>
      <c r="AQ63" s="160">
        <f>-55+82-AP63</f>
        <v>17</v>
      </c>
      <c r="AR63" s="160">
        <f>-108+116-AQ63-AP63</f>
        <v>-19</v>
      </c>
      <c r="AS63" s="206">
        <f>AT63-AR63-AQ63-AP63</f>
        <v>11</v>
      </c>
      <c r="AT63" s="193">
        <f>-143+162</f>
        <v>19</v>
      </c>
      <c r="AU63" s="160">
        <f>-50+46</f>
        <v>-4</v>
      </c>
      <c r="AV63" s="160">
        <f>-87+81-AU63</f>
        <v>-2</v>
      </c>
      <c r="AW63" s="160">
        <f>-623+105-AV63-AU63</f>
        <v>-512</v>
      </c>
      <c r="AX63" s="160">
        <f>-651+135-AW63-AV63-AU63</f>
        <v>2</v>
      </c>
      <c r="AY63" s="193">
        <f>-651+135</f>
        <v>-516</v>
      </c>
      <c r="AZ63" s="160">
        <f>551-41</f>
        <v>510</v>
      </c>
      <c r="BA63" s="160">
        <f>-118+579-AZ63</f>
        <v>-49</v>
      </c>
      <c r="BB63" s="206">
        <f>BA11-BB11</f>
        <v>0</v>
      </c>
      <c r="BC63" s="206">
        <f>BB11-BC11</f>
        <v>0</v>
      </c>
      <c r="BD63" s="289">
        <f>SUM(AZ63:BC63)</f>
        <v>461</v>
      </c>
      <c r="BE63" s="206">
        <f>BD11-BE11</f>
        <v>0</v>
      </c>
      <c r="BF63" s="206">
        <f>BE11-BF11</f>
        <v>0</v>
      </c>
      <c r="BG63" s="206">
        <f>BF11-BG11</f>
        <v>0</v>
      </c>
      <c r="BH63" s="206">
        <f>BG11-BH11</f>
        <v>0</v>
      </c>
      <c r="BI63" s="289">
        <f>SUM(BE63:BH63)</f>
        <v>0</v>
      </c>
      <c r="BJ63" s="206">
        <f>BI11-BJ11</f>
        <v>0</v>
      </c>
      <c r="BK63" s="206">
        <f>BJ11-BK11</f>
        <v>0</v>
      </c>
      <c r="BL63" s="206">
        <f>BK11-BL11</f>
        <v>0</v>
      </c>
      <c r="BM63" s="206">
        <f>BL11-BM11</f>
        <v>0</v>
      </c>
      <c r="BN63" s="289">
        <f>SUM(BJ63:BM63)</f>
        <v>0</v>
      </c>
      <c r="BO63"/>
      <c r="BP63"/>
      <c r="BQ63"/>
    </row>
    <row r="64" spans="1:69" x14ac:dyDescent="0.35">
      <c r="A64" s="24"/>
      <c r="B64" s="35" t="s">
        <v>85</v>
      </c>
      <c r="C64" s="24"/>
      <c r="D64" s="24"/>
      <c r="E64" s="24"/>
      <c r="F64" s="193"/>
      <c r="G64" s="16"/>
      <c r="H64" s="16"/>
      <c r="I64" s="16"/>
      <c r="J64" s="16"/>
      <c r="K64" s="193">
        <v>699.5</v>
      </c>
      <c r="L64" s="206"/>
      <c r="M64" s="16"/>
      <c r="N64" s="147"/>
      <c r="O64" s="16"/>
      <c r="P64" s="193">
        <v>238.5</v>
      </c>
      <c r="Q64" s="160">
        <v>41.1</v>
      </c>
      <c r="R64" s="160">
        <v>37.999999999999993</v>
      </c>
      <c r="S64" s="160">
        <v>41.800000000000011</v>
      </c>
      <c r="T64" s="160">
        <v>39.699999999999989</v>
      </c>
      <c r="U64" s="193">
        <v>160.6</v>
      </c>
      <c r="V64" s="160">
        <v>50.6</v>
      </c>
      <c r="W64" s="160">
        <v>0</v>
      </c>
      <c r="X64" s="160">
        <v>0</v>
      </c>
      <c r="Y64" s="160">
        <v>0</v>
      </c>
      <c r="Z64" s="289">
        <f>SUM(V64:Y64)</f>
        <v>50.6</v>
      </c>
      <c r="AA64" s="160">
        <v>-696</v>
      </c>
      <c r="AB64" s="160">
        <v>-2</v>
      </c>
      <c r="AC64" s="160">
        <v>-1</v>
      </c>
      <c r="AD64" s="160">
        <v>-198</v>
      </c>
      <c r="AE64" s="193">
        <v>-897</v>
      </c>
      <c r="AF64" s="160">
        <v>0</v>
      </c>
      <c r="AG64" s="160">
        <v>12</v>
      </c>
      <c r="AH64" s="160">
        <v>-12</v>
      </c>
      <c r="AI64" s="160">
        <v>0</v>
      </c>
      <c r="AJ64" s="193">
        <v>0</v>
      </c>
      <c r="AK64" s="160">
        <v>0</v>
      </c>
      <c r="AL64" s="160">
        <v>0</v>
      </c>
      <c r="AM64" s="160">
        <v>0</v>
      </c>
      <c r="AN64" s="160">
        <v>0</v>
      </c>
      <c r="AO64" s="289">
        <f>SUM(AK64:AN64)</f>
        <v>0</v>
      </c>
      <c r="AP64" s="160">
        <v>0</v>
      </c>
      <c r="AQ64" s="160">
        <v>0</v>
      </c>
      <c r="AR64" s="160">
        <v>0</v>
      </c>
      <c r="AS64" s="206">
        <f>AT64-AR64-AQ64-AP64</f>
        <v>13</v>
      </c>
      <c r="AT64" s="193">
        <v>13</v>
      </c>
      <c r="AU64" s="160">
        <v>0</v>
      </c>
      <c r="AV64" s="160">
        <v>0</v>
      </c>
      <c r="AW64" s="160">
        <v>0</v>
      </c>
      <c r="AX64" s="160">
        <v>2</v>
      </c>
      <c r="AY64" s="193">
        <v>2</v>
      </c>
      <c r="AZ64" s="160">
        <v>0</v>
      </c>
      <c r="BA64" s="160">
        <f>0-AZ64</f>
        <v>0</v>
      </c>
      <c r="BB64" s="160">
        <v>0</v>
      </c>
      <c r="BC64" s="160">
        <v>0</v>
      </c>
      <c r="BD64" s="289">
        <f>SUM(AZ64:BC64)</f>
        <v>0</v>
      </c>
      <c r="BE64" s="160">
        <v>0</v>
      </c>
      <c r="BF64" s="160">
        <v>0</v>
      </c>
      <c r="BG64" s="160">
        <v>0</v>
      </c>
      <c r="BH64" s="160">
        <v>0</v>
      </c>
      <c r="BI64" s="289">
        <f>SUM(BE64:BH64)</f>
        <v>0</v>
      </c>
      <c r="BJ64" s="160">
        <v>0</v>
      </c>
      <c r="BK64" s="160">
        <v>0</v>
      </c>
      <c r="BL64" s="160">
        <v>0</v>
      </c>
      <c r="BM64" s="160">
        <v>0</v>
      </c>
      <c r="BN64" s="289">
        <f>SUM(BJ64:BM64)</f>
        <v>0</v>
      </c>
      <c r="BO64"/>
      <c r="BP64"/>
      <c r="BQ64"/>
    </row>
    <row r="65" spans="1:69" x14ac:dyDescent="0.35">
      <c r="A65" s="24"/>
      <c r="B65" s="35" t="s">
        <v>84</v>
      </c>
      <c r="C65" s="24"/>
      <c r="D65" s="24"/>
      <c r="E65" s="24"/>
      <c r="F65" s="193"/>
      <c r="G65" s="16"/>
      <c r="H65" s="16"/>
      <c r="I65" s="16"/>
      <c r="J65" s="16"/>
      <c r="K65" s="193">
        <v>-80.8</v>
      </c>
      <c r="L65" s="206"/>
      <c r="M65" s="16"/>
      <c r="N65" s="147"/>
      <c r="O65" s="16"/>
      <c r="P65" s="193">
        <v>-3511</v>
      </c>
      <c r="Q65" s="160">
        <v>0</v>
      </c>
      <c r="R65" s="160">
        <v>0</v>
      </c>
      <c r="S65" s="160">
        <v>5.7</v>
      </c>
      <c r="T65" s="160">
        <v>-295</v>
      </c>
      <c r="U65" s="193">
        <v>-289.3</v>
      </c>
      <c r="V65" s="160">
        <v>0</v>
      </c>
      <c r="W65" s="160">
        <v>0</v>
      </c>
      <c r="X65" s="160">
        <v>0</v>
      </c>
      <c r="Y65" s="160">
        <v>0</v>
      </c>
      <c r="Z65" s="289">
        <f>SUM(V65:Y65)</f>
        <v>0</v>
      </c>
      <c r="AA65" s="160">
        <v>0</v>
      </c>
      <c r="AB65" s="160">
        <v>0</v>
      </c>
      <c r="AC65" s="160">
        <v>0</v>
      </c>
      <c r="AD65" s="160">
        <v>0</v>
      </c>
      <c r="AE65" s="193">
        <v>0</v>
      </c>
      <c r="AF65" s="160">
        <f>-194-AF60-AF63</f>
        <v>-150</v>
      </c>
      <c r="AG65" s="160">
        <v>0</v>
      </c>
      <c r="AH65" s="160">
        <v>-1876</v>
      </c>
      <c r="AI65" s="160">
        <v>-153</v>
      </c>
      <c r="AJ65" s="193">
        <v>-2179</v>
      </c>
      <c r="AK65" s="160">
        <v>-83</v>
      </c>
      <c r="AL65" s="160">
        <v>-9</v>
      </c>
      <c r="AM65" s="160">
        <v>-5</v>
      </c>
      <c r="AN65" s="160">
        <v>0</v>
      </c>
      <c r="AO65" s="289">
        <f>SUM(AK65:AN65)</f>
        <v>-97</v>
      </c>
      <c r="AP65" s="160">
        <v>0</v>
      </c>
      <c r="AQ65" s="160">
        <f>-3-AP65</f>
        <v>-3</v>
      </c>
      <c r="AR65" s="160">
        <f>-3-AQ65</f>
        <v>0</v>
      </c>
      <c r="AS65" s="206">
        <f>AT65-AR65-AQ65-AP65</f>
        <v>-5</v>
      </c>
      <c r="AT65" s="193">
        <f>-5-3</f>
        <v>-8</v>
      </c>
      <c r="AU65" s="160">
        <v>-12</v>
      </c>
      <c r="AV65" s="160">
        <f>-12-AU65</f>
        <v>0</v>
      </c>
      <c r="AW65" s="160">
        <f>-110-AV65-AU65</f>
        <v>-98</v>
      </c>
      <c r="AX65" s="160">
        <f>-221-AW65-AV65-AU65</f>
        <v>-111</v>
      </c>
      <c r="AY65" s="193">
        <v>-221</v>
      </c>
      <c r="AZ65" s="160">
        <v>-223</v>
      </c>
      <c r="BA65" s="160">
        <f>-12-223-AZ65</f>
        <v>-12</v>
      </c>
      <c r="BB65" s="160">
        <v>0</v>
      </c>
      <c r="BC65" s="160">
        <v>0</v>
      </c>
      <c r="BD65" s="289">
        <f>SUM(AZ65:BC65)</f>
        <v>-235</v>
      </c>
      <c r="BE65" s="160">
        <v>0</v>
      </c>
      <c r="BF65" s="160">
        <v>0</v>
      </c>
      <c r="BG65" s="160">
        <v>0</v>
      </c>
      <c r="BH65" s="160">
        <v>0</v>
      </c>
      <c r="BI65" s="289">
        <f>SUM(BE65:BH65)</f>
        <v>0</v>
      </c>
      <c r="BJ65" s="160">
        <v>0</v>
      </c>
      <c r="BK65" s="160">
        <v>0</v>
      </c>
      <c r="BL65" s="160">
        <v>0</v>
      </c>
      <c r="BM65" s="160">
        <v>0</v>
      </c>
      <c r="BN65" s="289">
        <f>SUM(BJ65:BM65)</f>
        <v>0</v>
      </c>
      <c r="BO65"/>
      <c r="BP65"/>
      <c r="BQ65"/>
    </row>
    <row r="66" spans="1:69" x14ac:dyDescent="0.35">
      <c r="A66" s="24"/>
      <c r="B66" s="35" t="s">
        <v>37</v>
      </c>
      <c r="C66" s="24"/>
      <c r="D66" s="24"/>
      <c r="E66" s="24"/>
      <c r="F66" s="193"/>
      <c r="G66" s="16"/>
      <c r="H66" s="16"/>
      <c r="I66" s="16"/>
      <c r="J66" s="16"/>
      <c r="K66" s="193">
        <f>3.8-26.9+1.5</f>
        <v>-21.599999999999998</v>
      </c>
      <c r="L66" s="206"/>
      <c r="M66" s="16"/>
      <c r="N66" s="147"/>
      <c r="O66" s="16"/>
      <c r="P66" s="193">
        <f>111.1+2.1</f>
        <v>113.19999999999999</v>
      </c>
      <c r="Q66" s="160">
        <v>5.7</v>
      </c>
      <c r="R66" s="160">
        <v>0</v>
      </c>
      <c r="S66" s="160">
        <v>-40.700000000000003</v>
      </c>
      <c r="T66" s="160">
        <v>40.700000000000003</v>
      </c>
      <c r="U66" s="193">
        <v>5.7</v>
      </c>
      <c r="V66" s="160">
        <v>0</v>
      </c>
      <c r="W66" s="160">
        <v>-4.131888595912983</v>
      </c>
      <c r="X66" s="160">
        <v>-35</v>
      </c>
      <c r="Y66" s="160">
        <v>0</v>
      </c>
      <c r="Z66" s="289">
        <f>SUM(V66:Y66)</f>
        <v>-39.131888595912983</v>
      </c>
      <c r="AA66" s="160">
        <v>0</v>
      </c>
      <c r="AB66" s="160">
        <v>0</v>
      </c>
      <c r="AC66" s="160">
        <v>2</v>
      </c>
      <c r="AD66" s="160">
        <v>-2</v>
      </c>
      <c r="AE66" s="193">
        <v>0</v>
      </c>
      <c r="AF66" s="160">
        <v>0</v>
      </c>
      <c r="AG66" s="160">
        <v>-45</v>
      </c>
      <c r="AH66" s="160">
        <v>22</v>
      </c>
      <c r="AI66" s="160">
        <v>12</v>
      </c>
      <c r="AJ66" s="193">
        <f>37-48</f>
        <v>-11</v>
      </c>
      <c r="AK66" s="160">
        <v>0</v>
      </c>
      <c r="AL66" s="160">
        <v>136</v>
      </c>
      <c r="AM66" s="160">
        <v>84</v>
      </c>
      <c r="AN66" s="160">
        <v>0</v>
      </c>
      <c r="AO66" s="289">
        <f>SUM(AK66:AN66)</f>
        <v>220</v>
      </c>
      <c r="AP66" s="160">
        <v>0</v>
      </c>
      <c r="AQ66" s="160">
        <v>0</v>
      </c>
      <c r="AR66" s="160">
        <v>0</v>
      </c>
      <c r="AS66" s="206">
        <f>AT66-AR66-AQ66-AP66</f>
        <v>0</v>
      </c>
      <c r="AT66" s="193">
        <v>0</v>
      </c>
      <c r="AU66" s="160">
        <v>-2</v>
      </c>
      <c r="AV66" s="160">
        <f>-2-AU66</f>
        <v>0</v>
      </c>
      <c r="AW66" s="160">
        <f>-4-AV66-AU66</f>
        <v>-2</v>
      </c>
      <c r="AX66" s="160">
        <f>-4-AW66-AV66-AU66</f>
        <v>0</v>
      </c>
      <c r="AY66" s="193">
        <v>-4</v>
      </c>
      <c r="AZ66" s="160">
        <f>-10+32</f>
        <v>22</v>
      </c>
      <c r="BA66" s="160">
        <f>32-AZ66</f>
        <v>10</v>
      </c>
      <c r="BB66" s="160">
        <v>0</v>
      </c>
      <c r="BC66" s="160">
        <v>0</v>
      </c>
      <c r="BD66" s="289">
        <f>SUM(AZ66:BC66)</f>
        <v>32</v>
      </c>
      <c r="BE66" s="160">
        <v>0</v>
      </c>
      <c r="BF66" s="160">
        <v>0</v>
      </c>
      <c r="BG66" s="160">
        <v>0</v>
      </c>
      <c r="BH66" s="160">
        <v>0</v>
      </c>
      <c r="BI66" s="289">
        <f>SUM(BE66:BH66)</f>
        <v>0</v>
      </c>
      <c r="BJ66" s="160">
        <v>0</v>
      </c>
      <c r="BK66" s="160">
        <v>0</v>
      </c>
      <c r="BL66" s="160">
        <v>0</v>
      </c>
      <c r="BM66" s="160">
        <v>0</v>
      </c>
      <c r="BN66" s="289">
        <f>SUM(BJ66:BM66)</f>
        <v>0</v>
      </c>
      <c r="BO66"/>
      <c r="BP66"/>
      <c r="BQ66"/>
    </row>
    <row r="67" spans="1:69" x14ac:dyDescent="0.35">
      <c r="A67" s="24"/>
      <c r="B67" s="24" t="s">
        <v>86</v>
      </c>
      <c r="C67" s="24"/>
      <c r="D67" s="24"/>
      <c r="E67" s="24"/>
      <c r="F67" s="194"/>
      <c r="G67" s="16"/>
      <c r="H67" s="16"/>
      <c r="I67" s="16"/>
      <c r="J67" s="16"/>
      <c r="K67" s="194">
        <f>SUM(K60:K66)</f>
        <v>102.0319627101715</v>
      </c>
      <c r="L67" s="188"/>
      <c r="M67" s="16"/>
      <c r="N67" s="147"/>
      <c r="O67" s="16"/>
      <c r="P67" s="194">
        <f t="shared" ref="P67:Y67" si="81">SUM(P60:P66)</f>
        <v>-3419.9784496087154</v>
      </c>
      <c r="Q67" s="163">
        <f t="shared" si="81"/>
        <v>-18.483242942004889</v>
      </c>
      <c r="R67" s="163">
        <f t="shared" si="81"/>
        <v>-26.772179146719175</v>
      </c>
      <c r="S67" s="163">
        <f t="shared" si="81"/>
        <v>-68.458451677655859</v>
      </c>
      <c r="T67" s="163">
        <f t="shared" si="81"/>
        <v>-292.55348694626088</v>
      </c>
      <c r="U67" s="194">
        <f t="shared" si="81"/>
        <v>-406.35930402683056</v>
      </c>
      <c r="V67" s="163">
        <f t="shared" si="81"/>
        <v>-7.1610891477621337</v>
      </c>
      <c r="W67" s="163">
        <f t="shared" si="81"/>
        <v>-52.776118377252324</v>
      </c>
      <c r="X67" s="163">
        <f t="shared" si="81"/>
        <v>-74.971446225340486</v>
      </c>
      <c r="Y67" s="163">
        <f t="shared" si="81"/>
        <v>-29.985560249700484</v>
      </c>
      <c r="Z67" s="194">
        <f>SUM(Z60,Z63:Z66)</f>
        <v>-165.03188859591299</v>
      </c>
      <c r="AA67" s="163">
        <f>SUM(AA60,AA63:AA66)</f>
        <v>-772</v>
      </c>
      <c r="AB67" s="163">
        <f>SUM(AB60,AB63:AB66)</f>
        <v>-51</v>
      </c>
      <c r="AC67" s="163">
        <f>SUM(AC60,AC63:AC66)</f>
        <v>-30</v>
      </c>
      <c r="AD67" s="163">
        <f>SUM(AD60,AD63:AD66)</f>
        <v>-224</v>
      </c>
      <c r="AE67" s="194">
        <f>SUM(AE60:AE66)</f>
        <v>-1076.9616458760008</v>
      </c>
      <c r="AF67" s="163">
        <f t="shared" ref="AF67:AT67" si="82">SUM(AF60,AF63:AF66)</f>
        <v>-194</v>
      </c>
      <c r="AG67" s="163">
        <f t="shared" si="82"/>
        <v>-57</v>
      </c>
      <c r="AH67" s="163">
        <f t="shared" si="82"/>
        <v>-1910</v>
      </c>
      <c r="AI67" s="163">
        <f t="shared" si="82"/>
        <v>-458</v>
      </c>
      <c r="AJ67" s="524">
        <f t="shared" si="82"/>
        <v>-2619</v>
      </c>
      <c r="AK67" s="163">
        <f t="shared" si="82"/>
        <v>-161</v>
      </c>
      <c r="AL67" s="163">
        <f t="shared" si="82"/>
        <v>-11</v>
      </c>
      <c r="AM67" s="163">
        <f t="shared" si="82"/>
        <v>0</v>
      </c>
      <c r="AN67" s="163">
        <f>SUM(AN60,AN63:AN66)</f>
        <v>-90</v>
      </c>
      <c r="AO67" s="524">
        <f t="shared" si="82"/>
        <v>-262</v>
      </c>
      <c r="AP67" s="163">
        <f t="shared" si="82"/>
        <v>-63</v>
      </c>
      <c r="AQ67" s="163">
        <f t="shared" si="82"/>
        <v>-40</v>
      </c>
      <c r="AR67" s="163">
        <f t="shared" si="82"/>
        <v>-90</v>
      </c>
      <c r="AS67" s="163">
        <f t="shared" si="82"/>
        <v>-54</v>
      </c>
      <c r="AT67" s="194">
        <f t="shared" si="82"/>
        <v>-247</v>
      </c>
      <c r="AU67" s="163">
        <f t="shared" ref="AU67:BD67" si="83">SUM(AU60,AU63:AU66)</f>
        <v>-96</v>
      </c>
      <c r="AV67" s="163">
        <f>SUM(AV60,AV63:AV66)</f>
        <v>-95</v>
      </c>
      <c r="AW67" s="163">
        <f>SUM(AW60,AW63:AW66)</f>
        <v>-684</v>
      </c>
      <c r="AX67" s="163">
        <f t="shared" si="83"/>
        <v>-181</v>
      </c>
      <c r="AY67" s="194">
        <f t="shared" si="83"/>
        <v>-1056</v>
      </c>
      <c r="AZ67" s="163">
        <f t="shared" si="83"/>
        <v>224</v>
      </c>
      <c r="BA67" s="163">
        <f t="shared" si="83"/>
        <v>-126</v>
      </c>
      <c r="BB67" s="163">
        <f t="shared" si="83"/>
        <v>-85</v>
      </c>
      <c r="BC67" s="163">
        <f t="shared" si="83"/>
        <v>-94</v>
      </c>
      <c r="BD67" s="194">
        <f t="shared" si="83"/>
        <v>-81</v>
      </c>
      <c r="BE67" s="163">
        <f t="shared" ref="BE67:BN67" si="84">SUM(BE60,BE63:BE66)</f>
        <v>-87.5</v>
      </c>
      <c r="BF67" s="163">
        <f t="shared" si="84"/>
        <v>-77.5</v>
      </c>
      <c r="BG67" s="163">
        <f t="shared" si="84"/>
        <v>-87.5</v>
      </c>
      <c r="BH67" s="163">
        <f t="shared" si="84"/>
        <v>-96.5</v>
      </c>
      <c r="BI67" s="194">
        <f t="shared" si="84"/>
        <v>-349</v>
      </c>
      <c r="BJ67" s="163">
        <f t="shared" si="84"/>
        <v>-90</v>
      </c>
      <c r="BK67" s="163">
        <f t="shared" si="84"/>
        <v>-80</v>
      </c>
      <c r="BL67" s="163">
        <f t="shared" si="84"/>
        <v>-90</v>
      </c>
      <c r="BM67" s="163">
        <f t="shared" si="84"/>
        <v>-99</v>
      </c>
      <c r="BN67" s="194">
        <f t="shared" si="84"/>
        <v>-359</v>
      </c>
      <c r="BO67"/>
      <c r="BP67"/>
      <c r="BQ67"/>
    </row>
    <row r="68" spans="1:69" x14ac:dyDescent="0.35">
      <c r="A68" s="24"/>
      <c r="B68" s="145"/>
      <c r="C68" s="24"/>
      <c r="D68" s="24"/>
      <c r="E68" s="24"/>
      <c r="F68" s="195"/>
      <c r="G68" s="16"/>
      <c r="H68" s="16"/>
      <c r="I68" s="16"/>
      <c r="J68" s="16"/>
      <c r="K68" s="195"/>
      <c r="L68" s="161"/>
      <c r="M68" s="16"/>
      <c r="N68" s="147"/>
      <c r="O68" s="16"/>
      <c r="P68" s="195"/>
      <c r="Q68" s="161"/>
      <c r="R68" s="161"/>
      <c r="S68" s="161"/>
      <c r="T68" s="161"/>
      <c r="U68" s="195"/>
      <c r="V68" s="161"/>
      <c r="W68" s="161"/>
      <c r="X68" s="161"/>
      <c r="Y68" s="161"/>
      <c r="Z68" s="39"/>
      <c r="AA68" s="161"/>
      <c r="AB68" s="161"/>
      <c r="AC68" s="161"/>
      <c r="AD68" s="161"/>
      <c r="AE68" s="39"/>
      <c r="AF68" s="161"/>
      <c r="AG68" s="161"/>
      <c r="AH68" s="161"/>
      <c r="AI68" s="161"/>
      <c r="AJ68" s="39"/>
      <c r="AK68" s="161"/>
      <c r="AL68" s="161"/>
      <c r="AM68" s="161"/>
      <c r="AN68" s="161"/>
      <c r="AO68" s="39"/>
      <c r="AP68" s="161"/>
      <c r="AQ68" s="161"/>
      <c r="AR68" s="161"/>
      <c r="AS68" s="161"/>
      <c r="AT68" s="39"/>
      <c r="AU68" s="161"/>
      <c r="AV68" s="161"/>
      <c r="AW68" s="161"/>
      <c r="AX68" s="161"/>
      <c r="AY68" s="39"/>
      <c r="AZ68" s="161"/>
      <c r="BA68" s="161"/>
      <c r="BB68" s="161"/>
      <c r="BC68" s="161"/>
      <c r="BD68" s="39"/>
      <c r="BE68" s="161"/>
      <c r="BF68" s="161"/>
      <c r="BG68" s="161"/>
      <c r="BH68" s="161"/>
      <c r="BI68" s="39"/>
      <c r="BJ68" s="161"/>
      <c r="BK68" s="161"/>
      <c r="BL68" s="161"/>
      <c r="BM68" s="161"/>
      <c r="BN68" s="39"/>
      <c r="BO68"/>
      <c r="BP68"/>
      <c r="BQ68"/>
    </row>
    <row r="69" spans="1:69" x14ac:dyDescent="0.35">
      <c r="A69" s="24"/>
      <c r="B69" s="24" t="s">
        <v>254</v>
      </c>
      <c r="C69" s="24"/>
      <c r="D69" s="24"/>
      <c r="E69" s="24"/>
      <c r="F69" s="439">
        <f>F57+F60</f>
        <v>1109.0999999999999</v>
      </c>
      <c r="G69" s="16"/>
      <c r="H69" s="16"/>
      <c r="I69" s="16"/>
      <c r="J69" s="16"/>
      <c r="K69" s="439">
        <f>K57+K60</f>
        <v>1144</v>
      </c>
      <c r="L69" s="161"/>
      <c r="M69" s="16"/>
      <c r="N69" s="147"/>
      <c r="O69" s="16"/>
      <c r="P69" s="439">
        <f t="shared" ref="P69:AT69" si="85">P57+P60</f>
        <v>663.99999999999989</v>
      </c>
      <c r="Q69" s="438">
        <f t="shared" si="85"/>
        <v>376.50000000000006</v>
      </c>
      <c r="R69" s="438">
        <f t="shared" si="85"/>
        <v>362.90000000000003</v>
      </c>
      <c r="S69" s="438">
        <f t="shared" si="85"/>
        <v>282.3</v>
      </c>
      <c r="T69" s="438">
        <f t="shared" si="85"/>
        <v>349.00000000000006</v>
      </c>
      <c r="U69" s="439">
        <f t="shared" si="85"/>
        <v>1370.7</v>
      </c>
      <c r="V69" s="438">
        <f t="shared" si="85"/>
        <v>347.1</v>
      </c>
      <c r="W69" s="438">
        <f t="shared" si="85"/>
        <v>709.0999999999965</v>
      </c>
      <c r="X69" s="438">
        <f t="shared" si="85"/>
        <v>73.700000000000244</v>
      </c>
      <c r="Y69" s="438">
        <f t="shared" si="85"/>
        <v>476.70000000000391</v>
      </c>
      <c r="Z69" s="439">
        <f t="shared" si="85"/>
        <v>1606.6000000000006</v>
      </c>
      <c r="AA69" s="438">
        <f t="shared" si="85"/>
        <v>324.39999999999998</v>
      </c>
      <c r="AB69" s="438">
        <f t="shared" si="85"/>
        <v>591</v>
      </c>
      <c r="AC69" s="438">
        <f t="shared" si="85"/>
        <v>490</v>
      </c>
      <c r="AD69" s="438">
        <f t="shared" si="85"/>
        <v>638</v>
      </c>
      <c r="AE69" s="439">
        <f t="shared" si="85"/>
        <v>2043</v>
      </c>
      <c r="AF69" s="438">
        <f t="shared" si="85"/>
        <v>662</v>
      </c>
      <c r="AG69" s="438">
        <f t="shared" si="85"/>
        <v>564</v>
      </c>
      <c r="AH69" s="438">
        <f t="shared" si="85"/>
        <v>403</v>
      </c>
      <c r="AI69" s="438">
        <f t="shared" si="85"/>
        <v>237</v>
      </c>
      <c r="AJ69" s="439">
        <f t="shared" si="85"/>
        <v>1866</v>
      </c>
      <c r="AK69" s="438">
        <f t="shared" si="85"/>
        <v>411</v>
      </c>
      <c r="AL69" s="438">
        <f>AL57+AL60</f>
        <v>217</v>
      </c>
      <c r="AM69" s="438">
        <f>AM57+AM60</f>
        <v>265</v>
      </c>
      <c r="AN69" s="438">
        <f>AN57+AN60</f>
        <v>298</v>
      </c>
      <c r="AO69" s="439">
        <f t="shared" si="85"/>
        <v>1191</v>
      </c>
      <c r="AP69" s="438">
        <f>AP57+AP60</f>
        <v>535</v>
      </c>
      <c r="AQ69" s="438">
        <f>AQ57+AQ60</f>
        <v>550</v>
      </c>
      <c r="AR69" s="438">
        <f t="shared" si="85"/>
        <v>391</v>
      </c>
      <c r="AS69" s="438">
        <f t="shared" si="85"/>
        <v>404</v>
      </c>
      <c r="AT69" s="439">
        <f t="shared" si="85"/>
        <v>1880</v>
      </c>
      <c r="AU69" s="438">
        <f t="shared" ref="AU69:BD69" si="86">AU57+AU60</f>
        <v>697</v>
      </c>
      <c r="AV69" s="438">
        <f>AV57+AV60</f>
        <v>593</v>
      </c>
      <c r="AW69" s="438">
        <f>AW57+AW60</f>
        <v>631</v>
      </c>
      <c r="AX69" s="438">
        <f t="shared" si="86"/>
        <v>600</v>
      </c>
      <c r="AY69" s="439">
        <f t="shared" si="86"/>
        <v>2521</v>
      </c>
      <c r="AZ69" s="438">
        <f t="shared" si="86"/>
        <v>672</v>
      </c>
      <c r="BA69" s="438">
        <f t="shared" si="86"/>
        <v>468</v>
      </c>
      <c r="BB69" s="438">
        <f t="shared" ca="1" si="86"/>
        <v>624.98859780160672</v>
      </c>
      <c r="BC69" s="438">
        <f t="shared" ca="1" si="86"/>
        <v>719.15961614574212</v>
      </c>
      <c r="BD69" s="439">
        <f t="shared" ca="1" si="86"/>
        <v>2484.1482139473487</v>
      </c>
      <c r="BE69" s="438">
        <f t="shared" ref="BE69:BN69" ca="1" si="87">BE57+BE60</f>
        <v>1056.0390881446542</v>
      </c>
      <c r="BF69" s="438">
        <f t="shared" ca="1" si="87"/>
        <v>567.15116815881061</v>
      </c>
      <c r="BG69" s="438">
        <f t="shared" ca="1" si="87"/>
        <v>635.03358029030858</v>
      </c>
      <c r="BH69" s="438">
        <f t="shared" ca="1" si="87"/>
        <v>826.4386450055357</v>
      </c>
      <c r="BI69" s="439">
        <f t="shared" ca="1" si="87"/>
        <v>3084.6624815993091</v>
      </c>
      <c r="BJ69" s="438">
        <f t="shared" ca="1" si="87"/>
        <v>1157.1057881973163</v>
      </c>
      <c r="BK69" s="438">
        <f t="shared" ca="1" si="87"/>
        <v>649.00454302072148</v>
      </c>
      <c r="BL69" s="438">
        <f t="shared" ca="1" si="87"/>
        <v>724.42138206094296</v>
      </c>
      <c r="BM69" s="438">
        <f t="shared" ca="1" si="87"/>
        <v>921.76471754334102</v>
      </c>
      <c r="BN69" s="439">
        <f t="shared" ca="1" si="87"/>
        <v>3452.2964308223218</v>
      </c>
      <c r="BO69"/>
      <c r="BP69"/>
      <c r="BQ69"/>
    </row>
    <row r="70" spans="1:69" x14ac:dyDescent="0.35">
      <c r="A70" s="58"/>
      <c r="B70" s="42" t="s">
        <v>255</v>
      </c>
      <c r="C70" s="58"/>
      <c r="D70" s="58"/>
      <c r="E70" s="58"/>
      <c r="F70" s="436">
        <f>F69/IS!S72</f>
        <v>0.69890982418551895</v>
      </c>
      <c r="G70" s="328"/>
      <c r="H70" s="328"/>
      <c r="I70" s="328"/>
      <c r="J70" s="328"/>
      <c r="K70" s="436">
        <f>K69/IS!X72</f>
        <v>0.69713589274832433</v>
      </c>
      <c r="L70" s="327"/>
      <c r="M70" s="328"/>
      <c r="N70" s="147"/>
      <c r="O70" s="328"/>
      <c r="P70" s="436">
        <f>P69/IS!AC72</f>
        <v>0.33173461231015183</v>
      </c>
      <c r="Q70" s="437">
        <f>Q69/IS!AD72</f>
        <v>0.69631958572221198</v>
      </c>
      <c r="R70" s="437">
        <f>R69/IS!AE72</f>
        <v>0.62097878165639997</v>
      </c>
      <c r="S70" s="437">
        <f>S69/IS!AF72</f>
        <v>0.54900816802800467</v>
      </c>
      <c r="T70" s="437">
        <f>T69/IS!AG72</f>
        <v>0.7304311427375475</v>
      </c>
      <c r="U70" s="436">
        <f>U69/IS!AH72</f>
        <v>0.64744225591611171</v>
      </c>
      <c r="V70" s="437">
        <f>V69/IS!AI72</f>
        <v>0.66891501252649854</v>
      </c>
      <c r="W70" s="437">
        <f>W69/IS!AJ72</f>
        <v>1.1838063439065045</v>
      </c>
      <c r="X70" s="437">
        <f>X69/IS!AK72</f>
        <v>0.12005212575338044</v>
      </c>
      <c r="Y70" s="437">
        <f>Y69/IS!AL72</f>
        <v>0.85277280858676907</v>
      </c>
      <c r="Z70" s="436">
        <f>Z69/IS!AM72</f>
        <v>0.70132704731971385</v>
      </c>
      <c r="AA70" s="437">
        <f>AA69/IS!AN72</f>
        <v>0.49984591679506929</v>
      </c>
      <c r="AB70" s="437">
        <f>AB69/IS!AO72</f>
        <v>0.77154046997389036</v>
      </c>
      <c r="AC70" s="437">
        <f>AC69/IS!AP72</f>
        <v>0.67961165048543692</v>
      </c>
      <c r="AD70" s="437">
        <f>AD69/IS!AQ72</f>
        <v>1.2015065913370999</v>
      </c>
      <c r="AE70" s="436">
        <f>AE69/IS!AR72</f>
        <v>0.76602924634420699</v>
      </c>
      <c r="AF70" s="437">
        <f>AF69/IS!AS72</f>
        <v>0.72428884026258211</v>
      </c>
      <c r="AG70" s="437">
        <f>AG69/IS!AT72</f>
        <v>0.65505226480836232</v>
      </c>
      <c r="AH70" s="437">
        <f>AH69/IS!AU72</f>
        <v>0.54681139755766617</v>
      </c>
      <c r="AI70" s="437">
        <f>AI69/IS!AV72</f>
        <v>0.40237691001697795</v>
      </c>
      <c r="AJ70" s="436">
        <f>AJ69/IS!AW72</f>
        <v>0.60174137375040304</v>
      </c>
      <c r="AK70" s="437">
        <f>AK69/IS!AX72</f>
        <v>0.55994550408719346</v>
      </c>
      <c r="AL70" s="437">
        <f>AL69/IS!AY72</f>
        <v>0.35</v>
      </c>
      <c r="AM70" s="437">
        <f>AM69/IS!AZ72</f>
        <v>0.53319919517102621</v>
      </c>
      <c r="AN70" s="437">
        <f>AN69/IS!BA72</f>
        <v>0.62473794549266248</v>
      </c>
      <c r="AO70" s="436">
        <f>AO69/IS!BB72</f>
        <v>0.51159793814432986</v>
      </c>
      <c r="AP70" s="437">
        <f>AP69/IS!BC72</f>
        <v>0.81554878048780488</v>
      </c>
      <c r="AQ70" s="437">
        <f>AQ69/IS!BD72</f>
        <v>0.84226646248085757</v>
      </c>
      <c r="AR70" s="437">
        <f>AR69/IS!BE72</f>
        <v>0.59512937595129378</v>
      </c>
      <c r="AS70" s="437">
        <f>AS69/IS!BF72</f>
        <v>0.64025356576862125</v>
      </c>
      <c r="AT70" s="436">
        <f>AT69/IS!BG72</f>
        <v>0.72391220639199072</v>
      </c>
      <c r="AU70" s="437">
        <f>AU69/IS!BH72</f>
        <v>0.76931567328918327</v>
      </c>
      <c r="AV70" s="437">
        <f>AV69/IS!BI72</f>
        <v>0.65742793791574283</v>
      </c>
      <c r="AW70" s="437">
        <f>AW69/IS!BJ72</f>
        <v>0.72779700115340251</v>
      </c>
      <c r="AX70" s="437">
        <f>AX69/IS!BK72</f>
        <v>0.81855388813096863</v>
      </c>
      <c r="AY70" s="436">
        <f>AY69/IS!BL72</f>
        <v>0.73973004694835676</v>
      </c>
      <c r="AZ70" s="437">
        <f>AZ69/IS!BM72</f>
        <v>0.676056338028169</v>
      </c>
      <c r="BA70" s="437">
        <f>BA69/IS!BN72</f>
        <v>0.48447204968944102</v>
      </c>
      <c r="BB70" s="437">
        <f ca="1">BB69/IS!BO72</f>
        <v>0.59350643962820804</v>
      </c>
      <c r="BC70" s="437">
        <f ca="1">BC69/IS!BP72</f>
        <v>0.80716043864611164</v>
      </c>
      <c r="BD70" s="436">
        <f ca="1">BD69/IS!BQ72</f>
        <v>0.63630533546906798</v>
      </c>
      <c r="BE70" s="437">
        <f ca="1">BE69/IS!BR72</f>
        <v>0.94595860227954387</v>
      </c>
      <c r="BF70" s="437">
        <f ca="1">BF69/IS!BS72</f>
        <v>0.52629669912860566</v>
      </c>
      <c r="BG70" s="437">
        <f ca="1">BG69/IS!BT72</f>
        <v>0.55710830355719432</v>
      </c>
      <c r="BH70" s="437">
        <f ca="1">BH69/IS!BU72</f>
        <v>0.85247952568784824</v>
      </c>
      <c r="BI70" s="436">
        <f ca="1">BI69/IS!BV72</f>
        <v>0.71680944345630893</v>
      </c>
      <c r="BJ70" s="437">
        <f ca="1">BJ69/IS!BW72</f>
        <v>0.94550940100888381</v>
      </c>
      <c r="BK70" s="437">
        <f ca="1">BK69/IS!BX72</f>
        <v>0.54930707791783517</v>
      </c>
      <c r="BL70" s="437">
        <f ca="1">BL69/IS!BY72</f>
        <v>0.58087755235322869</v>
      </c>
      <c r="BM70" s="437">
        <f ca="1">BM69/IS!BZ72</f>
        <v>0.86680586309087915</v>
      </c>
      <c r="BN70" s="436">
        <f ca="1">BN69/IS!CA72</f>
        <v>0.73206906466372357</v>
      </c>
      <c r="BO70"/>
      <c r="BP70"/>
      <c r="BQ70"/>
    </row>
    <row r="71" spans="1:69" x14ac:dyDescent="0.35">
      <c r="A71" s="24"/>
      <c r="B71" s="24" t="s">
        <v>256</v>
      </c>
      <c r="C71" s="24"/>
      <c r="D71" s="24"/>
      <c r="E71" s="24"/>
      <c r="F71" s="439"/>
      <c r="G71" s="16"/>
      <c r="H71" s="16"/>
      <c r="I71" s="16"/>
      <c r="J71" s="16"/>
      <c r="K71" s="439">
        <f>K69</f>
        <v>1144</v>
      </c>
      <c r="L71" s="161"/>
      <c r="M71" s="16"/>
      <c r="N71" s="149"/>
      <c r="O71" s="16"/>
      <c r="P71" s="439">
        <f>P69</f>
        <v>663.99999999999989</v>
      </c>
      <c r="Q71" s="161"/>
      <c r="R71" s="161"/>
      <c r="S71" s="161"/>
      <c r="T71" s="161"/>
      <c r="U71" s="439">
        <f>T69+S69+R69+Q69</f>
        <v>1370.7</v>
      </c>
      <c r="V71" s="438">
        <f>V69+T69+S69+R69</f>
        <v>1341.3000000000002</v>
      </c>
      <c r="W71" s="438">
        <f>V69+W69+T69+S69</f>
        <v>1687.4999999999966</v>
      </c>
      <c r="X71" s="438">
        <f>W69+X69+V69+T69</f>
        <v>1478.8999999999969</v>
      </c>
      <c r="Y71" s="438">
        <f>X69+W69+V69+Y69</f>
        <v>1606.6000000000008</v>
      </c>
      <c r="Z71" s="439">
        <f>Y69+X69+W69+V69</f>
        <v>1606.6000000000008</v>
      </c>
      <c r="AA71" s="438">
        <f>AA69+Y69+X69+W69</f>
        <v>1583.9000000000005</v>
      </c>
      <c r="AB71" s="438">
        <f>AA69+AB69+Y69+X69</f>
        <v>1465.8000000000043</v>
      </c>
      <c r="AC71" s="438">
        <f>AB69+AC69+AA69+Y69</f>
        <v>1882.100000000004</v>
      </c>
      <c r="AD71" s="438">
        <f>AC69+AB69+AA69+AD69</f>
        <v>2043.4</v>
      </c>
      <c r="AE71" s="439">
        <f>AD69+AC69+AB69+AA69</f>
        <v>2043.4</v>
      </c>
      <c r="AF71" s="438">
        <f>AE69+AD69+AC69+AF69</f>
        <v>3833</v>
      </c>
      <c r="AG71" s="438">
        <f>AF69+AG69+AD69+AC69</f>
        <v>2354</v>
      </c>
      <c r="AH71" s="438">
        <f>AG69+AH69+AF69+AD69</f>
        <v>2267</v>
      </c>
      <c r="AI71" s="438">
        <f>AH69+AG69+AF69+AI69</f>
        <v>1866</v>
      </c>
      <c r="AJ71" s="439">
        <f>AI69+AH69+AG69+AF69</f>
        <v>1866</v>
      </c>
      <c r="AK71" s="438">
        <f>AK69+AI69+AH69+AG69</f>
        <v>1615</v>
      </c>
      <c r="AL71" s="438">
        <f>AK69+AL69+AI69+AH69</f>
        <v>1268</v>
      </c>
      <c r="AM71" s="438">
        <f>AL69+AM69+AK69+AI69</f>
        <v>1130</v>
      </c>
      <c r="AN71" s="438">
        <f>AM69+AL69+AK69+AN69</f>
        <v>1191</v>
      </c>
      <c r="AO71" s="439">
        <f>AN69+AM69+AL69+AK69</f>
        <v>1191</v>
      </c>
      <c r="AP71" s="438">
        <f>AP69+AN69+AM69+AL69</f>
        <v>1315</v>
      </c>
      <c r="AQ71" s="438">
        <f>AP69+AQ69+AN69+AM69</f>
        <v>1648</v>
      </c>
      <c r="AR71" s="438">
        <f>AQ69+AR69+AP69+AN69</f>
        <v>1774</v>
      </c>
      <c r="AS71" s="438">
        <f>AR69+AQ69+AP69+AS69</f>
        <v>1880</v>
      </c>
      <c r="AT71" s="439">
        <f>AS69+AR69+AQ69+AP69</f>
        <v>1880</v>
      </c>
      <c r="AU71" s="438">
        <f>AU69+AS69+AR69+AQ69</f>
        <v>2042</v>
      </c>
      <c r="AV71" s="438">
        <f>AU69+AV69+AS69+AR69</f>
        <v>2085</v>
      </c>
      <c r="AW71" s="438">
        <f>AV69+AW69+AU69+AS69</f>
        <v>2325</v>
      </c>
      <c r="AX71" s="438">
        <f>AW69+AV69+AU69+AX69</f>
        <v>2521</v>
      </c>
      <c r="AY71" s="439">
        <f>AX69+AW69+AV69+AU69</f>
        <v>2521</v>
      </c>
      <c r="AZ71" s="438">
        <f>AZ69+AX69+AW69+AV69</f>
        <v>2496</v>
      </c>
      <c r="BA71" s="438">
        <f>AZ69+BA69+AX69+AW69</f>
        <v>2371</v>
      </c>
      <c r="BB71" s="438">
        <f ca="1">BA69+BB69+AZ69+AX69</f>
        <v>2364.9885978016068</v>
      </c>
      <c r="BC71" s="438">
        <f ca="1">BB69+BA69+AZ69+BC69</f>
        <v>2484.1482139473492</v>
      </c>
      <c r="BD71" s="439">
        <f ca="1">BC69+BB69+BA69+AZ69</f>
        <v>2484.1482139473487</v>
      </c>
      <c r="BE71" s="438">
        <f ca="1">BE69+BC69+BB69+BA69</f>
        <v>2868.1873020920029</v>
      </c>
      <c r="BF71" s="438">
        <f ca="1">BE69+BF69+BC69+BB69</f>
        <v>2967.3384702508138</v>
      </c>
      <c r="BG71" s="438">
        <f ca="1">BF69+BG69+BE69+BC69</f>
        <v>2977.3834527395156</v>
      </c>
      <c r="BH71" s="438">
        <f ca="1">BG69+BF69+BE69+BH69</f>
        <v>3084.6624815993091</v>
      </c>
      <c r="BI71" s="439">
        <f ca="1">BH69+BG69+BF69+BE69</f>
        <v>3084.6624815993091</v>
      </c>
      <c r="BJ71" s="438">
        <f ca="1">BJ69+BH69+BG69+BF69</f>
        <v>3185.729181651971</v>
      </c>
      <c r="BK71" s="438">
        <f ca="1">BJ69+BK69+BH69+BG69</f>
        <v>3267.5825565138821</v>
      </c>
      <c r="BL71" s="438">
        <f ca="1">BK69+BL69+BJ69+BH69</f>
        <v>3356.9703582845164</v>
      </c>
      <c r="BM71" s="438">
        <f ca="1">BL69+BK69+BJ69+BM69</f>
        <v>3452.2964308223218</v>
      </c>
      <c r="BN71" s="439">
        <f ca="1">BM69+BL69+BK69+BJ69</f>
        <v>3452.2964308223218</v>
      </c>
      <c r="BO71"/>
      <c r="BP71"/>
      <c r="BQ71"/>
    </row>
    <row r="72" spans="1:69" x14ac:dyDescent="0.35">
      <c r="A72" s="58"/>
      <c r="B72" s="42" t="s">
        <v>257</v>
      </c>
      <c r="C72" s="58"/>
      <c r="D72" s="58"/>
      <c r="E72" s="58"/>
      <c r="F72" s="436"/>
      <c r="G72" s="328"/>
      <c r="H72" s="328"/>
      <c r="I72" s="328"/>
      <c r="J72" s="328"/>
      <c r="K72" s="436">
        <f>K71/IS!X72</f>
        <v>0.69713589274832433</v>
      </c>
      <c r="L72" s="327"/>
      <c r="M72" s="328"/>
      <c r="N72" s="147"/>
      <c r="O72" s="328"/>
      <c r="P72" s="436">
        <f>P71/IS!AC72</f>
        <v>0.33173461231015183</v>
      </c>
      <c r="Q72" s="327"/>
      <c r="R72" s="327"/>
      <c r="S72" s="327"/>
      <c r="T72" s="327"/>
      <c r="U72" s="436">
        <f>U71/IS!AH72</f>
        <v>0.64744225591611171</v>
      </c>
      <c r="V72" s="437">
        <f>V71/IS!AI142</f>
        <v>0.64014699565694677</v>
      </c>
      <c r="W72" s="437">
        <f>W71/IS!AJ142</f>
        <v>0.79980093843309963</v>
      </c>
      <c r="X72" s="437">
        <f>X71/IS!AK142</f>
        <v>0.66930666183924559</v>
      </c>
      <c r="Y72" s="437">
        <f>Y71/IS!AL142</f>
        <v>0.70132704731971396</v>
      </c>
      <c r="Z72" s="436">
        <f>Z71/IS!AM72</f>
        <v>0.70132704731971396</v>
      </c>
      <c r="AA72" s="437">
        <f>AA71/IS!AN142</f>
        <v>0.65426081209467557</v>
      </c>
      <c r="AB72" s="437">
        <f>AB71/IS!AO142</f>
        <v>0.56640519340005568</v>
      </c>
      <c r="AC72" s="437">
        <f>AC71/IS!AP142</f>
        <v>0.698367346938777</v>
      </c>
      <c r="AD72" s="437">
        <f>AD71/IS!AQ142</f>
        <v>0.76617922759655044</v>
      </c>
      <c r="AE72" s="436">
        <f>AE71/IS!AR72</f>
        <v>0.76617922759655044</v>
      </c>
      <c r="AF72" s="437">
        <f>AF71/IS!AS142</f>
        <v>1.3072987721691678</v>
      </c>
      <c r="AG72" s="437">
        <f>AG71/IS!AT142</f>
        <v>0.77766765774694413</v>
      </c>
      <c r="AH72" s="437">
        <f>AH71/IS!AU142</f>
        <v>0.74498849819257307</v>
      </c>
      <c r="AI72" s="437">
        <f>AI71/IS!AV142</f>
        <v>0.60174137375040304</v>
      </c>
      <c r="AJ72" s="436">
        <f>AJ71/IS!AW72</f>
        <v>0.60174137375040304</v>
      </c>
      <c r="AK72" s="437">
        <f>AK71/IS!AX142</f>
        <v>0.55289284491612456</v>
      </c>
      <c r="AL72" s="437">
        <f>AL71/IS!AY142</f>
        <v>0.47313432835820896</v>
      </c>
      <c r="AM72" s="437">
        <f>AM71/IS!AZ142</f>
        <v>0.46311475409836067</v>
      </c>
      <c r="AN72" s="437">
        <f>AN71/IS!BA142</f>
        <v>0.51159793814432986</v>
      </c>
      <c r="AO72" s="436">
        <f>AO71/IS!BB72</f>
        <v>0.51159793814432986</v>
      </c>
      <c r="AP72" s="437">
        <f>AP71/IS!BC142</f>
        <v>0.58444444444444443</v>
      </c>
      <c r="AQ72" s="437">
        <f>AQ71/IS!BD142</f>
        <v>0.72185720543144982</v>
      </c>
      <c r="AR72" s="437">
        <f>AR71/IS!BE142</f>
        <v>0.72615636512484649</v>
      </c>
      <c r="AS72" s="437">
        <f>AS71/IS!BF142</f>
        <v>0.72391220639199072</v>
      </c>
      <c r="AT72" s="436">
        <f>AT71/IS!BG72</f>
        <v>0.72391220639199072</v>
      </c>
      <c r="AU72" s="437">
        <f>AU71/IS!BH142</f>
        <v>0.71724622409553918</v>
      </c>
      <c r="AV72" s="437">
        <f>AV71/IS!BI142</f>
        <v>0.67344961240310075</v>
      </c>
      <c r="AW72" s="437">
        <f>AW71/IS!BJ142</f>
        <v>0.70326678765880213</v>
      </c>
      <c r="AX72" s="437">
        <f>AX71/IS!BK142</f>
        <v>0.73973004694835676</v>
      </c>
      <c r="AY72" s="436">
        <f>AY71/IS!BL72</f>
        <v>0.73973004694835676</v>
      </c>
      <c r="AZ72" s="437">
        <f>AZ71/IS!BM142</f>
        <v>0.71395881006864992</v>
      </c>
      <c r="BA72" s="437">
        <f>BA71/IS!BN142</f>
        <v>0.66601123595505618</v>
      </c>
      <c r="BB72" s="437">
        <f ca="1">BB71/IS!BO142</f>
        <v>0.63132957923109057</v>
      </c>
      <c r="BC72" s="437">
        <f ca="1">BC71/IS!BP142</f>
        <v>0.63630533546906809</v>
      </c>
      <c r="BD72" s="436">
        <f ca="1">BD71/IS!BQ72</f>
        <v>0.63630533546906798</v>
      </c>
      <c r="BE72" s="437">
        <f ca="1">BE71/IS!BR142</f>
        <v>0.71234740011941544</v>
      </c>
      <c r="BF72" s="437">
        <f ca="1">BF71/IS!BS142</f>
        <v>0.71709229837744981</v>
      </c>
      <c r="BG72" s="437">
        <f ca="1">BG71/IS!BT142</f>
        <v>0.70473201132429297</v>
      </c>
      <c r="BH72" s="437">
        <f ca="1">BH71/IS!BU142</f>
        <v>0.71680944345630893</v>
      </c>
      <c r="BI72" s="436">
        <f ca="1">BI71/IS!BV72</f>
        <v>0.71680944345630893</v>
      </c>
      <c r="BJ72" s="437">
        <f ca="1">BJ71/IS!BW142</f>
        <v>0.72226563137398947</v>
      </c>
      <c r="BK72" s="437">
        <f ca="1">BK71/IS!BX142</f>
        <v>0.72377878431436216</v>
      </c>
      <c r="BL72" s="437">
        <f ca="1">BL71/IS!BY142</f>
        <v>0.72632518631427623</v>
      </c>
      <c r="BM72" s="437">
        <f ca="1">BM71/IS!BZ142</f>
        <v>0.73206906466372357</v>
      </c>
      <c r="BN72" s="436">
        <f ca="1">BN71/IS!CA72</f>
        <v>0.73206906466372357</v>
      </c>
      <c r="BO72"/>
      <c r="BP72"/>
      <c r="BQ72"/>
    </row>
    <row r="73" spans="1:69" x14ac:dyDescent="0.35">
      <c r="A73" s="24"/>
      <c r="B73" s="145"/>
      <c r="C73" s="24"/>
      <c r="D73" s="24"/>
      <c r="E73" s="24"/>
      <c r="F73" s="195"/>
      <c r="G73" s="16"/>
      <c r="H73" s="16"/>
      <c r="I73" s="16"/>
      <c r="J73" s="16"/>
      <c r="K73" s="195"/>
      <c r="L73" s="161"/>
      <c r="M73" s="16"/>
      <c r="N73" s="147"/>
      <c r="O73" s="16"/>
      <c r="P73" s="195"/>
      <c r="Q73" s="161"/>
      <c r="R73" s="161"/>
      <c r="S73" s="161"/>
      <c r="T73" s="161"/>
      <c r="U73" s="195"/>
      <c r="V73" s="161"/>
      <c r="W73" s="161"/>
      <c r="X73" s="161"/>
      <c r="Y73" s="161"/>
      <c r="Z73" s="39"/>
      <c r="AA73" s="161"/>
      <c r="AB73" s="161"/>
      <c r="AC73" s="161"/>
      <c r="AD73" s="161"/>
      <c r="AE73" s="39"/>
      <c r="AF73" s="161"/>
      <c r="AG73" s="161"/>
      <c r="AH73" s="161"/>
      <c r="AI73" s="161"/>
      <c r="AJ73" s="39"/>
      <c r="AK73" s="161"/>
      <c r="AL73" s="161"/>
      <c r="AM73" s="161"/>
      <c r="AN73" s="161"/>
      <c r="AO73" s="39"/>
      <c r="AP73" s="161"/>
      <c r="AQ73" s="161"/>
      <c r="AR73" s="161"/>
      <c r="AS73" s="161"/>
      <c r="AT73" s="39"/>
      <c r="AU73" s="161"/>
      <c r="AV73" s="161"/>
      <c r="AW73" s="161"/>
      <c r="AX73" s="161"/>
      <c r="AY73" s="39"/>
      <c r="AZ73" s="161"/>
      <c r="BA73" s="161"/>
      <c r="BB73" s="161"/>
      <c r="BC73" s="161"/>
      <c r="BD73" s="39"/>
      <c r="BE73" s="161"/>
      <c r="BF73" s="161"/>
      <c r="BG73" s="161"/>
      <c r="BH73" s="161"/>
      <c r="BI73" s="39"/>
      <c r="BJ73" s="161"/>
      <c r="BK73" s="161"/>
      <c r="BL73" s="161"/>
      <c r="BM73" s="161"/>
      <c r="BN73" s="39"/>
      <c r="BO73"/>
      <c r="BP73"/>
      <c r="BQ73"/>
    </row>
    <row r="74" spans="1:69" x14ac:dyDescent="0.35">
      <c r="A74" s="24"/>
      <c r="B74" s="24" t="s">
        <v>90</v>
      </c>
      <c r="C74" s="24"/>
      <c r="D74" s="24"/>
      <c r="E74" s="24"/>
      <c r="F74" s="195"/>
      <c r="G74" s="16"/>
      <c r="H74" s="16"/>
      <c r="I74" s="16"/>
      <c r="J74" s="16"/>
      <c r="K74" s="195"/>
      <c r="L74" s="161"/>
      <c r="M74" s="16"/>
      <c r="N74" s="147"/>
      <c r="O74" s="16"/>
      <c r="P74" s="195"/>
      <c r="Q74" s="161"/>
      <c r="R74" s="161"/>
      <c r="S74" s="161"/>
      <c r="T74" s="161"/>
      <c r="U74" s="195"/>
      <c r="V74" s="161"/>
      <c r="W74" s="161"/>
      <c r="X74" s="161"/>
      <c r="Y74" s="161"/>
      <c r="Z74" s="39"/>
      <c r="AA74" s="161"/>
      <c r="AB74" s="161"/>
      <c r="AC74" s="161"/>
      <c r="AD74" s="161"/>
      <c r="AE74" s="39"/>
      <c r="AF74" s="161"/>
      <c r="AG74" s="161"/>
      <c r="AH74" s="161"/>
      <c r="AI74" s="161"/>
      <c r="AJ74" s="39"/>
      <c r="AK74" s="161"/>
      <c r="AL74" s="161"/>
      <c r="AM74" s="161"/>
      <c r="AN74" s="161"/>
      <c r="AO74" s="39"/>
      <c r="AP74" s="161"/>
      <c r="AQ74" s="161"/>
      <c r="AR74" s="161"/>
      <c r="AS74" s="161"/>
      <c r="AT74" s="39"/>
      <c r="AU74" s="161"/>
      <c r="AV74" s="161"/>
      <c r="AW74" s="161"/>
      <c r="AX74" s="161"/>
      <c r="AY74" s="39"/>
      <c r="AZ74" s="161"/>
      <c r="BA74" s="161"/>
      <c r="BB74" s="161"/>
      <c r="BC74" s="161"/>
      <c r="BD74" s="39"/>
      <c r="BE74" s="161"/>
      <c r="BF74" s="161"/>
      <c r="BG74" s="161"/>
      <c r="BH74" s="161"/>
      <c r="BI74" s="39"/>
      <c r="BJ74" s="161"/>
      <c r="BK74" s="161"/>
      <c r="BL74" s="161"/>
      <c r="BM74" s="161"/>
      <c r="BN74" s="39"/>
      <c r="BO74"/>
      <c r="BP74"/>
      <c r="BQ74"/>
    </row>
    <row r="75" spans="1:69" x14ac:dyDescent="0.35">
      <c r="A75" s="24"/>
      <c r="B75" s="35" t="s">
        <v>220</v>
      </c>
      <c r="C75" s="24"/>
      <c r="D75" s="24"/>
      <c r="E75" s="24"/>
      <c r="F75" s="193"/>
      <c r="G75" s="16"/>
      <c r="H75" s="16"/>
      <c r="I75" s="16"/>
      <c r="J75" s="16"/>
      <c r="K75" s="193">
        <v>0</v>
      </c>
      <c r="L75" s="206"/>
      <c r="M75" s="16"/>
      <c r="N75" s="147"/>
      <c r="O75" s="16"/>
      <c r="P75" s="193">
        <v>2291.9</v>
      </c>
      <c r="Q75" s="160">
        <v>0</v>
      </c>
      <c r="R75" s="160">
        <v>299.60000000000002</v>
      </c>
      <c r="S75" s="160">
        <v>0</v>
      </c>
      <c r="T75" s="160">
        <v>790.30000000000007</v>
      </c>
      <c r="U75" s="193">
        <v>1089.9000000000001</v>
      </c>
      <c r="V75" s="160">
        <v>0</v>
      </c>
      <c r="W75" s="160">
        <v>0</v>
      </c>
      <c r="X75" s="160">
        <v>0</v>
      </c>
      <c r="Y75" s="160">
        <v>0</v>
      </c>
      <c r="Z75" s="289">
        <f t="shared" ref="Z75:Z85" si="88">SUM(V75:Y75)</f>
        <v>0</v>
      </c>
      <c r="AA75" s="160">
        <v>1489</v>
      </c>
      <c r="AB75" s="160">
        <v>295</v>
      </c>
      <c r="AC75" s="160">
        <v>496</v>
      </c>
      <c r="AD75" s="160">
        <v>-789</v>
      </c>
      <c r="AE75" s="193">
        <v>1491</v>
      </c>
      <c r="AF75" s="160">
        <v>0</v>
      </c>
      <c r="AG75" s="160">
        <v>0</v>
      </c>
      <c r="AH75" s="160">
        <v>1178</v>
      </c>
      <c r="AI75" s="160">
        <v>494</v>
      </c>
      <c r="AJ75" s="193">
        <v>1672</v>
      </c>
      <c r="AK75" s="160">
        <v>491</v>
      </c>
      <c r="AL75" s="160">
        <v>0</v>
      </c>
      <c r="AM75" s="160">
        <v>497</v>
      </c>
      <c r="AN75" s="160">
        <v>0</v>
      </c>
      <c r="AO75" s="289">
        <f t="shared" ref="AO75:AO85" si="89">SUM(AK75:AN75)</f>
        <v>988</v>
      </c>
      <c r="AP75" s="160">
        <v>0</v>
      </c>
      <c r="AQ75" s="160">
        <v>0</v>
      </c>
      <c r="AR75" s="160">
        <v>0</v>
      </c>
      <c r="AS75" s="206">
        <f t="shared" ref="AS75:AS85" si="90">AT75-AR75-AQ75-AP75</f>
        <v>0</v>
      </c>
      <c r="AT75" s="193">
        <v>0</v>
      </c>
      <c r="AU75" s="160">
        <v>0</v>
      </c>
      <c r="AV75" s="160">
        <v>0</v>
      </c>
      <c r="AW75" s="160">
        <f>496-AV75-AU75</f>
        <v>496</v>
      </c>
      <c r="AX75" s="160">
        <f>496-AW75-AV75-AU75</f>
        <v>0</v>
      </c>
      <c r="AY75" s="193">
        <v>496</v>
      </c>
      <c r="AZ75" s="160">
        <v>0</v>
      </c>
      <c r="BA75" s="160">
        <v>0</v>
      </c>
      <c r="BB75" s="160">
        <v>0</v>
      </c>
      <c r="BC75" s="160">
        <v>0</v>
      </c>
      <c r="BD75" s="289">
        <f t="shared" ref="BD75:BD80" si="91">SUM(AZ75:BC75)</f>
        <v>0</v>
      </c>
      <c r="BE75" s="160">
        <v>0</v>
      </c>
      <c r="BF75" s="160">
        <v>0</v>
      </c>
      <c r="BG75" s="160">
        <v>0</v>
      </c>
      <c r="BH75" s="160">
        <v>0</v>
      </c>
      <c r="BI75" s="289">
        <f t="shared" ref="BI75:BI80" si="92">SUM(BE75:BH75)</f>
        <v>0</v>
      </c>
      <c r="BJ75" s="160">
        <v>0</v>
      </c>
      <c r="BK75" s="160">
        <v>0</v>
      </c>
      <c r="BL75" s="160">
        <v>0</v>
      </c>
      <c r="BM75" s="160">
        <v>0</v>
      </c>
      <c r="BN75" s="289">
        <f t="shared" ref="BN75:BN80" si="93">SUM(BJ75:BM75)</f>
        <v>0</v>
      </c>
      <c r="BO75"/>
      <c r="BP75"/>
      <c r="BQ75"/>
    </row>
    <row r="76" spans="1:69" x14ac:dyDescent="0.35">
      <c r="A76" s="24"/>
      <c r="B76" s="35" t="s">
        <v>221</v>
      </c>
      <c r="C76" s="24"/>
      <c r="D76" s="24"/>
      <c r="E76" s="24"/>
      <c r="F76" s="193"/>
      <c r="G76" s="16"/>
      <c r="H76" s="16"/>
      <c r="I76" s="16"/>
      <c r="J76" s="16"/>
      <c r="K76" s="193">
        <v>0</v>
      </c>
      <c r="L76" s="206"/>
      <c r="M76" s="16"/>
      <c r="N76" s="147"/>
      <c r="O76" s="16"/>
      <c r="P76" s="193">
        <v>-300</v>
      </c>
      <c r="Q76" s="160">
        <v>0</v>
      </c>
      <c r="R76" s="160">
        <v>-450</v>
      </c>
      <c r="S76" s="160">
        <v>-300</v>
      </c>
      <c r="T76" s="160">
        <v>-50</v>
      </c>
      <c r="U76" s="193">
        <v>-800</v>
      </c>
      <c r="V76" s="160">
        <v>-450</v>
      </c>
      <c r="W76" s="160">
        <v>0</v>
      </c>
      <c r="X76" s="160">
        <v>0</v>
      </c>
      <c r="Y76" s="160">
        <v>0</v>
      </c>
      <c r="Z76" s="289">
        <f t="shared" si="88"/>
        <v>-450</v>
      </c>
      <c r="AA76" s="160">
        <v>-305</v>
      </c>
      <c r="AB76" s="160">
        <v>-787</v>
      </c>
      <c r="AC76" s="160">
        <v>-500</v>
      </c>
      <c r="AD76" s="160">
        <v>792</v>
      </c>
      <c r="AE76" s="193">
        <v>-800</v>
      </c>
      <c r="AF76" s="160">
        <v>0</v>
      </c>
      <c r="AG76" s="160">
        <v>0</v>
      </c>
      <c r="AH76" s="160">
        <v>0</v>
      </c>
      <c r="AI76" s="160">
        <v>-500</v>
      </c>
      <c r="AJ76" s="193">
        <v>-500</v>
      </c>
      <c r="AK76" s="160">
        <v>0</v>
      </c>
      <c r="AL76" s="160">
        <v>0</v>
      </c>
      <c r="AM76" s="160">
        <v>-500</v>
      </c>
      <c r="AN76" s="160">
        <v>-126</v>
      </c>
      <c r="AO76" s="289">
        <f>SUM(AK76:AN76)</f>
        <v>-626</v>
      </c>
      <c r="AP76" s="160">
        <v>0</v>
      </c>
      <c r="AQ76" s="160">
        <f>-200-AP76</f>
        <v>-200</v>
      </c>
      <c r="AR76" s="160">
        <f>-500-AQ76--AP76</f>
        <v>-300</v>
      </c>
      <c r="AS76" s="206">
        <f t="shared" si="90"/>
        <v>0</v>
      </c>
      <c r="AT76" s="193">
        <v>-500</v>
      </c>
      <c r="AU76" s="160">
        <v>0</v>
      </c>
      <c r="AV76" s="160">
        <v>0</v>
      </c>
      <c r="AW76" s="160">
        <v>0</v>
      </c>
      <c r="AX76" s="160">
        <v>0</v>
      </c>
      <c r="AY76" s="193">
        <v>0</v>
      </c>
      <c r="AZ76" s="160">
        <v>-700</v>
      </c>
      <c r="BA76" s="160">
        <f>-700-AZ76</f>
        <v>0</v>
      </c>
      <c r="BB76" s="160">
        <f>-700-BA76-AZ76</f>
        <v>0</v>
      </c>
      <c r="BC76" s="160">
        <v>0</v>
      </c>
      <c r="BD76" s="289">
        <f t="shared" si="91"/>
        <v>-700</v>
      </c>
      <c r="BE76" s="160">
        <v>0</v>
      </c>
      <c r="BF76" s="160">
        <v>0</v>
      </c>
      <c r="BG76" s="160">
        <v>0</v>
      </c>
      <c r="BH76" s="160">
        <v>0</v>
      </c>
      <c r="BI76" s="289">
        <f t="shared" si="92"/>
        <v>0</v>
      </c>
      <c r="BJ76" s="160">
        <v>0</v>
      </c>
      <c r="BK76" s="160">
        <v>0</v>
      </c>
      <c r="BL76" s="160">
        <v>0</v>
      </c>
      <c r="BM76" s="160">
        <v>0</v>
      </c>
      <c r="BN76" s="289">
        <f t="shared" si="93"/>
        <v>0</v>
      </c>
      <c r="BO76"/>
      <c r="BP76"/>
      <c r="BQ76"/>
    </row>
    <row r="77" spans="1:69" x14ac:dyDescent="0.35">
      <c r="A77" s="24"/>
      <c r="B77" s="35" t="s">
        <v>222</v>
      </c>
      <c r="C77" s="24"/>
      <c r="D77" s="24"/>
      <c r="E77" s="24"/>
      <c r="F77" s="193"/>
      <c r="G77" s="16"/>
      <c r="H77" s="16"/>
      <c r="I77" s="16"/>
      <c r="J77" s="16"/>
      <c r="K77" s="193">
        <v>0</v>
      </c>
      <c r="L77" s="206"/>
      <c r="M77" s="16"/>
      <c r="N77" s="147"/>
      <c r="O77" s="16"/>
      <c r="P77" s="193">
        <v>1837.1</v>
      </c>
      <c r="Q77" s="160">
        <v>219.6</v>
      </c>
      <c r="R77" s="160">
        <v>139.79999999999998</v>
      </c>
      <c r="S77" s="160">
        <v>75</v>
      </c>
      <c r="T77" s="160">
        <v>554.30000000000007</v>
      </c>
      <c r="U77" s="193">
        <v>988.7</v>
      </c>
      <c r="V77" s="160">
        <v>402.8</v>
      </c>
      <c r="W77" s="160">
        <v>0</v>
      </c>
      <c r="X77" s="160">
        <v>0</v>
      </c>
      <c r="Y77" s="160">
        <v>0</v>
      </c>
      <c r="Z77" s="289">
        <f t="shared" si="88"/>
        <v>402.8</v>
      </c>
      <c r="AA77" s="160">
        <v>0</v>
      </c>
      <c r="AB77" s="160">
        <v>0</v>
      </c>
      <c r="AC77" s="160">
        <v>0</v>
      </c>
      <c r="AD77" s="160">
        <v>789</v>
      </c>
      <c r="AE77" s="193">
        <v>789</v>
      </c>
      <c r="AF77" s="160">
        <v>0</v>
      </c>
      <c r="AG77" s="160">
        <v>0</v>
      </c>
      <c r="AH77" s="160">
        <v>0</v>
      </c>
      <c r="AI77" s="160">
        <v>0</v>
      </c>
      <c r="AJ77" s="193">
        <v>0</v>
      </c>
      <c r="AK77" s="160">
        <v>0</v>
      </c>
      <c r="AL77" s="160">
        <v>0</v>
      </c>
      <c r="AM77" s="160">
        <v>0</v>
      </c>
      <c r="AN77" s="160">
        <v>0</v>
      </c>
      <c r="AO77" s="289">
        <f t="shared" si="89"/>
        <v>0</v>
      </c>
      <c r="AP77" s="160">
        <v>0</v>
      </c>
      <c r="AQ77" s="160">
        <v>0</v>
      </c>
      <c r="AR77" s="160">
        <v>0</v>
      </c>
      <c r="AS77" s="206">
        <f t="shared" si="90"/>
        <v>0</v>
      </c>
      <c r="AT77" s="193">
        <v>0</v>
      </c>
      <c r="AU77" s="160">
        <v>0</v>
      </c>
      <c r="AV77" s="160">
        <v>0</v>
      </c>
      <c r="AW77" s="160">
        <v>0</v>
      </c>
      <c r="AX77" s="160">
        <v>0</v>
      </c>
      <c r="AY77" s="193">
        <v>0</v>
      </c>
      <c r="AZ77" s="160">
        <v>0</v>
      </c>
      <c r="BA77" s="160">
        <v>0</v>
      </c>
      <c r="BB77" s="160">
        <v>0</v>
      </c>
      <c r="BC77" s="160">
        <v>0</v>
      </c>
      <c r="BD77" s="289">
        <f t="shared" si="91"/>
        <v>0</v>
      </c>
      <c r="BE77" s="160">
        <v>0</v>
      </c>
      <c r="BF77" s="160">
        <v>0</v>
      </c>
      <c r="BG77" s="160">
        <v>0</v>
      </c>
      <c r="BH77" s="160">
        <v>0</v>
      </c>
      <c r="BI77" s="289">
        <f t="shared" si="92"/>
        <v>0</v>
      </c>
      <c r="BJ77" s="160">
        <v>0</v>
      </c>
      <c r="BK77" s="160">
        <v>0</v>
      </c>
      <c r="BL77" s="160">
        <v>0</v>
      </c>
      <c r="BM77" s="160">
        <v>0</v>
      </c>
      <c r="BN77" s="289">
        <f t="shared" si="93"/>
        <v>0</v>
      </c>
      <c r="BO77"/>
      <c r="BP77"/>
      <c r="BQ77"/>
    </row>
    <row r="78" spans="1:69" x14ac:dyDescent="0.35">
      <c r="A78" s="24"/>
      <c r="B78" s="35" t="s">
        <v>223</v>
      </c>
      <c r="C78" s="24"/>
      <c r="D78" s="24"/>
      <c r="E78" s="24"/>
      <c r="F78" s="193"/>
      <c r="G78" s="16"/>
      <c r="H78" s="16"/>
      <c r="I78" s="16"/>
      <c r="J78" s="16"/>
      <c r="K78" s="193">
        <v>0</v>
      </c>
      <c r="L78" s="206"/>
      <c r="M78" s="16"/>
      <c r="N78" s="147"/>
      <c r="O78" s="16"/>
      <c r="P78" s="193">
        <v>-1707.2</v>
      </c>
      <c r="Q78" s="160">
        <v>-259.60000000000002</v>
      </c>
      <c r="R78" s="160">
        <v>-139.79999999999995</v>
      </c>
      <c r="S78" s="160">
        <v>-139.80000000000007</v>
      </c>
      <c r="T78" s="160">
        <v>-580.79999999999995</v>
      </c>
      <c r="U78" s="193">
        <v>-1120</v>
      </c>
      <c r="V78" s="160">
        <v>-85</v>
      </c>
      <c r="W78" s="160">
        <v>0</v>
      </c>
      <c r="X78" s="160">
        <v>0</v>
      </c>
      <c r="Y78" s="160">
        <v>0</v>
      </c>
      <c r="Z78" s="289">
        <f t="shared" si="88"/>
        <v>-85</v>
      </c>
      <c r="AA78" s="160">
        <v>0</v>
      </c>
      <c r="AB78" s="160">
        <v>0</v>
      </c>
      <c r="AC78" s="160">
        <v>0</v>
      </c>
      <c r="AD78" s="160">
        <v>-792</v>
      </c>
      <c r="AE78" s="193">
        <v>-792</v>
      </c>
      <c r="AF78" s="160">
        <v>0</v>
      </c>
      <c r="AG78" s="160">
        <v>0</v>
      </c>
      <c r="AH78" s="160">
        <v>0</v>
      </c>
      <c r="AI78" s="160">
        <v>0</v>
      </c>
      <c r="AJ78" s="193">
        <v>0</v>
      </c>
      <c r="AK78" s="160">
        <v>0</v>
      </c>
      <c r="AL78" s="160">
        <v>0</v>
      </c>
      <c r="AM78" s="160">
        <v>0</v>
      </c>
      <c r="AN78" s="160">
        <v>0</v>
      </c>
      <c r="AO78" s="289">
        <f t="shared" si="89"/>
        <v>0</v>
      </c>
      <c r="AP78" s="160">
        <v>0</v>
      </c>
      <c r="AQ78" s="160">
        <v>0</v>
      </c>
      <c r="AR78" s="160">
        <v>0</v>
      </c>
      <c r="AS78" s="206">
        <f t="shared" si="90"/>
        <v>0</v>
      </c>
      <c r="AT78" s="193">
        <v>0</v>
      </c>
      <c r="AU78" s="160">
        <v>0</v>
      </c>
      <c r="AV78" s="160">
        <v>0</v>
      </c>
      <c r="AW78" s="160">
        <v>0</v>
      </c>
      <c r="AX78" s="160">
        <v>0</v>
      </c>
      <c r="AY78" s="193">
        <v>0</v>
      </c>
      <c r="AZ78" s="160">
        <v>0</v>
      </c>
      <c r="BA78" s="160">
        <v>0</v>
      </c>
      <c r="BB78" s="160">
        <v>0</v>
      </c>
      <c r="BC78" s="160">
        <v>0</v>
      </c>
      <c r="BD78" s="289">
        <f t="shared" si="91"/>
        <v>0</v>
      </c>
      <c r="BE78" s="160">
        <v>0</v>
      </c>
      <c r="BF78" s="160">
        <v>0</v>
      </c>
      <c r="BG78" s="160">
        <v>0</v>
      </c>
      <c r="BH78" s="160">
        <v>0</v>
      </c>
      <c r="BI78" s="289">
        <f t="shared" si="92"/>
        <v>0</v>
      </c>
      <c r="BJ78" s="160">
        <v>0</v>
      </c>
      <c r="BK78" s="160">
        <v>0</v>
      </c>
      <c r="BL78" s="160">
        <v>0</v>
      </c>
      <c r="BM78" s="160">
        <v>0</v>
      </c>
      <c r="BN78" s="289">
        <f t="shared" si="93"/>
        <v>0</v>
      </c>
      <c r="BO78"/>
      <c r="BP78"/>
      <c r="BQ78"/>
    </row>
    <row r="79" spans="1:69" x14ac:dyDescent="0.35">
      <c r="A79" s="24"/>
      <c r="B79" s="35" t="s">
        <v>224</v>
      </c>
      <c r="C79" s="24"/>
      <c r="D79" s="24"/>
      <c r="E79" s="24"/>
      <c r="F79" s="193"/>
      <c r="G79" s="16"/>
      <c r="H79" s="16"/>
      <c r="I79" s="16"/>
      <c r="J79" s="16"/>
      <c r="K79" s="193">
        <v>77.8</v>
      </c>
      <c r="L79" s="206"/>
      <c r="M79" s="16"/>
      <c r="N79" s="147"/>
      <c r="O79" s="16"/>
      <c r="P79" s="193">
        <v>55.6</v>
      </c>
      <c r="Q79" s="160">
        <v>28.5</v>
      </c>
      <c r="R79" s="160">
        <v>8.3999999999999986</v>
      </c>
      <c r="S79" s="160">
        <v>6</v>
      </c>
      <c r="T79" s="160">
        <v>-42.9</v>
      </c>
      <c r="U79" s="193">
        <v>0</v>
      </c>
      <c r="V79" s="160">
        <v>14.2</v>
      </c>
      <c r="W79" s="160">
        <v>0</v>
      </c>
      <c r="X79" s="160">
        <v>0</v>
      </c>
      <c r="Y79" s="160">
        <v>0</v>
      </c>
      <c r="Z79" s="289">
        <f t="shared" si="88"/>
        <v>14.2</v>
      </c>
      <c r="AA79" s="160">
        <v>16</v>
      </c>
      <c r="AB79" s="160">
        <v>13</v>
      </c>
      <c r="AC79" s="160">
        <v>12</v>
      </c>
      <c r="AD79" s="160">
        <v>10</v>
      </c>
      <c r="AE79" s="193">
        <v>51</v>
      </c>
      <c r="AF79" s="160">
        <v>9</v>
      </c>
      <c r="AG79" s="160">
        <v>14</v>
      </c>
      <c r="AH79" s="160">
        <v>7</v>
      </c>
      <c r="AI79" s="160">
        <v>8</v>
      </c>
      <c r="AJ79" s="193">
        <v>38</v>
      </c>
      <c r="AK79" s="160">
        <v>8</v>
      </c>
      <c r="AL79" s="160">
        <v>8</v>
      </c>
      <c r="AM79" s="160">
        <v>5</v>
      </c>
      <c r="AN79" s="160">
        <v>5</v>
      </c>
      <c r="AO79" s="289">
        <f t="shared" si="89"/>
        <v>26</v>
      </c>
      <c r="AP79" s="160">
        <v>11</v>
      </c>
      <c r="AQ79" s="160">
        <f>31-AP79</f>
        <v>20</v>
      </c>
      <c r="AR79" s="160">
        <f>40-AQ79-AP79</f>
        <v>9</v>
      </c>
      <c r="AS79" s="206">
        <f t="shared" si="90"/>
        <v>10</v>
      </c>
      <c r="AT79" s="193">
        <v>50</v>
      </c>
      <c r="AU79" s="160">
        <v>20</v>
      </c>
      <c r="AV79" s="160">
        <f>45-AU79</f>
        <v>25</v>
      </c>
      <c r="AW79" s="160">
        <f>60-AV79-AU79</f>
        <v>15</v>
      </c>
      <c r="AX79" s="160">
        <f>73-AW79-AV79-AU79</f>
        <v>13</v>
      </c>
      <c r="AY79" s="193">
        <v>73</v>
      </c>
      <c r="AZ79" s="160">
        <v>23</v>
      </c>
      <c r="BA79" s="160">
        <f>32-AZ79</f>
        <v>9</v>
      </c>
      <c r="BB79" s="160">
        <f>44-BA79-AZ79</f>
        <v>12</v>
      </c>
      <c r="BC79" s="160">
        <v>0</v>
      </c>
      <c r="BD79" s="289">
        <f t="shared" si="91"/>
        <v>44</v>
      </c>
      <c r="BE79" s="160">
        <v>0</v>
      </c>
      <c r="BF79" s="160">
        <v>0</v>
      </c>
      <c r="BG79" s="160">
        <v>0</v>
      </c>
      <c r="BH79" s="160">
        <v>0</v>
      </c>
      <c r="BI79" s="289">
        <f t="shared" si="92"/>
        <v>0</v>
      </c>
      <c r="BJ79" s="160">
        <v>0</v>
      </c>
      <c r="BK79" s="160">
        <v>0</v>
      </c>
      <c r="BL79" s="160">
        <v>0</v>
      </c>
      <c r="BM79" s="160">
        <v>0</v>
      </c>
      <c r="BN79" s="289">
        <f t="shared" si="93"/>
        <v>0</v>
      </c>
      <c r="BO79"/>
      <c r="BP79"/>
      <c r="BQ79"/>
    </row>
    <row r="80" spans="1:69" x14ac:dyDescent="0.35">
      <c r="A80" s="24"/>
      <c r="B80" s="35" t="s">
        <v>225</v>
      </c>
      <c r="C80" s="24"/>
      <c r="D80" s="24"/>
      <c r="E80" s="24"/>
      <c r="F80" s="193"/>
      <c r="G80" s="16"/>
      <c r="H80" s="16"/>
      <c r="I80" s="16"/>
      <c r="J80" s="16"/>
      <c r="K80" s="193">
        <v>-44.4</v>
      </c>
      <c r="L80" s="206"/>
      <c r="M80" s="16"/>
      <c r="N80" s="147"/>
      <c r="O80" s="16"/>
      <c r="P80" s="193">
        <v>-48.8</v>
      </c>
      <c r="Q80" s="160">
        <v>-42</v>
      </c>
      <c r="R80" s="160">
        <v>-19.5</v>
      </c>
      <c r="S80" s="160">
        <v>-0.5</v>
      </c>
      <c r="T80" s="160">
        <v>108.9</v>
      </c>
      <c r="U80" s="193">
        <v>46.9</v>
      </c>
      <c r="V80" s="160">
        <v>-50.6</v>
      </c>
      <c r="W80" s="160">
        <v>0</v>
      </c>
      <c r="X80" s="160">
        <v>0</v>
      </c>
      <c r="Y80" s="160">
        <v>0</v>
      </c>
      <c r="Z80" s="289">
        <f t="shared" si="88"/>
        <v>-50.6</v>
      </c>
      <c r="AA80" s="160">
        <v>0</v>
      </c>
      <c r="AB80" s="160">
        <v>0</v>
      </c>
      <c r="AC80" s="160">
        <v>0</v>
      </c>
      <c r="AD80" s="160">
        <v>-104</v>
      </c>
      <c r="AE80" s="193">
        <v>-104</v>
      </c>
      <c r="AF80" s="160">
        <v>-51</v>
      </c>
      <c r="AG80" s="160">
        <v>-28</v>
      </c>
      <c r="AH80" s="160">
        <v>-3</v>
      </c>
      <c r="AI80" s="160">
        <v>-1</v>
      </c>
      <c r="AJ80" s="193">
        <v>-83</v>
      </c>
      <c r="AK80" s="160">
        <v>-58</v>
      </c>
      <c r="AL80" s="160">
        <v>-25</v>
      </c>
      <c r="AM80" s="160">
        <v>-2</v>
      </c>
      <c r="AN80" s="160">
        <v>-2</v>
      </c>
      <c r="AO80" s="289">
        <f t="shared" si="89"/>
        <v>-87</v>
      </c>
      <c r="AP80" s="160">
        <v>-45</v>
      </c>
      <c r="AQ80" s="160">
        <f>-64-AP80</f>
        <v>-19</v>
      </c>
      <c r="AR80" s="160">
        <f>-67-AQ80-AP80</f>
        <v>-3</v>
      </c>
      <c r="AS80" s="206">
        <f t="shared" si="90"/>
        <v>-4</v>
      </c>
      <c r="AT80" s="193">
        <v>-71</v>
      </c>
      <c r="AU80" s="160">
        <v>-53</v>
      </c>
      <c r="AV80" s="160">
        <f>-82-AU80</f>
        <v>-29</v>
      </c>
      <c r="AW80" s="160">
        <f>-85-AV80-AU80</f>
        <v>-3</v>
      </c>
      <c r="AX80" s="160">
        <f>-91-AW80-AV80-AU80</f>
        <v>-6</v>
      </c>
      <c r="AY80" s="193">
        <v>-91</v>
      </c>
      <c r="AZ80" s="160">
        <v>-53</v>
      </c>
      <c r="BA80" s="160">
        <f>-88-AZ80</f>
        <v>-35</v>
      </c>
      <c r="BB80" s="160">
        <f>-92-BA80-AZ80</f>
        <v>-4</v>
      </c>
      <c r="BC80" s="160">
        <v>0</v>
      </c>
      <c r="BD80" s="289">
        <f t="shared" si="91"/>
        <v>-92</v>
      </c>
      <c r="BE80" s="160">
        <v>0</v>
      </c>
      <c r="BF80" s="160">
        <v>0</v>
      </c>
      <c r="BG80" s="160">
        <v>0</v>
      </c>
      <c r="BH80" s="160">
        <v>0</v>
      </c>
      <c r="BI80" s="289">
        <f t="shared" si="92"/>
        <v>0</v>
      </c>
      <c r="BJ80" s="160">
        <v>0</v>
      </c>
      <c r="BK80" s="160">
        <v>0</v>
      </c>
      <c r="BL80" s="160">
        <v>0</v>
      </c>
      <c r="BM80" s="160">
        <v>0</v>
      </c>
      <c r="BN80" s="289">
        <f t="shared" si="93"/>
        <v>0</v>
      </c>
      <c r="BO80"/>
      <c r="BP80"/>
      <c r="BQ80"/>
    </row>
    <row r="81" spans="1:69" x14ac:dyDescent="0.35">
      <c r="A81" s="24"/>
      <c r="B81" s="35" t="s">
        <v>226</v>
      </c>
      <c r="C81" s="24"/>
      <c r="D81" s="24"/>
      <c r="E81" s="24"/>
      <c r="F81" s="193"/>
      <c r="G81" s="16"/>
      <c r="H81" s="16"/>
      <c r="I81" s="16"/>
      <c r="J81" s="16"/>
      <c r="K81" s="193">
        <v>-738.8</v>
      </c>
      <c r="L81" s="206"/>
      <c r="M81" s="16"/>
      <c r="N81" s="147"/>
      <c r="O81" s="16"/>
      <c r="P81" s="193">
        <v>-199.7</v>
      </c>
      <c r="Q81" s="160">
        <v>-43.4</v>
      </c>
      <c r="R81" s="160">
        <v>-37.6</v>
      </c>
      <c r="S81" s="160">
        <v>-66.199999999999989</v>
      </c>
      <c r="T81" s="160">
        <v>-55.400000000000006</v>
      </c>
      <c r="U81" s="193">
        <v>-202.6</v>
      </c>
      <c r="V81" s="160">
        <v>-448.2</v>
      </c>
      <c r="W81" s="160">
        <f>-0.3*200</f>
        <v>-60</v>
      </c>
      <c r="X81" s="160">
        <v>0</v>
      </c>
      <c r="Y81" s="160">
        <v>0</v>
      </c>
      <c r="Z81" s="289">
        <f>SUM(V81:Y81)</f>
        <v>-508.2</v>
      </c>
      <c r="AA81" s="160">
        <v>-253</v>
      </c>
      <c r="AB81" s="160">
        <v>0</v>
      </c>
      <c r="AC81" s="160">
        <v>0</v>
      </c>
      <c r="AD81" s="160">
        <v>-250</v>
      </c>
      <c r="AE81" s="193">
        <v>-503</v>
      </c>
      <c r="AF81" s="160">
        <v>-132</v>
      </c>
      <c r="AG81" s="160">
        <v>-371</v>
      </c>
      <c r="AH81" s="160">
        <v>-125</v>
      </c>
      <c r="AI81" s="160">
        <v>-122</v>
      </c>
      <c r="AJ81" s="193">
        <v>-750</v>
      </c>
      <c r="AK81" s="160">
        <v>-658</v>
      </c>
      <c r="AL81" s="160">
        <v>-213</v>
      </c>
      <c r="AM81" s="160">
        <v>-112</v>
      </c>
      <c r="AN81" s="160">
        <v>0</v>
      </c>
      <c r="AO81" s="289">
        <f>SUM(AK81:AN81)</f>
        <v>-983</v>
      </c>
      <c r="AP81" s="160">
        <v>-41</v>
      </c>
      <c r="AQ81" s="160">
        <f>-108-AP81</f>
        <v>-67</v>
      </c>
      <c r="AR81" s="160">
        <f>-278-AQ81-AP81</f>
        <v>-170</v>
      </c>
      <c r="AS81" s="206">
        <f t="shared" si="90"/>
        <v>-212</v>
      </c>
      <c r="AT81" s="193">
        <v>-490</v>
      </c>
      <c r="AU81" s="160">
        <v>-120</v>
      </c>
      <c r="AV81" s="160">
        <f>-384-AU81</f>
        <v>-264</v>
      </c>
      <c r="AW81" s="160">
        <f>-812-AV81-AU81</f>
        <v>-428</v>
      </c>
      <c r="AX81" s="160">
        <f>-1292-AW81-AV81-AU81</f>
        <v>-480</v>
      </c>
      <c r="AY81" s="193">
        <v>-1292</v>
      </c>
      <c r="AZ81" s="160">
        <v>-373</v>
      </c>
      <c r="BA81" s="160">
        <f>-657-AZ81</f>
        <v>-284</v>
      </c>
      <c r="BB81" s="160">
        <f>-1170-BA81-AZ81</f>
        <v>-513</v>
      </c>
      <c r="BC81" s="160">
        <v>-350</v>
      </c>
      <c r="BD81" s="289">
        <f>SUM(AZ81:BC81)</f>
        <v>-1520</v>
      </c>
      <c r="BE81" s="160">
        <v>-325</v>
      </c>
      <c r="BF81" s="160">
        <v>-325</v>
      </c>
      <c r="BG81" s="160">
        <v>-325</v>
      </c>
      <c r="BH81" s="160">
        <v>-325</v>
      </c>
      <c r="BI81" s="289">
        <f>SUM(BE81:BH81)</f>
        <v>-1300</v>
      </c>
      <c r="BJ81" s="160">
        <v>-325</v>
      </c>
      <c r="BK81" s="160">
        <v>-325</v>
      </c>
      <c r="BL81" s="160">
        <v>-325</v>
      </c>
      <c r="BM81" s="160">
        <v>-325</v>
      </c>
      <c r="BN81" s="289">
        <f>SUM(BJ81:BM81)</f>
        <v>-1300</v>
      </c>
      <c r="BO81"/>
      <c r="BP81"/>
      <c r="BQ81"/>
    </row>
    <row r="82" spans="1:69" x14ac:dyDescent="0.35">
      <c r="A82" s="24"/>
      <c r="B82" s="35" t="s">
        <v>227</v>
      </c>
      <c r="C82" s="24"/>
      <c r="D82" s="24"/>
      <c r="E82" s="24"/>
      <c r="F82" s="193"/>
      <c r="G82" s="16"/>
      <c r="H82" s="16"/>
      <c r="I82" s="16"/>
      <c r="J82" s="16"/>
      <c r="K82" s="193">
        <v>-285.10000000000002</v>
      </c>
      <c r="L82" s="206"/>
      <c r="M82" s="16"/>
      <c r="N82" s="147"/>
      <c r="O82" s="16"/>
      <c r="P82" s="193">
        <v>-290.39999999999998</v>
      </c>
      <c r="Q82" s="160">
        <v>-84.1</v>
      </c>
      <c r="R82" s="160">
        <v>-84.5</v>
      </c>
      <c r="S82" s="160">
        <v>-84.300000000000011</v>
      </c>
      <c r="T82" s="160">
        <v>-84.299999999999983</v>
      </c>
      <c r="U82" s="193">
        <v>-337.2</v>
      </c>
      <c r="V82" s="160">
        <v>-125.3</v>
      </c>
      <c r="W82" s="160">
        <v>-94.6</v>
      </c>
      <c r="X82" s="162">
        <f>W82</f>
        <v>-94.6</v>
      </c>
      <c r="Y82" s="162">
        <f>X82</f>
        <v>-94.6</v>
      </c>
      <c r="Z82" s="289">
        <f t="shared" si="88"/>
        <v>-409.1</v>
      </c>
      <c r="AA82" s="160">
        <v>-105</v>
      </c>
      <c r="AB82" s="160">
        <v>-105</v>
      </c>
      <c r="AC82" s="160">
        <v>-105</v>
      </c>
      <c r="AD82" s="160">
        <v>-105</v>
      </c>
      <c r="AE82" s="193">
        <v>-420</v>
      </c>
      <c r="AF82" s="472">
        <v>-116</v>
      </c>
      <c r="AG82" s="160">
        <v>-116</v>
      </c>
      <c r="AH82" s="160">
        <v>-115</v>
      </c>
      <c r="AI82" s="160">
        <v>-116</v>
      </c>
      <c r="AJ82" s="193">
        <v>-463</v>
      </c>
      <c r="AK82" s="160">
        <v>-130</v>
      </c>
      <c r="AL82" s="160">
        <v>-129</v>
      </c>
      <c r="AM82" s="160">
        <v>-128</v>
      </c>
      <c r="AN82" s="160">
        <v>-128</v>
      </c>
      <c r="AO82" s="289">
        <f t="shared" si="89"/>
        <v>-515</v>
      </c>
      <c r="AP82" s="160">
        <v>-141</v>
      </c>
      <c r="AQ82" s="160">
        <f>-283-AP82</f>
        <v>-142</v>
      </c>
      <c r="AR82" s="160">
        <v>-141</v>
      </c>
      <c r="AS82" s="206">
        <f t="shared" si="90"/>
        <v>-140</v>
      </c>
      <c r="AT82" s="193">
        <v>-564</v>
      </c>
      <c r="AU82" s="160">
        <v>-155</v>
      </c>
      <c r="AV82" s="160">
        <f>-309-AU82</f>
        <v>-154</v>
      </c>
      <c r="AW82" s="160">
        <f>-465-AV82-AU82</f>
        <v>-156</v>
      </c>
      <c r="AX82" s="160">
        <f>-620-AW82-AV82-AU82</f>
        <v>-155</v>
      </c>
      <c r="AY82" s="193">
        <v>-620</v>
      </c>
      <c r="AZ82" s="160">
        <v>-195</v>
      </c>
      <c r="BA82" s="160">
        <f>-366-AZ82</f>
        <v>-171</v>
      </c>
      <c r="BB82" s="160">
        <f>-534-BA82-AZ82</f>
        <v>-168</v>
      </c>
      <c r="BC82" s="160">
        <f>BB82</f>
        <v>-168</v>
      </c>
      <c r="BD82" s="289">
        <f>SUM(AZ82:BC82)</f>
        <v>-702</v>
      </c>
      <c r="BE82" s="160">
        <f>BC82</f>
        <v>-168</v>
      </c>
      <c r="BF82" s="160">
        <f>BE82</f>
        <v>-168</v>
      </c>
      <c r="BG82" s="160">
        <f>BF82</f>
        <v>-168</v>
      </c>
      <c r="BH82" s="160">
        <f>BG82</f>
        <v>-168</v>
      </c>
      <c r="BI82" s="289">
        <f>SUM(BE82:BH82)</f>
        <v>-672</v>
      </c>
      <c r="BJ82" s="160">
        <f>BH82</f>
        <v>-168</v>
      </c>
      <c r="BK82" s="160">
        <f>BJ82</f>
        <v>-168</v>
      </c>
      <c r="BL82" s="160">
        <f>BK82</f>
        <v>-168</v>
      </c>
      <c r="BM82" s="160">
        <f>BL82</f>
        <v>-168</v>
      </c>
      <c r="BN82" s="289">
        <f>SUM(BJ82:BM82)</f>
        <v>-672</v>
      </c>
      <c r="BO82"/>
      <c r="BP82"/>
      <c r="BQ82"/>
    </row>
    <row r="83" spans="1:69" x14ac:dyDescent="0.35">
      <c r="A83" s="24"/>
      <c r="B83" s="35" t="s">
        <v>228</v>
      </c>
      <c r="C83" s="24"/>
      <c r="D83" s="24"/>
      <c r="E83" s="24"/>
      <c r="F83" s="193"/>
      <c r="G83" s="16"/>
      <c r="H83" s="16"/>
      <c r="I83" s="16"/>
      <c r="J83" s="16"/>
      <c r="K83" s="193">
        <v>-6.7</v>
      </c>
      <c r="L83" s="206"/>
      <c r="M83" s="16"/>
      <c r="N83" s="147"/>
      <c r="O83" s="16"/>
      <c r="P83" s="193">
        <v>-3.2</v>
      </c>
      <c r="Q83" s="160">
        <v>-1.1000000000000001</v>
      </c>
      <c r="R83" s="160">
        <v>-0.19999999999999996</v>
      </c>
      <c r="S83" s="160">
        <v>-2.7</v>
      </c>
      <c r="T83" s="160">
        <v>-0.40000000000000036</v>
      </c>
      <c r="U83" s="193">
        <v>-4.4000000000000004</v>
      </c>
      <c r="V83" s="160">
        <v>-94.4</v>
      </c>
      <c r="W83" s="160">
        <v>0</v>
      </c>
      <c r="X83" s="160">
        <v>0</v>
      </c>
      <c r="Y83" s="160">
        <v>0</v>
      </c>
      <c r="Z83" s="289">
        <f t="shared" si="88"/>
        <v>-94.4</v>
      </c>
      <c r="AA83" s="160">
        <v>0</v>
      </c>
      <c r="AB83" s="160">
        <v>-1</v>
      </c>
      <c r="AC83" s="160">
        <v>-17</v>
      </c>
      <c r="AD83" s="160">
        <v>17</v>
      </c>
      <c r="AE83" s="193">
        <v>-1</v>
      </c>
      <c r="AF83" s="160">
        <v>0</v>
      </c>
      <c r="AG83" s="160">
        <v>-1</v>
      </c>
      <c r="AH83" s="160">
        <v>-2</v>
      </c>
      <c r="AI83" s="160">
        <v>-2</v>
      </c>
      <c r="AJ83" s="193">
        <v>-5</v>
      </c>
      <c r="AK83" s="160">
        <v>0</v>
      </c>
      <c r="AL83" s="160">
        <v>-1</v>
      </c>
      <c r="AM83" s="160">
        <v>0</v>
      </c>
      <c r="AN83" s="160">
        <v>0</v>
      </c>
      <c r="AO83" s="289">
        <f t="shared" si="89"/>
        <v>-1</v>
      </c>
      <c r="AP83" s="160">
        <v>0</v>
      </c>
      <c r="AQ83" s="160">
        <v>0</v>
      </c>
      <c r="AR83" s="160">
        <v>-2</v>
      </c>
      <c r="AS83" s="206">
        <f t="shared" si="90"/>
        <v>-7</v>
      </c>
      <c r="AT83" s="193">
        <v>-9</v>
      </c>
      <c r="AU83" s="160">
        <v>0</v>
      </c>
      <c r="AV83" s="160">
        <v>-1</v>
      </c>
      <c r="AW83" s="160">
        <f>-1-AV83-AU83</f>
        <v>0</v>
      </c>
      <c r="AX83" s="160">
        <f>-7-AW83-AV83-AU83</f>
        <v>-6</v>
      </c>
      <c r="AY83" s="193">
        <v>-7</v>
      </c>
      <c r="AZ83" s="160">
        <v>0</v>
      </c>
      <c r="BA83" s="160">
        <f>-1-AZ83</f>
        <v>-1</v>
      </c>
      <c r="BB83" s="160">
        <f>-2-BA83-AZ83</f>
        <v>-1</v>
      </c>
      <c r="BC83" s="160">
        <v>0</v>
      </c>
      <c r="BD83" s="289">
        <f>SUM(AZ83:BC83)</f>
        <v>-2</v>
      </c>
      <c r="BE83" s="160">
        <v>0</v>
      </c>
      <c r="BF83" s="160">
        <v>0</v>
      </c>
      <c r="BG83" s="160">
        <v>0</v>
      </c>
      <c r="BH83" s="160">
        <v>0</v>
      </c>
      <c r="BI83" s="289">
        <f>SUM(BE83:BH83)</f>
        <v>0</v>
      </c>
      <c r="BJ83" s="160">
        <v>0</v>
      </c>
      <c r="BK83" s="160">
        <v>0</v>
      </c>
      <c r="BL83" s="160">
        <v>0</v>
      </c>
      <c r="BM83" s="160">
        <v>0</v>
      </c>
      <c r="BN83" s="289">
        <f>SUM(BJ83:BM83)</f>
        <v>0</v>
      </c>
      <c r="BO83"/>
      <c r="BP83"/>
      <c r="BQ83"/>
    </row>
    <row r="84" spans="1:69" x14ac:dyDescent="0.35">
      <c r="A84" s="24"/>
      <c r="B84" s="35" t="s">
        <v>279</v>
      </c>
      <c r="C84" s="24"/>
      <c r="D84" s="24"/>
      <c r="E84" s="24"/>
      <c r="F84" s="193"/>
      <c r="G84" s="16"/>
      <c r="H84" s="16"/>
      <c r="I84" s="16"/>
      <c r="J84" s="16"/>
      <c r="K84" s="193">
        <v>-45.4</v>
      </c>
      <c r="L84" s="206"/>
      <c r="M84" s="16"/>
      <c r="N84" s="147"/>
      <c r="O84" s="16"/>
      <c r="P84" s="193">
        <v>-8.5</v>
      </c>
      <c r="Q84" s="160">
        <v>-0.2</v>
      </c>
      <c r="R84" s="160">
        <v>0.2</v>
      </c>
      <c r="S84" s="160">
        <v>0</v>
      </c>
      <c r="T84" s="160">
        <v>0</v>
      </c>
      <c r="U84" s="193">
        <v>0</v>
      </c>
      <c r="V84" s="160">
        <v>-12.3</v>
      </c>
      <c r="W84" s="160">
        <v>0</v>
      </c>
      <c r="X84" s="160">
        <v>574</v>
      </c>
      <c r="Y84" s="160">
        <v>0</v>
      </c>
      <c r="Z84" s="289">
        <f t="shared" si="88"/>
        <v>561.70000000000005</v>
      </c>
      <c r="AA84" s="160">
        <v>-71</v>
      </c>
      <c r="AB84" s="160">
        <v>-46</v>
      </c>
      <c r="AC84" s="160">
        <v>16</v>
      </c>
      <c r="AD84" s="160">
        <v>78</v>
      </c>
      <c r="AE84" s="193">
        <v>-23</v>
      </c>
      <c r="AF84" s="160">
        <v>0</v>
      </c>
      <c r="AG84" s="160">
        <v>0</v>
      </c>
      <c r="AH84" s="160">
        <v>0</v>
      </c>
      <c r="AI84" s="160">
        <v>0</v>
      </c>
      <c r="AJ84" s="193">
        <v>0</v>
      </c>
      <c r="AK84" s="160">
        <v>0</v>
      </c>
      <c r="AL84" s="160">
        <v>0</v>
      </c>
      <c r="AM84" s="160">
        <v>0</v>
      </c>
      <c r="AN84" s="160">
        <v>0</v>
      </c>
      <c r="AO84" s="289">
        <f t="shared" si="89"/>
        <v>0</v>
      </c>
      <c r="AP84" s="160">
        <v>0</v>
      </c>
      <c r="AQ84" s="160">
        <v>0</v>
      </c>
      <c r="AR84" s="160">
        <v>0</v>
      </c>
      <c r="AS84" s="206">
        <f t="shared" si="90"/>
        <v>0</v>
      </c>
      <c r="AT84" s="193">
        <v>0</v>
      </c>
      <c r="AU84" s="160">
        <v>0</v>
      </c>
      <c r="AV84" s="160">
        <v>0</v>
      </c>
      <c r="AW84" s="160">
        <v>0</v>
      </c>
      <c r="AX84" s="160">
        <v>0</v>
      </c>
      <c r="AY84" s="193">
        <v>0</v>
      </c>
      <c r="AZ84" s="160">
        <v>0</v>
      </c>
      <c r="BA84" s="160">
        <v>0</v>
      </c>
      <c r="BB84" s="160">
        <v>0</v>
      </c>
      <c r="BC84" s="160">
        <v>0</v>
      </c>
      <c r="BD84" s="289">
        <f>SUM(AZ84:BC84)</f>
        <v>0</v>
      </c>
      <c r="BE84" s="160">
        <v>0</v>
      </c>
      <c r="BF84" s="160">
        <v>0</v>
      </c>
      <c r="BG84" s="160">
        <v>0</v>
      </c>
      <c r="BH84" s="160">
        <v>0</v>
      </c>
      <c r="BI84" s="289">
        <f>SUM(BE84:BH84)</f>
        <v>0</v>
      </c>
      <c r="BJ84" s="160">
        <v>0</v>
      </c>
      <c r="BK84" s="160">
        <v>0</v>
      </c>
      <c r="BL84" s="160">
        <v>0</v>
      </c>
      <c r="BM84" s="160">
        <v>0</v>
      </c>
      <c r="BN84" s="289">
        <f>SUM(BJ84:BM84)</f>
        <v>0</v>
      </c>
      <c r="BO84"/>
      <c r="BP84"/>
      <c r="BQ84"/>
    </row>
    <row r="85" spans="1:69" x14ac:dyDescent="0.35">
      <c r="A85" s="24"/>
      <c r="B85" s="35" t="s">
        <v>229</v>
      </c>
      <c r="C85" s="24"/>
      <c r="D85" s="24"/>
      <c r="E85" s="24"/>
      <c r="F85" s="193"/>
      <c r="G85" s="16"/>
      <c r="H85" s="16"/>
      <c r="I85" s="16"/>
      <c r="J85" s="16"/>
      <c r="K85" s="193">
        <f>-0.2-0.1</f>
        <v>-0.30000000000000004</v>
      </c>
      <c r="L85" s="206"/>
      <c r="M85" s="16"/>
      <c r="N85" s="147"/>
      <c r="O85" s="16"/>
      <c r="P85" s="193">
        <v>-26.7</v>
      </c>
      <c r="Q85" s="160">
        <v>0</v>
      </c>
      <c r="R85" s="160">
        <v>-1.7</v>
      </c>
      <c r="S85" s="160">
        <v>-0.10000000000000009</v>
      </c>
      <c r="T85" s="160">
        <v>-71</v>
      </c>
      <c r="U85" s="193">
        <f>-62.2-10.6</f>
        <v>-72.8</v>
      </c>
      <c r="V85" s="160">
        <v>0</v>
      </c>
      <c r="W85" s="160">
        <v>-1031.3999999999999</v>
      </c>
      <c r="X85" s="160">
        <v>0</v>
      </c>
      <c r="Y85" s="160">
        <v>0</v>
      </c>
      <c r="Z85" s="289">
        <f t="shared" si="88"/>
        <v>-1031.3999999999999</v>
      </c>
      <c r="AA85" s="160">
        <v>-6</v>
      </c>
      <c r="AB85" s="160">
        <v>-11</v>
      </c>
      <c r="AC85" s="160">
        <v>-22</v>
      </c>
      <c r="AD85" s="160">
        <v>0</v>
      </c>
      <c r="AE85" s="193">
        <v>-39</v>
      </c>
      <c r="AF85" s="160">
        <v>0</v>
      </c>
      <c r="AG85" s="160">
        <v>0</v>
      </c>
      <c r="AH85" s="160">
        <v>-13</v>
      </c>
      <c r="AI85" s="160">
        <v>-18</v>
      </c>
      <c r="AJ85" s="193">
        <v>-31</v>
      </c>
      <c r="AK85" s="160">
        <v>-5</v>
      </c>
      <c r="AL85" s="160">
        <v>0</v>
      </c>
      <c r="AM85" s="160">
        <v>-5</v>
      </c>
      <c r="AN85" s="160">
        <v>0</v>
      </c>
      <c r="AO85" s="289">
        <f t="shared" si="89"/>
        <v>-10</v>
      </c>
      <c r="AP85" s="160">
        <v>0</v>
      </c>
      <c r="AQ85" s="160">
        <v>0</v>
      </c>
      <c r="AR85" s="160">
        <v>0</v>
      </c>
      <c r="AS85" s="206">
        <f t="shared" si="90"/>
        <v>0</v>
      </c>
      <c r="AT85" s="193">
        <v>0</v>
      </c>
      <c r="AU85" s="160">
        <v>0</v>
      </c>
      <c r="AV85" s="160">
        <v>0</v>
      </c>
      <c r="AW85" s="160">
        <f>-5-AV85-AU85</f>
        <v>-5</v>
      </c>
      <c r="AX85" s="160">
        <f>-5-AW85-AV85-AU85</f>
        <v>0</v>
      </c>
      <c r="AY85" s="193">
        <v>-5</v>
      </c>
      <c r="AZ85" s="160">
        <v>0</v>
      </c>
      <c r="BA85" s="160">
        <v>0</v>
      </c>
      <c r="BB85" s="160">
        <v>0</v>
      </c>
      <c r="BC85" s="160">
        <v>0</v>
      </c>
      <c r="BD85" s="289">
        <f>SUM(AZ85:BC85)</f>
        <v>0</v>
      </c>
      <c r="BE85" s="160">
        <v>0</v>
      </c>
      <c r="BF85" s="160">
        <v>0</v>
      </c>
      <c r="BG85" s="160">
        <v>0</v>
      </c>
      <c r="BH85" s="160">
        <v>0</v>
      </c>
      <c r="BI85" s="289">
        <f>SUM(BE85:BH85)</f>
        <v>0</v>
      </c>
      <c r="BJ85" s="160">
        <v>0</v>
      </c>
      <c r="BK85" s="160">
        <v>0</v>
      </c>
      <c r="BL85" s="160">
        <v>0</v>
      </c>
      <c r="BM85" s="160">
        <v>0</v>
      </c>
      <c r="BN85" s="289">
        <f>SUM(BJ85:BM85)</f>
        <v>0</v>
      </c>
      <c r="BO85"/>
      <c r="BP85"/>
      <c r="BQ85"/>
    </row>
    <row r="86" spans="1:69" x14ac:dyDescent="0.35">
      <c r="A86" s="24"/>
      <c r="B86" s="24" t="s">
        <v>89</v>
      </c>
      <c r="C86" s="24"/>
      <c r="D86" s="24"/>
      <c r="E86" s="24"/>
      <c r="F86" s="194"/>
      <c r="G86" s="16"/>
      <c r="H86" s="16"/>
      <c r="I86" s="16"/>
      <c r="J86" s="16"/>
      <c r="K86" s="194">
        <f>SUM(K75:K85)</f>
        <v>-1042.9000000000001</v>
      </c>
      <c r="L86" s="188"/>
      <c r="M86" s="16"/>
      <c r="N86" s="149"/>
      <c r="O86" s="16"/>
      <c r="P86" s="194">
        <f t="shared" ref="P86:BD86" si="94">SUM(P75:P85)</f>
        <v>1600.1</v>
      </c>
      <c r="Q86" s="163">
        <f t="shared" si="94"/>
        <v>-182.3</v>
      </c>
      <c r="R86" s="163">
        <f t="shared" si="94"/>
        <v>-285.2999999999999</v>
      </c>
      <c r="S86" s="163">
        <f t="shared" si="94"/>
        <v>-512.60000000000014</v>
      </c>
      <c r="T86" s="163">
        <f t="shared" si="94"/>
        <v>568.70000000000027</v>
      </c>
      <c r="U86" s="194">
        <f t="shared" si="94"/>
        <v>-411.49999999999983</v>
      </c>
      <c r="V86" s="163">
        <f t="shared" si="94"/>
        <v>-848.79999999999984</v>
      </c>
      <c r="W86" s="163">
        <f t="shared" si="94"/>
        <v>-1185.9999999999998</v>
      </c>
      <c r="X86" s="163">
        <f t="shared" si="94"/>
        <v>479.4</v>
      </c>
      <c r="Y86" s="163">
        <f t="shared" si="94"/>
        <v>-94.6</v>
      </c>
      <c r="Z86" s="194">
        <f t="shared" si="94"/>
        <v>-1650</v>
      </c>
      <c r="AA86" s="163">
        <f t="shared" si="94"/>
        <v>765</v>
      </c>
      <c r="AB86" s="163">
        <f t="shared" si="94"/>
        <v>-642</v>
      </c>
      <c r="AC86" s="163">
        <f t="shared" si="94"/>
        <v>-120</v>
      </c>
      <c r="AD86" s="163">
        <f t="shared" si="94"/>
        <v>-354</v>
      </c>
      <c r="AE86" s="194">
        <f t="shared" si="94"/>
        <v>-351</v>
      </c>
      <c r="AF86" s="163">
        <f t="shared" si="94"/>
        <v>-290</v>
      </c>
      <c r="AG86" s="163">
        <f t="shared" si="94"/>
        <v>-502</v>
      </c>
      <c r="AH86" s="163">
        <f t="shared" si="94"/>
        <v>927</v>
      </c>
      <c r="AI86" s="163">
        <f t="shared" si="94"/>
        <v>-257</v>
      </c>
      <c r="AJ86" s="524">
        <f t="shared" si="94"/>
        <v>-122</v>
      </c>
      <c r="AK86" s="163">
        <f t="shared" si="94"/>
        <v>-352</v>
      </c>
      <c r="AL86" s="163">
        <f t="shared" si="94"/>
        <v>-360</v>
      </c>
      <c r="AM86" s="163">
        <f t="shared" si="94"/>
        <v>-245</v>
      </c>
      <c r="AN86" s="163">
        <f t="shared" si="94"/>
        <v>-251</v>
      </c>
      <c r="AO86" s="524">
        <f t="shared" si="94"/>
        <v>-1208</v>
      </c>
      <c r="AP86" s="163">
        <f t="shared" si="94"/>
        <v>-216</v>
      </c>
      <c r="AQ86" s="163">
        <f t="shared" si="94"/>
        <v>-408</v>
      </c>
      <c r="AR86" s="163">
        <f t="shared" si="94"/>
        <v>-607</v>
      </c>
      <c r="AS86" s="163">
        <f t="shared" si="94"/>
        <v>-353</v>
      </c>
      <c r="AT86" s="194">
        <f t="shared" si="94"/>
        <v>-1584</v>
      </c>
      <c r="AU86" s="163">
        <f t="shared" si="94"/>
        <v>-308</v>
      </c>
      <c r="AV86" s="163">
        <f t="shared" si="94"/>
        <v>-423</v>
      </c>
      <c r="AW86" s="163">
        <f t="shared" si="94"/>
        <v>-81</v>
      </c>
      <c r="AX86" s="163">
        <f t="shared" si="94"/>
        <v>-634</v>
      </c>
      <c r="AY86" s="194">
        <f t="shared" si="94"/>
        <v>-1446</v>
      </c>
      <c r="AZ86" s="163">
        <f t="shared" si="94"/>
        <v>-1298</v>
      </c>
      <c r="BA86" s="163">
        <f t="shared" si="94"/>
        <v>-482</v>
      </c>
      <c r="BB86" s="163">
        <f t="shared" si="94"/>
        <v>-674</v>
      </c>
      <c r="BC86" s="163">
        <f t="shared" si="94"/>
        <v>-518</v>
      </c>
      <c r="BD86" s="194">
        <f t="shared" si="94"/>
        <v>-2972</v>
      </c>
      <c r="BE86" s="163">
        <f t="shared" ref="BE86:BN86" si="95">SUM(BE75:BE85)</f>
        <v>-493</v>
      </c>
      <c r="BF86" s="163">
        <f t="shared" si="95"/>
        <v>-493</v>
      </c>
      <c r="BG86" s="163">
        <f t="shared" si="95"/>
        <v>-493</v>
      </c>
      <c r="BH86" s="163">
        <f t="shared" si="95"/>
        <v>-493</v>
      </c>
      <c r="BI86" s="194">
        <f t="shared" si="95"/>
        <v>-1972</v>
      </c>
      <c r="BJ86" s="163">
        <f t="shared" si="95"/>
        <v>-493</v>
      </c>
      <c r="BK86" s="163">
        <f t="shared" si="95"/>
        <v>-493</v>
      </c>
      <c r="BL86" s="163">
        <f t="shared" si="95"/>
        <v>-493</v>
      </c>
      <c r="BM86" s="163">
        <f t="shared" si="95"/>
        <v>-493</v>
      </c>
      <c r="BN86" s="194">
        <f t="shared" si="95"/>
        <v>-1972</v>
      </c>
      <c r="BO86"/>
      <c r="BP86"/>
      <c r="BQ86"/>
    </row>
    <row r="87" spans="1:69" x14ac:dyDescent="0.35">
      <c r="A87" s="24"/>
      <c r="B87" s="145"/>
      <c r="C87" s="24"/>
      <c r="D87" s="24"/>
      <c r="E87" s="24"/>
      <c r="F87" s="195"/>
      <c r="G87" s="16"/>
      <c r="H87" s="16"/>
      <c r="I87" s="16"/>
      <c r="J87" s="16"/>
      <c r="K87" s="195"/>
      <c r="L87" s="161"/>
      <c r="M87" s="16"/>
      <c r="N87" s="147"/>
      <c r="O87" s="16"/>
      <c r="P87" s="195"/>
      <c r="Q87" s="161"/>
      <c r="R87" s="161"/>
      <c r="S87" s="24"/>
      <c r="T87" s="161"/>
      <c r="U87" s="195"/>
      <c r="V87" s="161"/>
      <c r="W87" s="161"/>
      <c r="X87" s="161"/>
      <c r="Y87" s="161"/>
      <c r="Z87" s="39"/>
      <c r="AA87" s="161"/>
      <c r="AB87" s="161"/>
      <c r="AC87" s="161"/>
      <c r="AD87" s="161"/>
      <c r="AE87" s="39"/>
      <c r="AF87" s="161"/>
      <c r="AG87" s="161"/>
      <c r="AH87" s="161"/>
      <c r="AI87" s="161"/>
      <c r="AJ87" s="39"/>
      <c r="AK87" s="161"/>
      <c r="AL87" s="161"/>
      <c r="AM87" s="161"/>
      <c r="AN87" s="161"/>
      <c r="AO87" s="39"/>
      <c r="AP87" s="161"/>
      <c r="AQ87" s="161"/>
      <c r="AR87" s="161"/>
      <c r="AS87" s="161"/>
      <c r="AT87" s="39"/>
      <c r="AU87" s="161"/>
      <c r="AV87" s="161"/>
      <c r="AW87" s="161"/>
      <c r="AX87" s="161"/>
      <c r="AY87" s="39"/>
      <c r="AZ87" s="161"/>
      <c r="BA87" s="161"/>
      <c r="BB87" s="161"/>
      <c r="BC87" s="161"/>
      <c r="BD87" s="39"/>
      <c r="BE87" s="161"/>
      <c r="BF87" s="161"/>
      <c r="BG87" s="161"/>
      <c r="BH87" s="161"/>
      <c r="BI87" s="39"/>
      <c r="BJ87" s="161"/>
      <c r="BK87" s="161"/>
      <c r="BL87" s="161"/>
      <c r="BM87" s="161"/>
      <c r="BN87" s="39"/>
      <c r="BO87"/>
      <c r="BP87"/>
      <c r="BQ87"/>
    </row>
    <row r="88" spans="1:69" x14ac:dyDescent="0.35">
      <c r="A88" s="24"/>
      <c r="B88" s="2" t="s">
        <v>91</v>
      </c>
      <c r="C88" s="24"/>
      <c r="D88" s="24"/>
      <c r="E88" s="24"/>
      <c r="F88" s="198"/>
      <c r="G88" s="16"/>
      <c r="H88" s="16"/>
      <c r="I88" s="16"/>
      <c r="J88" s="16"/>
      <c r="K88" s="198">
        <v>-24.2</v>
      </c>
      <c r="L88" s="197"/>
      <c r="M88" s="16"/>
      <c r="N88" s="147"/>
      <c r="O88" s="16"/>
      <c r="P88" s="198">
        <v>85.3</v>
      </c>
      <c r="Q88" s="197">
        <v>15.1</v>
      </c>
      <c r="R88" s="160">
        <v>-36.5</v>
      </c>
      <c r="S88" s="160">
        <v>-5.9000000000000021</v>
      </c>
      <c r="T88" s="160">
        <v>-2.3999999999999986</v>
      </c>
      <c r="U88" s="198">
        <v>-29.7</v>
      </c>
      <c r="V88" s="197">
        <v>0.5</v>
      </c>
      <c r="W88" s="197">
        <v>0</v>
      </c>
      <c r="X88" s="197">
        <v>0</v>
      </c>
      <c r="Y88" s="197">
        <v>0</v>
      </c>
      <c r="Z88" s="202">
        <f>SUM(V88:Y88)</f>
        <v>0.5</v>
      </c>
      <c r="AA88" s="160">
        <v>-29</v>
      </c>
      <c r="AB88" s="160">
        <v>19</v>
      </c>
      <c r="AC88" s="160">
        <v>32</v>
      </c>
      <c r="AD88" s="160">
        <v>25</v>
      </c>
      <c r="AE88" s="193">
        <v>47</v>
      </c>
      <c r="AF88" s="160">
        <v>-20</v>
      </c>
      <c r="AG88" s="160">
        <v>5</v>
      </c>
      <c r="AH88" s="160">
        <v>-23</v>
      </c>
      <c r="AI88" s="160">
        <v>-12</v>
      </c>
      <c r="AJ88" s="193">
        <v>-50</v>
      </c>
      <c r="AK88" s="160">
        <v>-18</v>
      </c>
      <c r="AL88" s="160">
        <v>-53</v>
      </c>
      <c r="AM88" s="160">
        <v>-52</v>
      </c>
      <c r="AN88" s="160">
        <v>77</v>
      </c>
      <c r="AO88" s="202">
        <f>SUM(AK88:AN88)</f>
        <v>-46</v>
      </c>
      <c r="AP88" s="160">
        <v>21</v>
      </c>
      <c r="AQ88" s="160">
        <f>24-AP88</f>
        <v>3</v>
      </c>
      <c r="AR88" s="160">
        <f>-13-AQ88-AP88</f>
        <v>-37</v>
      </c>
      <c r="AS88" s="206">
        <f>AT88-AR88-AQ88-AP88</f>
        <v>54</v>
      </c>
      <c r="AT88" s="193">
        <v>41</v>
      </c>
      <c r="AU88" s="160">
        <v>-25</v>
      </c>
      <c r="AV88" s="160">
        <f>-34-AU88</f>
        <v>-9</v>
      </c>
      <c r="AW88" s="160">
        <f>35-AV88-AU88</f>
        <v>69</v>
      </c>
      <c r="AX88" s="160">
        <f>-58-AW88-AV88-AU88</f>
        <v>-93</v>
      </c>
      <c r="AY88" s="193">
        <v>-58</v>
      </c>
      <c r="AZ88" s="160">
        <v>48</v>
      </c>
      <c r="BA88" s="160">
        <f>148-AZ88</f>
        <v>100</v>
      </c>
      <c r="BB88" s="160">
        <f>140-BA88-AZ88</f>
        <v>-8</v>
      </c>
      <c r="BC88" s="160">
        <v>0</v>
      </c>
      <c r="BD88" s="202">
        <f>SUM(AZ88:BC88)</f>
        <v>140</v>
      </c>
      <c r="BE88" s="160">
        <v>0</v>
      </c>
      <c r="BF88" s="160">
        <v>0</v>
      </c>
      <c r="BG88" s="160">
        <v>0</v>
      </c>
      <c r="BH88" s="160">
        <v>0</v>
      </c>
      <c r="BI88" s="202">
        <f>SUM(BE88:BH88)</f>
        <v>0</v>
      </c>
      <c r="BJ88" s="160">
        <v>0</v>
      </c>
      <c r="BK88" s="160">
        <v>0</v>
      </c>
      <c r="BL88" s="160">
        <v>0</v>
      </c>
      <c r="BM88" s="160">
        <v>0</v>
      </c>
      <c r="BN88" s="202">
        <f>SUM(BJ88:BM88)</f>
        <v>0</v>
      </c>
      <c r="BO88"/>
      <c r="BP88"/>
      <c r="BQ88"/>
    </row>
    <row r="89" spans="1:69" x14ac:dyDescent="0.35">
      <c r="A89" s="164"/>
      <c r="B89" s="164" t="s">
        <v>94</v>
      </c>
      <c r="C89" s="164"/>
      <c r="D89" s="164"/>
      <c r="E89" s="164"/>
      <c r="F89" s="194"/>
      <c r="G89" s="164"/>
      <c r="H89" s="164"/>
      <c r="I89" s="164"/>
      <c r="J89" s="164"/>
      <c r="K89" s="194">
        <f>K57+K67+K86+K88</f>
        <v>294.13196271017142</v>
      </c>
      <c r="L89" s="163"/>
      <c r="M89" s="164"/>
      <c r="N89" s="165"/>
      <c r="O89" s="164"/>
      <c r="P89" s="194">
        <f t="shared" ref="P89:AT89" si="96">P57+P67+P86+P88</f>
        <v>-979.97844960871566</v>
      </c>
      <c r="Q89" s="163">
        <f t="shared" si="96"/>
        <v>205.81675705799515</v>
      </c>
      <c r="R89" s="163">
        <f t="shared" si="96"/>
        <v>37.227820853280946</v>
      </c>
      <c r="S89" s="163">
        <f t="shared" si="96"/>
        <v>-279.65845167765599</v>
      </c>
      <c r="T89" s="163">
        <f t="shared" si="96"/>
        <v>650.24651305373948</v>
      </c>
      <c r="U89" s="194">
        <f t="shared" si="96"/>
        <v>613.5406959731697</v>
      </c>
      <c r="V89" s="163">
        <f t="shared" si="96"/>
        <v>-488.36108914776196</v>
      </c>
      <c r="W89" s="163">
        <f t="shared" si="96"/>
        <v>-490.9761183772556</v>
      </c>
      <c r="X89" s="163">
        <f t="shared" si="96"/>
        <v>488.12855377465974</v>
      </c>
      <c r="Y89" s="163">
        <f t="shared" si="96"/>
        <v>352.1144397503034</v>
      </c>
      <c r="Z89" s="194">
        <f t="shared" si="96"/>
        <v>-139.23188859591232</v>
      </c>
      <c r="AA89" s="163">
        <f t="shared" si="96"/>
        <v>309.39999999999998</v>
      </c>
      <c r="AB89" s="163">
        <f t="shared" si="96"/>
        <v>-42</v>
      </c>
      <c r="AC89" s="163">
        <f t="shared" si="96"/>
        <v>393</v>
      </c>
      <c r="AD89" s="163">
        <f t="shared" si="96"/>
        <v>105</v>
      </c>
      <c r="AE89" s="194">
        <f t="shared" si="96"/>
        <v>765.03835412399917</v>
      </c>
      <c r="AF89" s="163">
        <f t="shared" si="96"/>
        <v>172</v>
      </c>
      <c r="AG89" s="163">
        <f t="shared" si="96"/>
        <v>40</v>
      </c>
      <c r="AH89" s="163">
        <f t="shared" si="96"/>
        <v>-570</v>
      </c>
      <c r="AI89" s="163">
        <f t="shared" si="96"/>
        <v>-428</v>
      </c>
      <c r="AJ89" s="194">
        <f t="shared" si="96"/>
        <v>-786</v>
      </c>
      <c r="AK89" s="163">
        <f t="shared" si="96"/>
        <v>-61</v>
      </c>
      <c r="AL89" s="163">
        <f>AL57+AL67+AL86+AL88</f>
        <v>-133</v>
      </c>
      <c r="AM89" s="163">
        <f>AM57+AM67+AM86+AM88</f>
        <v>39</v>
      </c>
      <c r="AN89" s="163">
        <f>AN57+AN67+AN86+AN88</f>
        <v>113</v>
      </c>
      <c r="AO89" s="194">
        <f t="shared" si="96"/>
        <v>-42</v>
      </c>
      <c r="AP89" s="163">
        <f>AP57+AP67+AP86+AP88</f>
        <v>350</v>
      </c>
      <c r="AQ89" s="163">
        <f t="shared" si="96"/>
        <v>159</v>
      </c>
      <c r="AR89" s="163">
        <f t="shared" si="96"/>
        <v>-272</v>
      </c>
      <c r="AS89" s="163">
        <f t="shared" si="96"/>
        <v>124</v>
      </c>
      <c r="AT89" s="194">
        <f t="shared" si="96"/>
        <v>361</v>
      </c>
      <c r="AU89" s="163">
        <f t="shared" ref="AU89:BD89" si="97">AU57+AU67+AU86+AU88</f>
        <v>346</v>
      </c>
      <c r="AV89" s="163">
        <f t="shared" si="97"/>
        <v>159</v>
      </c>
      <c r="AW89" s="163">
        <f t="shared" si="97"/>
        <v>7</v>
      </c>
      <c r="AX89" s="163">
        <f t="shared" si="97"/>
        <v>-234</v>
      </c>
      <c r="AY89" s="194">
        <f t="shared" si="97"/>
        <v>278</v>
      </c>
      <c r="AZ89" s="163">
        <f t="shared" si="97"/>
        <v>-269</v>
      </c>
      <c r="BA89" s="163">
        <f t="shared" si="97"/>
        <v>35</v>
      </c>
      <c r="BB89" s="163">
        <f t="shared" ca="1" si="97"/>
        <v>-57.011402198393284</v>
      </c>
      <c r="BC89" s="163">
        <f t="shared" ca="1" si="97"/>
        <v>201.15961614574212</v>
      </c>
      <c r="BD89" s="194">
        <f t="shared" ca="1" si="97"/>
        <v>-89.851786052651278</v>
      </c>
      <c r="BE89" s="163">
        <f t="shared" ref="BE89:BN89" ca="1" si="98">BE57+BE67+BE86+BE88</f>
        <v>563.03908814465422</v>
      </c>
      <c r="BF89" s="163">
        <f t="shared" ca="1" si="98"/>
        <v>74.151168158810606</v>
      </c>
      <c r="BG89" s="163">
        <f t="shared" ca="1" si="98"/>
        <v>142.03358029030858</v>
      </c>
      <c r="BH89" s="163">
        <f t="shared" ca="1" si="98"/>
        <v>333.4386450055357</v>
      </c>
      <c r="BI89" s="194">
        <f t="shared" ca="1" si="98"/>
        <v>1112.6624815993091</v>
      </c>
      <c r="BJ89" s="163">
        <f t="shared" ca="1" si="98"/>
        <v>664.10578819731631</v>
      </c>
      <c r="BK89" s="163">
        <f t="shared" ca="1" si="98"/>
        <v>156.00454302072148</v>
      </c>
      <c r="BL89" s="163">
        <f t="shared" ca="1" si="98"/>
        <v>231.42138206094296</v>
      </c>
      <c r="BM89" s="163">
        <f t="shared" ca="1" si="98"/>
        <v>428.76471754334102</v>
      </c>
      <c r="BN89" s="194">
        <f t="shared" ca="1" si="98"/>
        <v>1480.2964308223218</v>
      </c>
      <c r="BO89"/>
      <c r="BP89"/>
      <c r="BQ89"/>
    </row>
    <row r="90" spans="1:69" x14ac:dyDescent="0.35">
      <c r="A90" s="24"/>
      <c r="B90" s="2" t="s">
        <v>92</v>
      </c>
      <c r="C90" s="24"/>
      <c r="D90" s="24"/>
      <c r="E90" s="24"/>
      <c r="F90" s="198"/>
      <c r="G90" s="16"/>
      <c r="H90" s="16"/>
      <c r="I90" s="16"/>
      <c r="J90" s="16"/>
      <c r="K90" s="198">
        <v>1757.4</v>
      </c>
      <c r="L90" s="197"/>
      <c r="M90" s="16"/>
      <c r="N90" s="147"/>
      <c r="O90" s="16"/>
      <c r="P90" s="310">
        <f>K91</f>
        <v>2051.5319627101717</v>
      </c>
      <c r="Q90" s="197">
        <f>P91</f>
        <v>1071.553513101456</v>
      </c>
      <c r="R90" s="162">
        <f>Q90</f>
        <v>1071.553513101456</v>
      </c>
      <c r="S90" s="206">
        <f>R90</f>
        <v>1071.553513101456</v>
      </c>
      <c r="T90" s="162">
        <f>S90</f>
        <v>1071.553513101456</v>
      </c>
      <c r="U90" s="310">
        <f>P91</f>
        <v>1071.553513101456</v>
      </c>
      <c r="V90" s="311">
        <f>U91</f>
        <v>1685.0942090746257</v>
      </c>
      <c r="W90" s="162">
        <f>V90</f>
        <v>1685.0942090746257</v>
      </c>
      <c r="X90" s="206">
        <f>W90</f>
        <v>1685.0942090746257</v>
      </c>
      <c r="Y90" s="162">
        <f>X90</f>
        <v>1685.0942090746257</v>
      </c>
      <c r="Z90" s="310">
        <f>U91</f>
        <v>1685.0942090746257</v>
      </c>
      <c r="AA90" s="311">
        <f>Z91</f>
        <v>1832</v>
      </c>
      <c r="AB90" s="162">
        <f>AA90</f>
        <v>1832</v>
      </c>
      <c r="AC90" s="206">
        <f>AB90</f>
        <v>1832</v>
      </c>
      <c r="AD90" s="162">
        <f>AC90</f>
        <v>1832</v>
      </c>
      <c r="AE90" s="310">
        <f>Z91</f>
        <v>1832</v>
      </c>
      <c r="AF90" s="311">
        <f>AE91</f>
        <v>2597</v>
      </c>
      <c r="AG90" s="162">
        <f>AF90</f>
        <v>2597</v>
      </c>
      <c r="AH90" s="206">
        <f>AG90</f>
        <v>2597</v>
      </c>
      <c r="AI90" s="162">
        <f>AH90</f>
        <v>2597</v>
      </c>
      <c r="AJ90" s="310">
        <f>AE91</f>
        <v>2597</v>
      </c>
      <c r="AK90" s="311">
        <f>AJ91</f>
        <v>1811</v>
      </c>
      <c r="AL90" s="162">
        <f>AK90</f>
        <v>1811</v>
      </c>
      <c r="AM90" s="162">
        <f>AL90</f>
        <v>1811</v>
      </c>
      <c r="AN90" s="162">
        <f>AM90</f>
        <v>1811</v>
      </c>
      <c r="AO90" s="310">
        <f>AJ91</f>
        <v>1811</v>
      </c>
      <c r="AP90" s="311">
        <f>AO91</f>
        <v>1769</v>
      </c>
      <c r="AQ90" s="162">
        <f>AP91</f>
        <v>2119</v>
      </c>
      <c r="AR90" s="162">
        <f>AQ91</f>
        <v>2278</v>
      </c>
      <c r="AS90" s="162">
        <f>AR91</f>
        <v>2006</v>
      </c>
      <c r="AT90" s="310">
        <f>AO91</f>
        <v>1769</v>
      </c>
      <c r="AU90" s="311">
        <f>AT91</f>
        <v>2130</v>
      </c>
      <c r="AV90" s="162">
        <f>AU91</f>
        <v>2476</v>
      </c>
      <c r="AW90" s="162">
        <f>AV91</f>
        <v>2635</v>
      </c>
      <c r="AX90" s="162">
        <f>AW91</f>
        <v>2642</v>
      </c>
      <c r="AY90" s="310">
        <f>AT91</f>
        <v>2130</v>
      </c>
      <c r="AZ90" s="311">
        <f>AY91</f>
        <v>2408</v>
      </c>
      <c r="BA90" s="162">
        <f>AZ91</f>
        <v>2139</v>
      </c>
      <c r="BB90" s="162">
        <f>BA91</f>
        <v>2174</v>
      </c>
      <c r="BC90" s="162">
        <f ca="1">BB91</f>
        <v>2116.9885978016068</v>
      </c>
      <c r="BD90" s="310">
        <f>AY91</f>
        <v>2408</v>
      </c>
      <c r="BE90" s="311">
        <f ca="1">BD91</f>
        <v>2318.1482139473487</v>
      </c>
      <c r="BF90" s="162">
        <f ca="1">BE91</f>
        <v>2881.1873020920029</v>
      </c>
      <c r="BG90" s="162">
        <f ca="1">BF91</f>
        <v>2955.3384702508138</v>
      </c>
      <c r="BH90" s="162">
        <f ca="1">BG91</f>
        <v>3097.3720505411225</v>
      </c>
      <c r="BI90" s="310">
        <f ca="1">BD91</f>
        <v>2318.1482139473487</v>
      </c>
      <c r="BJ90" s="311">
        <f ca="1">BI91</f>
        <v>3430.8106955466578</v>
      </c>
      <c r="BK90" s="162">
        <f ca="1">BJ91</f>
        <v>4094.9164837439739</v>
      </c>
      <c r="BL90" s="162">
        <f ca="1">BK91</f>
        <v>4250.9210267646959</v>
      </c>
      <c r="BM90" s="162">
        <f ca="1">BL91</f>
        <v>4482.3424088256388</v>
      </c>
      <c r="BN90" s="310">
        <f ca="1">BI91</f>
        <v>3430.8106955466578</v>
      </c>
      <c r="BO90"/>
      <c r="BP90"/>
      <c r="BQ90"/>
    </row>
    <row r="91" spans="1:69" x14ac:dyDescent="0.35">
      <c r="B91" s="2" t="s">
        <v>93</v>
      </c>
      <c r="F91" s="200"/>
      <c r="G91" s="75"/>
      <c r="H91" s="75"/>
      <c r="I91" s="75"/>
      <c r="J91" s="75"/>
      <c r="K91" s="200">
        <f>K89+K90</f>
        <v>2051.5319627101717</v>
      </c>
      <c r="L91" s="199"/>
      <c r="M91" s="75"/>
      <c r="N91" s="147"/>
      <c r="O91" s="75"/>
      <c r="P91" s="200">
        <f>P89+P90</f>
        <v>1071.553513101456</v>
      </c>
      <c r="Q91" s="199">
        <f>Q89+Q90</f>
        <v>1277.3702701594511</v>
      </c>
      <c r="R91" s="199">
        <f>R89+R90+Q89</f>
        <v>1314.5980910127321</v>
      </c>
      <c r="S91" s="199">
        <f>S89+S90+R89+Q89</f>
        <v>1034.9396393350762</v>
      </c>
      <c r="T91" s="199">
        <f>T89+T90+S89+R89+Q89</f>
        <v>1685.1861523888156</v>
      </c>
      <c r="U91" s="200">
        <f>U89+U90</f>
        <v>1685.0942090746257</v>
      </c>
      <c r="V91" s="199">
        <f>V89+V90</f>
        <v>1196.7331199268638</v>
      </c>
      <c r="W91" s="199">
        <f>W89+W90+V89</f>
        <v>705.75700154960805</v>
      </c>
      <c r="X91" s="199">
        <f>X89+X90+W89+V89</f>
        <v>1193.8855553242679</v>
      </c>
      <c r="Y91" s="199">
        <f>Y89+Y90+X89+W89+V89</f>
        <v>1545.9999950745714</v>
      </c>
      <c r="Z91" s="193">
        <f>Z10</f>
        <v>1832</v>
      </c>
      <c r="AA91" s="199">
        <f>AA89+AA90</f>
        <v>2141.4</v>
      </c>
      <c r="AB91" s="199">
        <f>AB89+AB90+AA89</f>
        <v>2099.4</v>
      </c>
      <c r="AC91" s="199">
        <f>AC89+AC90+AB89+AA89</f>
        <v>2492.4</v>
      </c>
      <c r="AD91" s="199">
        <f>AD89+AD90+AC89+AB89+AA89</f>
        <v>2597.4</v>
      </c>
      <c r="AE91" s="200">
        <v>2597</v>
      </c>
      <c r="AF91" s="199">
        <f>AF89+AF90</f>
        <v>2769</v>
      </c>
      <c r="AG91" s="199">
        <f>AG89+AG90+AF89</f>
        <v>2809</v>
      </c>
      <c r="AH91" s="199">
        <f>AH89+AH90+AG89+AF89</f>
        <v>2239</v>
      </c>
      <c r="AI91" s="199">
        <f>AI89+AI90+AH89+AG89+AF89</f>
        <v>1811</v>
      </c>
      <c r="AJ91" s="200">
        <f>AJ89+AJ90</f>
        <v>1811</v>
      </c>
      <c r="AK91" s="199">
        <f>AK89+AK90</f>
        <v>1750</v>
      </c>
      <c r="AL91" s="199">
        <f>AL89+AL90+AK89</f>
        <v>1617</v>
      </c>
      <c r="AM91" s="199">
        <f>AM89+AM90+AL89+AK89</f>
        <v>1656</v>
      </c>
      <c r="AN91" s="199">
        <f>AN89+AN90+AM89+AL89+AK89</f>
        <v>1769</v>
      </c>
      <c r="AO91" s="200">
        <f>AO89+AO90</f>
        <v>1769</v>
      </c>
      <c r="AP91" s="199">
        <f t="shared" ref="AP91:BD91" si="99">AP89+AP90</f>
        <v>2119</v>
      </c>
      <c r="AQ91" s="199">
        <f t="shared" si="99"/>
        <v>2278</v>
      </c>
      <c r="AR91" s="199">
        <f t="shared" si="99"/>
        <v>2006</v>
      </c>
      <c r="AS91" s="199">
        <f t="shared" si="99"/>
        <v>2130</v>
      </c>
      <c r="AT91" s="200">
        <f t="shared" si="99"/>
        <v>2130</v>
      </c>
      <c r="AU91" s="199">
        <f t="shared" si="99"/>
        <v>2476</v>
      </c>
      <c r="AV91" s="199">
        <f t="shared" si="99"/>
        <v>2635</v>
      </c>
      <c r="AW91" s="199">
        <f t="shared" si="99"/>
        <v>2642</v>
      </c>
      <c r="AX91" s="199">
        <f t="shared" si="99"/>
        <v>2408</v>
      </c>
      <c r="AY91" s="200">
        <f t="shared" si="99"/>
        <v>2408</v>
      </c>
      <c r="AZ91" s="199">
        <f t="shared" si="99"/>
        <v>2139</v>
      </c>
      <c r="BA91" s="199">
        <f t="shared" si="99"/>
        <v>2174</v>
      </c>
      <c r="BB91" s="199">
        <f t="shared" ca="1" si="99"/>
        <v>2116.9885978016068</v>
      </c>
      <c r="BC91" s="199">
        <f t="shared" ca="1" si="99"/>
        <v>2318.1482139473492</v>
      </c>
      <c r="BD91" s="200">
        <f t="shared" ca="1" si="99"/>
        <v>2318.1482139473487</v>
      </c>
      <c r="BE91" s="199">
        <f t="shared" ref="BE91:BN91" ca="1" si="100">BE89+BE90</f>
        <v>2881.1873020920029</v>
      </c>
      <c r="BF91" s="199">
        <f t="shared" ca="1" si="100"/>
        <v>2955.3384702508138</v>
      </c>
      <c r="BG91" s="199">
        <f t="shared" ca="1" si="100"/>
        <v>3097.3720505411225</v>
      </c>
      <c r="BH91" s="199">
        <f t="shared" ca="1" si="100"/>
        <v>3430.8106955466583</v>
      </c>
      <c r="BI91" s="200">
        <f t="shared" ca="1" si="100"/>
        <v>3430.8106955466578</v>
      </c>
      <c r="BJ91" s="199">
        <f t="shared" ca="1" si="100"/>
        <v>4094.9164837439739</v>
      </c>
      <c r="BK91" s="199">
        <f t="shared" ca="1" si="100"/>
        <v>4250.9210267646959</v>
      </c>
      <c r="BL91" s="199">
        <f t="shared" ca="1" si="100"/>
        <v>4482.3424088256388</v>
      </c>
      <c r="BM91" s="199">
        <f t="shared" ca="1" si="100"/>
        <v>4911.1071263689801</v>
      </c>
      <c r="BN91" s="200">
        <f t="shared" ca="1" si="100"/>
        <v>4911.1071263689792</v>
      </c>
      <c r="BO91"/>
      <c r="BP91"/>
      <c r="BQ91"/>
    </row>
    <row r="92" spans="1:69" outlineLevel="1" x14ac:dyDescent="0.35">
      <c r="A92" s="24"/>
      <c r="B92" s="145" t="s">
        <v>213</v>
      </c>
      <c r="C92" s="24"/>
      <c r="D92" s="24"/>
      <c r="E92" s="24"/>
      <c r="F92" s="435"/>
      <c r="G92" s="16"/>
      <c r="H92" s="16"/>
      <c r="I92" s="16"/>
      <c r="J92" s="434"/>
      <c r="K92" s="250">
        <f t="shared" ref="K92:AT92" si="101">K91-K10</f>
        <v>3.1962710171683284E-2</v>
      </c>
      <c r="L92" s="434"/>
      <c r="M92" s="434"/>
      <c r="N92" s="434"/>
      <c r="O92" s="434"/>
      <c r="P92" s="435">
        <f t="shared" si="101"/>
        <v>5.3513101456019285E-2</v>
      </c>
      <c r="Q92" s="434">
        <f t="shared" si="101"/>
        <v>7.0270159451183645E-2</v>
      </c>
      <c r="R92" s="434">
        <f t="shared" si="101"/>
        <v>9.8091012732083982E-2</v>
      </c>
      <c r="S92" s="434">
        <f t="shared" si="101"/>
        <v>0.1396393350762537</v>
      </c>
      <c r="T92" s="434">
        <f t="shared" si="101"/>
        <v>0.18615238881557161</v>
      </c>
      <c r="U92" s="435">
        <f t="shared" si="101"/>
        <v>9.4209074625723588E-2</v>
      </c>
      <c r="V92" s="434">
        <f t="shared" si="101"/>
        <v>0.13311992686385565</v>
      </c>
      <c r="W92" s="434">
        <f t="shared" si="101"/>
        <v>-490.14299845039204</v>
      </c>
      <c r="X92" s="434">
        <f t="shared" si="101"/>
        <v>15.885555324267898</v>
      </c>
      <c r="Y92" s="434">
        <f t="shared" si="101"/>
        <v>-286.00000492542858</v>
      </c>
      <c r="Z92" s="435">
        <f t="shared" si="101"/>
        <v>0</v>
      </c>
      <c r="AA92" s="654">
        <f>AA91-AA10</f>
        <v>0.40000000000009095</v>
      </c>
      <c r="AB92" s="654">
        <f>AB91-AB10</f>
        <v>0.40000000000009095</v>
      </c>
      <c r="AC92" s="434">
        <f t="shared" si="101"/>
        <v>0.40000000000009095</v>
      </c>
      <c r="AD92" s="434">
        <f t="shared" si="101"/>
        <v>0.40000000000009095</v>
      </c>
      <c r="AE92" s="435">
        <f t="shared" si="101"/>
        <v>0</v>
      </c>
      <c r="AF92" s="434">
        <f t="shared" si="101"/>
        <v>0</v>
      </c>
      <c r="AG92" s="434">
        <f t="shared" si="101"/>
        <v>0</v>
      </c>
      <c r="AH92" s="434">
        <f t="shared" si="101"/>
        <v>0</v>
      </c>
      <c r="AI92" s="434">
        <f t="shared" si="101"/>
        <v>0</v>
      </c>
      <c r="AJ92" s="435">
        <f t="shared" si="101"/>
        <v>0</v>
      </c>
      <c r="AK92" s="434">
        <f t="shared" si="101"/>
        <v>0</v>
      </c>
      <c r="AL92" s="434">
        <f t="shared" si="101"/>
        <v>0</v>
      </c>
      <c r="AM92" s="434">
        <f t="shared" si="101"/>
        <v>0</v>
      </c>
      <c r="AN92" s="434">
        <f>AN91-AN10</f>
        <v>0</v>
      </c>
      <c r="AO92" s="435">
        <f>AO91-AO10</f>
        <v>0</v>
      </c>
      <c r="AP92" s="434">
        <f>AP91-AP10</f>
        <v>0</v>
      </c>
      <c r="AQ92" s="434">
        <f t="shared" si="101"/>
        <v>0</v>
      </c>
      <c r="AR92" s="434">
        <f t="shared" si="101"/>
        <v>0</v>
      </c>
      <c r="AS92" s="434">
        <f t="shared" si="101"/>
        <v>0</v>
      </c>
      <c r="AT92" s="435">
        <f t="shared" si="101"/>
        <v>0</v>
      </c>
      <c r="AU92" s="434">
        <f t="shared" ref="AU92:BD92" si="102">AU91-AU10</f>
        <v>0</v>
      </c>
      <c r="AV92" s="434">
        <f t="shared" si="102"/>
        <v>0</v>
      </c>
      <c r="AW92" s="434">
        <f t="shared" si="102"/>
        <v>0</v>
      </c>
      <c r="AX92" s="434">
        <f t="shared" si="102"/>
        <v>0</v>
      </c>
      <c r="AY92" s="435">
        <f t="shared" si="102"/>
        <v>0</v>
      </c>
      <c r="AZ92" s="434">
        <f t="shared" si="102"/>
        <v>0</v>
      </c>
      <c r="BA92" s="434">
        <f t="shared" si="102"/>
        <v>0</v>
      </c>
      <c r="BB92" s="434">
        <f t="shared" ca="1" si="102"/>
        <v>0</v>
      </c>
      <c r="BC92" s="434">
        <f t="shared" ca="1" si="102"/>
        <v>0</v>
      </c>
      <c r="BD92" s="435">
        <f t="shared" ca="1" si="102"/>
        <v>0</v>
      </c>
      <c r="BE92" s="434">
        <f t="shared" ref="BE92:BN92" ca="1" si="103">BE91-BE10</f>
        <v>0</v>
      </c>
      <c r="BF92" s="434">
        <f t="shared" ca="1" si="103"/>
        <v>0</v>
      </c>
      <c r="BG92" s="434">
        <f t="shared" ca="1" si="103"/>
        <v>0</v>
      </c>
      <c r="BH92" s="434">
        <f t="shared" ca="1" si="103"/>
        <v>0</v>
      </c>
      <c r="BI92" s="435">
        <f t="shared" ca="1" si="103"/>
        <v>0</v>
      </c>
      <c r="BJ92" s="434">
        <f t="shared" ca="1" si="103"/>
        <v>0</v>
      </c>
      <c r="BK92" s="434">
        <f t="shared" ca="1" si="103"/>
        <v>0</v>
      </c>
      <c r="BL92" s="434">
        <f t="shared" ca="1" si="103"/>
        <v>0</v>
      </c>
      <c r="BM92" s="434">
        <f t="shared" ca="1" si="103"/>
        <v>0</v>
      </c>
      <c r="BN92" s="435">
        <f t="shared" ca="1" si="103"/>
        <v>0</v>
      </c>
      <c r="BO92"/>
      <c r="BP92"/>
      <c r="BQ92"/>
    </row>
    <row r="93" spans="1:69" x14ac:dyDescent="0.35">
      <c r="A93" s="24"/>
      <c r="B93" s="145"/>
      <c r="C93" s="24"/>
      <c r="D93" s="24"/>
      <c r="E93" s="24"/>
      <c r="F93" s="39"/>
      <c r="G93" s="16"/>
      <c r="H93" s="16"/>
      <c r="I93" s="16"/>
      <c r="J93" s="16"/>
      <c r="K93" s="39"/>
      <c r="L93" s="16"/>
      <c r="M93" s="16"/>
      <c r="N93" s="147"/>
      <c r="O93" s="16"/>
      <c r="P93" s="39"/>
      <c r="Q93" s="16"/>
      <c r="R93" s="16"/>
      <c r="S93" s="147"/>
      <c r="T93" s="16"/>
      <c r="U93" s="39"/>
      <c r="V93" s="16"/>
      <c r="W93" s="16"/>
      <c r="X93" s="16"/>
      <c r="Y93" s="16"/>
      <c r="Z93" s="39"/>
      <c r="AA93" s="16"/>
      <c r="AB93" s="16"/>
      <c r="AC93" s="16"/>
      <c r="AD93" s="16"/>
      <c r="AE93" s="39"/>
      <c r="AF93" s="16"/>
      <c r="AG93" s="16"/>
      <c r="AH93" s="16"/>
      <c r="AI93" s="16"/>
      <c r="AJ93" s="39"/>
      <c r="AK93" s="16"/>
      <c r="AL93" s="16"/>
      <c r="AM93" s="16"/>
      <c r="AN93" s="16"/>
      <c r="AO93" s="39"/>
      <c r="AP93" s="16"/>
      <c r="AQ93" s="16"/>
      <c r="AR93" s="16"/>
      <c r="AS93" s="16"/>
      <c r="AT93" s="39"/>
      <c r="AU93" s="16"/>
      <c r="AV93" s="16"/>
      <c r="AW93" s="16"/>
      <c r="AX93" s="16"/>
      <c r="AY93" s="39"/>
      <c r="AZ93" s="16"/>
      <c r="BA93" s="16"/>
      <c r="BB93" s="16"/>
      <c r="BC93" s="16"/>
      <c r="BD93" s="39"/>
      <c r="BE93" s="16"/>
      <c r="BF93" s="16"/>
      <c r="BG93" s="16"/>
      <c r="BH93" s="16"/>
      <c r="BI93" s="39"/>
      <c r="BJ93" s="16"/>
      <c r="BK93" s="16"/>
      <c r="BL93" s="16"/>
      <c r="BM93" s="16"/>
      <c r="BN93" s="39"/>
      <c r="BO93"/>
      <c r="BP93"/>
      <c r="BQ93"/>
    </row>
    <row r="94" spans="1:69" x14ac:dyDescent="0.35">
      <c r="A94" s="24"/>
      <c r="B94" s="145"/>
      <c r="C94" s="24"/>
      <c r="D94" s="24"/>
      <c r="E94" s="24"/>
      <c r="F94" s="39"/>
      <c r="G94" s="16"/>
      <c r="H94" s="16"/>
      <c r="I94" s="16"/>
      <c r="J94" s="16"/>
      <c r="K94" s="39"/>
      <c r="L94" s="16"/>
      <c r="M94" s="16"/>
      <c r="N94" s="147"/>
      <c r="O94" s="16"/>
      <c r="P94" s="39"/>
      <c r="Q94" s="16"/>
      <c r="R94" s="16"/>
      <c r="S94" s="147"/>
      <c r="T94" s="16"/>
      <c r="U94" s="39"/>
      <c r="V94" s="16"/>
      <c r="W94" s="16"/>
      <c r="X94" s="16"/>
      <c r="Y94" s="16"/>
      <c r="Z94" s="39"/>
      <c r="AA94" s="16"/>
      <c r="AB94" s="16"/>
      <c r="AC94" s="16"/>
      <c r="AD94" s="16"/>
      <c r="AE94" s="39"/>
      <c r="AF94" s="16"/>
      <c r="AG94" s="16"/>
      <c r="AH94" s="16"/>
      <c r="AI94" s="16"/>
      <c r="AJ94" s="39"/>
      <c r="AK94" s="16"/>
      <c r="AL94" s="16"/>
      <c r="AM94" s="16"/>
      <c r="AN94" s="16"/>
      <c r="AO94" s="39"/>
      <c r="AP94" s="16"/>
      <c r="AQ94" s="16"/>
      <c r="AR94" s="16"/>
      <c r="AS94" s="16"/>
      <c r="AT94" s="39"/>
      <c r="AU94" s="16"/>
      <c r="AV94" s="16"/>
      <c r="AW94" s="16"/>
      <c r="AX94" s="16"/>
      <c r="AY94" s="39"/>
      <c r="AZ94" s="16"/>
      <c r="BA94" s="16"/>
      <c r="BB94" s="16"/>
      <c r="BC94" s="16"/>
      <c r="BD94" s="39"/>
      <c r="BE94" s="16"/>
      <c r="BF94" s="16"/>
      <c r="BG94" s="16"/>
      <c r="BH94" s="16"/>
      <c r="BI94" s="39"/>
      <c r="BJ94" s="16"/>
      <c r="BK94" s="16"/>
      <c r="BL94" s="16"/>
      <c r="BM94" s="16"/>
      <c r="BN94" s="39"/>
      <c r="BO94"/>
      <c r="BP94"/>
      <c r="BQ94"/>
    </row>
    <row r="95" spans="1:69" x14ac:dyDescent="0.35">
      <c r="A95" s="24"/>
      <c r="B95" s="258" t="s">
        <v>253</v>
      </c>
      <c r="C95" s="24"/>
      <c r="D95" s="24"/>
      <c r="E95" s="24"/>
      <c r="F95" s="39"/>
      <c r="G95" s="16"/>
      <c r="H95" s="16"/>
      <c r="I95" s="16"/>
      <c r="J95" s="16"/>
      <c r="K95" s="39"/>
      <c r="L95" s="16"/>
      <c r="M95" s="16"/>
      <c r="N95" s="147"/>
      <c r="O95" s="16"/>
      <c r="P95" s="39"/>
      <c r="Q95" s="16"/>
      <c r="R95" s="16"/>
      <c r="S95" s="147"/>
      <c r="T95" s="16"/>
      <c r="U95" s="39"/>
      <c r="V95" s="16"/>
      <c r="W95" s="16"/>
      <c r="X95" s="16"/>
      <c r="Y95" s="16"/>
      <c r="Z95" s="39"/>
      <c r="AA95" s="16"/>
      <c r="AB95" s="16"/>
      <c r="AC95" s="16"/>
      <c r="AD95" s="16"/>
      <c r="AE95" s="39"/>
      <c r="AF95" s="16"/>
      <c r="AG95" s="16"/>
      <c r="AH95" s="16"/>
      <c r="AI95" s="16"/>
      <c r="AJ95" s="39"/>
      <c r="AK95" s="16"/>
      <c r="AL95" s="16"/>
      <c r="AM95" s="16"/>
      <c r="AN95" s="16"/>
      <c r="AO95" s="39"/>
      <c r="AP95" s="39"/>
      <c r="AQ95" s="39"/>
      <c r="AR95" s="39"/>
      <c r="AS95" s="39"/>
      <c r="AT95" s="39"/>
      <c r="AU95" s="16"/>
      <c r="AV95" s="16"/>
      <c r="AW95" s="16"/>
      <c r="AX95" s="16"/>
      <c r="AY95" s="39"/>
      <c r="AZ95" s="16"/>
      <c r="BA95" s="16"/>
      <c r="BB95" s="16"/>
      <c r="BC95" s="16"/>
      <c r="BD95" s="39"/>
      <c r="BE95" s="16"/>
      <c r="BF95" s="16"/>
      <c r="BG95" s="16"/>
      <c r="BH95" s="16"/>
      <c r="BI95" s="39"/>
      <c r="BJ95" s="16"/>
      <c r="BK95" s="16"/>
      <c r="BL95" s="16"/>
      <c r="BM95" s="16"/>
      <c r="BN95" s="39"/>
      <c r="BO95"/>
      <c r="BP95"/>
      <c r="BQ95"/>
    </row>
    <row r="96" spans="1:69" x14ac:dyDescent="0.35">
      <c r="A96" s="133"/>
      <c r="B96" s="133" t="s">
        <v>232</v>
      </c>
      <c r="C96" s="133"/>
      <c r="D96" s="133"/>
      <c r="E96" s="133"/>
      <c r="F96" s="133"/>
      <c r="G96" s="133"/>
      <c r="H96" s="133"/>
      <c r="I96" s="133"/>
      <c r="J96" s="133"/>
      <c r="K96" s="133"/>
      <c r="L96" s="133"/>
      <c r="M96" s="133"/>
      <c r="N96" s="133"/>
      <c r="O96" s="133"/>
      <c r="P96" s="133"/>
      <c r="Q96" s="311">
        <f t="shared" ref="Q96:AT96" si="104">Q31+Q27+Q26</f>
        <v>5507.5999999999995</v>
      </c>
      <c r="R96" s="311">
        <f t="shared" si="104"/>
        <v>5323.9999999999991</v>
      </c>
      <c r="S96" s="311">
        <f t="shared" si="104"/>
        <v>4954.5</v>
      </c>
      <c r="T96" s="311">
        <f t="shared" si="104"/>
        <v>5676</v>
      </c>
      <c r="U96" s="311">
        <f t="shared" si="104"/>
        <v>5676</v>
      </c>
      <c r="V96" s="311">
        <f t="shared" si="104"/>
        <v>5547.4000000000005</v>
      </c>
      <c r="W96" s="311">
        <f t="shared" si="104"/>
        <v>5706.7</v>
      </c>
      <c r="X96" s="311">
        <f t="shared" si="104"/>
        <v>5556.8</v>
      </c>
      <c r="Y96" s="311">
        <f t="shared" si="104"/>
        <v>5899.8</v>
      </c>
      <c r="Z96" s="311">
        <f t="shared" si="104"/>
        <v>5899.8</v>
      </c>
      <c r="AA96" s="311">
        <f t="shared" si="104"/>
        <v>7106.8</v>
      </c>
      <c r="AB96" s="311">
        <f t="shared" si="104"/>
        <v>6333</v>
      </c>
      <c r="AC96" s="311">
        <f t="shared" si="104"/>
        <v>6363</v>
      </c>
      <c r="AD96" s="311">
        <f t="shared" si="104"/>
        <v>6422</v>
      </c>
      <c r="AE96" s="310">
        <f t="shared" si="104"/>
        <v>6422</v>
      </c>
      <c r="AF96" s="311">
        <f t="shared" si="104"/>
        <v>6340</v>
      </c>
      <c r="AG96" s="311">
        <f t="shared" si="104"/>
        <v>6355</v>
      </c>
      <c r="AH96" s="311">
        <f t="shared" si="104"/>
        <v>7476</v>
      </c>
      <c r="AI96" s="311">
        <f t="shared" si="104"/>
        <v>7413</v>
      </c>
      <c r="AJ96" s="310">
        <f t="shared" si="104"/>
        <v>7413</v>
      </c>
      <c r="AK96" s="311">
        <f t="shared" si="104"/>
        <v>7786</v>
      </c>
      <c r="AL96" s="311">
        <f t="shared" si="104"/>
        <v>7657</v>
      </c>
      <c r="AM96" s="311">
        <f t="shared" si="104"/>
        <v>7476</v>
      </c>
      <c r="AN96" s="311">
        <f>AN31+AN27+AN26</f>
        <v>7389</v>
      </c>
      <c r="AO96" s="310">
        <f>AO31+AO27+AO26</f>
        <v>7389</v>
      </c>
      <c r="AP96" s="310">
        <f>AP31+AP27+AP26</f>
        <v>7462</v>
      </c>
      <c r="AQ96" s="310">
        <f t="shared" si="104"/>
        <v>7223</v>
      </c>
      <c r="AR96" s="310">
        <f>AR31+AR27+AR26</f>
        <v>6851</v>
      </c>
      <c r="AS96" s="310">
        <f t="shared" si="104"/>
        <v>7001</v>
      </c>
      <c r="AT96" s="310">
        <f t="shared" si="104"/>
        <v>7001</v>
      </c>
      <c r="AU96" s="311">
        <f t="shared" ref="AU96:BC96" si="105">AU31+AU27+AU26</f>
        <v>6944</v>
      </c>
      <c r="AV96" s="311">
        <f t="shared" si="105"/>
        <v>6941</v>
      </c>
      <c r="AW96" s="311">
        <f t="shared" si="105"/>
        <v>7569</v>
      </c>
      <c r="AX96" s="311">
        <f t="shared" si="105"/>
        <v>7428</v>
      </c>
      <c r="AY96" s="310">
        <f t="shared" si="105"/>
        <v>7428</v>
      </c>
      <c r="AZ96" s="311">
        <f t="shared" si="105"/>
        <v>6823</v>
      </c>
      <c r="BA96" s="311">
        <f t="shared" si="105"/>
        <v>6967</v>
      </c>
      <c r="BB96" s="311">
        <f t="shared" ca="1" si="105"/>
        <v>6983</v>
      </c>
      <c r="BC96" s="311">
        <f t="shared" ca="1" si="105"/>
        <v>6983</v>
      </c>
      <c r="BD96" s="310">
        <f ca="1">BD31+BD27+BD26</f>
        <v>6983</v>
      </c>
      <c r="BE96" s="311">
        <f t="shared" ref="BE96:BM96" ca="1" si="106">BE31+BE27+BE26</f>
        <v>6983</v>
      </c>
      <c r="BF96" s="311">
        <f t="shared" ca="1" si="106"/>
        <v>6983</v>
      </c>
      <c r="BG96" s="311">
        <f t="shared" ca="1" si="106"/>
        <v>6983</v>
      </c>
      <c r="BH96" s="311">
        <f t="shared" ca="1" si="106"/>
        <v>6983</v>
      </c>
      <c r="BI96" s="310">
        <f t="shared" ca="1" si="106"/>
        <v>6983</v>
      </c>
      <c r="BJ96" s="311">
        <f t="shared" ca="1" si="106"/>
        <v>6983</v>
      </c>
      <c r="BK96" s="311">
        <f t="shared" ca="1" si="106"/>
        <v>6983</v>
      </c>
      <c r="BL96" s="311">
        <f t="shared" ca="1" si="106"/>
        <v>6983</v>
      </c>
      <c r="BM96" s="311">
        <f t="shared" ca="1" si="106"/>
        <v>6983</v>
      </c>
      <c r="BN96" s="310">
        <f ca="1">BN31+BN27+BN26</f>
        <v>6983</v>
      </c>
      <c r="BO96"/>
      <c r="BP96"/>
      <c r="BQ96"/>
    </row>
    <row r="97" spans="1:69" x14ac:dyDescent="0.35">
      <c r="A97" s="133"/>
      <c r="B97" s="133" t="s">
        <v>233</v>
      </c>
      <c r="C97" s="133"/>
      <c r="D97" s="133"/>
      <c r="E97" s="133"/>
      <c r="F97" s="133"/>
      <c r="G97" s="133"/>
      <c r="H97" s="133"/>
      <c r="I97" s="133"/>
      <c r="J97" s="133"/>
      <c r="K97" s="133"/>
      <c r="L97" s="133"/>
      <c r="M97" s="133"/>
      <c r="N97" s="133"/>
      <c r="O97" s="133"/>
      <c r="P97" s="133"/>
      <c r="Q97" s="311">
        <f t="shared" ref="Q97:AT97" si="107">Q10</f>
        <v>1277.3</v>
      </c>
      <c r="R97" s="311">
        <f t="shared" si="107"/>
        <v>1314.5</v>
      </c>
      <c r="S97" s="311">
        <f t="shared" si="107"/>
        <v>1034.8</v>
      </c>
      <c r="T97" s="311">
        <f t="shared" si="107"/>
        <v>1685</v>
      </c>
      <c r="U97" s="311">
        <f t="shared" si="107"/>
        <v>1685</v>
      </c>
      <c r="V97" s="311">
        <f t="shared" si="107"/>
        <v>1196.5999999999999</v>
      </c>
      <c r="W97" s="311">
        <f t="shared" si="107"/>
        <v>1195.9000000000001</v>
      </c>
      <c r="X97" s="311">
        <f t="shared" si="107"/>
        <v>1178</v>
      </c>
      <c r="Y97" s="311">
        <f t="shared" si="107"/>
        <v>1832</v>
      </c>
      <c r="Z97" s="311">
        <f t="shared" si="107"/>
        <v>1832</v>
      </c>
      <c r="AA97" s="311">
        <f t="shared" si="107"/>
        <v>2141</v>
      </c>
      <c r="AB97" s="311">
        <f t="shared" si="107"/>
        <v>2099</v>
      </c>
      <c r="AC97" s="311">
        <f t="shared" si="107"/>
        <v>2492</v>
      </c>
      <c r="AD97" s="311">
        <f t="shared" si="107"/>
        <v>2597</v>
      </c>
      <c r="AE97" s="310">
        <f t="shared" si="107"/>
        <v>2597</v>
      </c>
      <c r="AF97" s="311">
        <f t="shared" si="107"/>
        <v>2769</v>
      </c>
      <c r="AG97" s="311">
        <f t="shared" si="107"/>
        <v>2809</v>
      </c>
      <c r="AH97" s="311">
        <f t="shared" si="107"/>
        <v>2239</v>
      </c>
      <c r="AI97" s="311">
        <f t="shared" si="107"/>
        <v>1811</v>
      </c>
      <c r="AJ97" s="310">
        <f t="shared" si="107"/>
        <v>1811</v>
      </c>
      <c r="AK97" s="311">
        <f t="shared" si="107"/>
        <v>1750</v>
      </c>
      <c r="AL97" s="311">
        <f t="shared" si="107"/>
        <v>1617</v>
      </c>
      <c r="AM97" s="311">
        <f t="shared" si="107"/>
        <v>1656</v>
      </c>
      <c r="AN97" s="311">
        <f>AN10</f>
        <v>1769</v>
      </c>
      <c r="AO97" s="310">
        <f>AO10</f>
        <v>1769</v>
      </c>
      <c r="AP97" s="310">
        <f>AP10</f>
        <v>2119</v>
      </c>
      <c r="AQ97" s="310">
        <f t="shared" si="107"/>
        <v>2278</v>
      </c>
      <c r="AR97" s="310">
        <f>AR10</f>
        <v>2006</v>
      </c>
      <c r="AS97" s="310">
        <f t="shared" si="107"/>
        <v>2130</v>
      </c>
      <c r="AT97" s="310">
        <f t="shared" si="107"/>
        <v>2130</v>
      </c>
      <c r="AU97" s="311">
        <f t="shared" ref="AU97:BC97" si="108">AU10</f>
        <v>2476</v>
      </c>
      <c r="AV97" s="311">
        <f t="shared" si="108"/>
        <v>2635</v>
      </c>
      <c r="AW97" s="311">
        <f t="shared" si="108"/>
        <v>2642</v>
      </c>
      <c r="AX97" s="311">
        <f t="shared" si="108"/>
        <v>2408</v>
      </c>
      <c r="AY97" s="310">
        <f t="shared" si="108"/>
        <v>2408</v>
      </c>
      <c r="AZ97" s="311">
        <f t="shared" si="108"/>
        <v>2139</v>
      </c>
      <c r="BA97" s="311">
        <f t="shared" si="108"/>
        <v>2174</v>
      </c>
      <c r="BB97" s="311">
        <f t="shared" ca="1" si="108"/>
        <v>2116.9885978016068</v>
      </c>
      <c r="BC97" s="311">
        <f t="shared" ca="1" si="108"/>
        <v>2318.1482139473492</v>
      </c>
      <c r="BD97" s="310">
        <f ca="1">BD10</f>
        <v>2318.1482139473492</v>
      </c>
      <c r="BE97" s="311">
        <f t="shared" ref="BE97:BM97" ca="1" si="109">BE10</f>
        <v>2881.1873020920029</v>
      </c>
      <c r="BF97" s="311">
        <f t="shared" ca="1" si="109"/>
        <v>2955.3384702508138</v>
      </c>
      <c r="BG97" s="311">
        <f t="shared" ca="1" si="109"/>
        <v>3097.3720505411225</v>
      </c>
      <c r="BH97" s="311">
        <f t="shared" ca="1" si="109"/>
        <v>3430.8106955466583</v>
      </c>
      <c r="BI97" s="310">
        <f t="shared" ca="1" si="109"/>
        <v>3430.8106955466583</v>
      </c>
      <c r="BJ97" s="311">
        <f t="shared" ca="1" si="109"/>
        <v>4094.9164837439739</v>
      </c>
      <c r="BK97" s="311">
        <f t="shared" ca="1" si="109"/>
        <v>4250.9210267646959</v>
      </c>
      <c r="BL97" s="311">
        <f t="shared" ca="1" si="109"/>
        <v>4482.3424088256388</v>
      </c>
      <c r="BM97" s="311">
        <f t="shared" ca="1" si="109"/>
        <v>4911.1071263689801</v>
      </c>
      <c r="BN97" s="310">
        <f ca="1">BN10</f>
        <v>4911.1071263689801</v>
      </c>
      <c r="BO97"/>
      <c r="BP97"/>
      <c r="BQ97"/>
    </row>
    <row r="98" spans="1:69" x14ac:dyDescent="0.35">
      <c r="A98" s="133"/>
      <c r="B98" s="133" t="s">
        <v>168</v>
      </c>
      <c r="C98" s="133"/>
      <c r="D98" s="133"/>
      <c r="E98" s="133"/>
      <c r="F98" s="133"/>
      <c r="G98" s="133"/>
      <c r="H98" s="133"/>
      <c r="I98" s="133"/>
      <c r="J98" s="133"/>
      <c r="K98" s="133"/>
      <c r="L98" s="133"/>
      <c r="M98" s="133"/>
      <c r="N98" s="133"/>
      <c r="O98" s="133"/>
      <c r="P98" s="133"/>
      <c r="Q98" s="199">
        <f t="shared" ref="Q98:BC98" si="110">Q96-Q97</f>
        <v>4230.2999999999993</v>
      </c>
      <c r="R98" s="199">
        <f t="shared" si="110"/>
        <v>4009.4999999999991</v>
      </c>
      <c r="S98" s="199">
        <f t="shared" si="110"/>
        <v>3919.7</v>
      </c>
      <c r="T98" s="199">
        <f t="shared" si="110"/>
        <v>3991</v>
      </c>
      <c r="U98" s="199">
        <f t="shared" si="110"/>
        <v>3991</v>
      </c>
      <c r="V98" s="199">
        <f t="shared" si="110"/>
        <v>4350.8000000000011</v>
      </c>
      <c r="W98" s="199">
        <f t="shared" si="110"/>
        <v>4510.7999999999993</v>
      </c>
      <c r="X98" s="199">
        <f t="shared" si="110"/>
        <v>4378.8</v>
      </c>
      <c r="Y98" s="199">
        <f t="shared" si="110"/>
        <v>4067.8</v>
      </c>
      <c r="Z98" s="199">
        <f t="shared" si="110"/>
        <v>4067.8</v>
      </c>
      <c r="AA98" s="199">
        <f t="shared" si="110"/>
        <v>4965.8</v>
      </c>
      <c r="AB98" s="199">
        <f t="shared" si="110"/>
        <v>4234</v>
      </c>
      <c r="AC98" s="199">
        <f t="shared" si="110"/>
        <v>3871</v>
      </c>
      <c r="AD98" s="199">
        <f t="shared" si="110"/>
        <v>3825</v>
      </c>
      <c r="AE98" s="200">
        <f t="shared" si="110"/>
        <v>3825</v>
      </c>
      <c r="AF98" s="199">
        <f t="shared" si="110"/>
        <v>3571</v>
      </c>
      <c r="AG98" s="199">
        <f t="shared" si="110"/>
        <v>3546</v>
      </c>
      <c r="AH98" s="199">
        <f t="shared" si="110"/>
        <v>5237</v>
      </c>
      <c r="AI98" s="199">
        <f t="shared" si="110"/>
        <v>5602</v>
      </c>
      <c r="AJ98" s="200">
        <f>AJ96-AJ97</f>
        <v>5602</v>
      </c>
      <c r="AK98" s="199">
        <f t="shared" si="110"/>
        <v>6036</v>
      </c>
      <c r="AL98" s="199">
        <f t="shared" si="110"/>
        <v>6040</v>
      </c>
      <c r="AM98" s="199">
        <f t="shared" si="110"/>
        <v>5820</v>
      </c>
      <c r="AN98" s="199">
        <f t="shared" si="110"/>
        <v>5620</v>
      </c>
      <c r="AO98" s="200">
        <f t="shared" si="110"/>
        <v>5620</v>
      </c>
      <c r="AP98" s="200">
        <f t="shared" si="110"/>
        <v>5343</v>
      </c>
      <c r="AQ98" s="200">
        <f t="shared" si="110"/>
        <v>4945</v>
      </c>
      <c r="AR98" s="200">
        <f>AR96-AR97</f>
        <v>4845</v>
      </c>
      <c r="AS98" s="200">
        <f t="shared" si="110"/>
        <v>4871</v>
      </c>
      <c r="AT98" s="200">
        <f>AT96-AT97</f>
        <v>4871</v>
      </c>
      <c r="AU98" s="199">
        <f t="shared" si="110"/>
        <v>4468</v>
      </c>
      <c r="AV98" s="199">
        <f t="shared" si="110"/>
        <v>4306</v>
      </c>
      <c r="AW98" s="199">
        <f t="shared" si="110"/>
        <v>4927</v>
      </c>
      <c r="AX98" s="199">
        <f t="shared" si="110"/>
        <v>5020</v>
      </c>
      <c r="AY98" s="200">
        <f t="shared" si="110"/>
        <v>5020</v>
      </c>
      <c r="AZ98" s="199">
        <f t="shared" si="110"/>
        <v>4684</v>
      </c>
      <c r="BA98" s="199">
        <f t="shared" si="110"/>
        <v>4793</v>
      </c>
      <c r="BB98" s="199">
        <f t="shared" ca="1" si="110"/>
        <v>4866.0114021983936</v>
      </c>
      <c r="BC98" s="199">
        <f t="shared" ca="1" si="110"/>
        <v>4664.8517860526508</v>
      </c>
      <c r="BD98" s="200">
        <f ca="1">BD96-BD97</f>
        <v>4664.8517860526508</v>
      </c>
      <c r="BE98" s="199">
        <f t="shared" ref="BE98:BM98" ca="1" si="111">BE96-BE97</f>
        <v>4101.8126979079971</v>
      </c>
      <c r="BF98" s="199">
        <f t="shared" ca="1" si="111"/>
        <v>4027.6615297491862</v>
      </c>
      <c r="BG98" s="199">
        <f t="shared" ca="1" si="111"/>
        <v>3885.6279494588775</v>
      </c>
      <c r="BH98" s="199">
        <f t="shared" ca="1" si="111"/>
        <v>3552.1893044533417</v>
      </c>
      <c r="BI98" s="200">
        <f t="shared" ca="1" si="111"/>
        <v>3552.1893044533417</v>
      </c>
      <c r="BJ98" s="199">
        <f t="shared" ca="1" si="111"/>
        <v>2888.0835162560261</v>
      </c>
      <c r="BK98" s="199">
        <f t="shared" ca="1" si="111"/>
        <v>2732.0789732353041</v>
      </c>
      <c r="BL98" s="199">
        <f t="shared" ca="1" si="111"/>
        <v>2500.6575911743612</v>
      </c>
      <c r="BM98" s="199">
        <f t="shared" ca="1" si="111"/>
        <v>2071.8928736310199</v>
      </c>
      <c r="BN98" s="200">
        <f ca="1">BN96-BN97</f>
        <v>2071.8928736310199</v>
      </c>
      <c r="BO98"/>
      <c r="BP98"/>
      <c r="BQ98"/>
    </row>
    <row r="99" spans="1:69" x14ac:dyDescent="0.35">
      <c r="A99" s="133"/>
      <c r="B99" s="133" t="s">
        <v>191</v>
      </c>
      <c r="C99" s="133"/>
      <c r="D99" s="133"/>
      <c r="E99" s="133"/>
      <c r="F99" s="133"/>
      <c r="G99" s="133"/>
      <c r="H99" s="133"/>
      <c r="I99" s="133"/>
      <c r="J99" s="133"/>
      <c r="K99" s="133"/>
      <c r="L99" s="133"/>
      <c r="M99" s="133"/>
      <c r="N99" s="133"/>
      <c r="O99" s="133"/>
      <c r="P99" s="133"/>
      <c r="Q99" s="313">
        <f>IS!AD142</f>
        <v>2063.1</v>
      </c>
      <c r="R99" s="313">
        <f>IS!AE142</f>
        <v>2147.8999999999996</v>
      </c>
      <c r="S99" s="313">
        <f>IS!AF142</f>
        <v>2160.5</v>
      </c>
      <c r="T99" s="313">
        <f>IS!AG142</f>
        <v>2117.1</v>
      </c>
      <c r="U99" s="199"/>
      <c r="V99" s="514">
        <f>IS!AI142</f>
        <v>2095.2999999999993</v>
      </c>
      <c r="W99" s="313">
        <f>IS!AJ142</f>
        <v>2109.8999999999996</v>
      </c>
      <c r="X99" s="313">
        <f>IS!AK142</f>
        <v>2209.6</v>
      </c>
      <c r="Y99" s="313">
        <f>IS!AL142</f>
        <v>2290.8000000000002</v>
      </c>
      <c r="Z99" s="313"/>
      <c r="AA99" s="313">
        <f>IS!AN142</f>
        <v>2420.9000000000005</v>
      </c>
      <c r="AB99" s="313">
        <f>IS!AO142</f>
        <v>2587.9</v>
      </c>
      <c r="AC99" s="313">
        <f>IS!AP142</f>
        <v>2695</v>
      </c>
      <c r="AD99" s="313">
        <f>IS!AQ142</f>
        <v>2667</v>
      </c>
      <c r="AE99" s="670"/>
      <c r="AF99" s="313">
        <f>IS!AS142</f>
        <v>2932</v>
      </c>
      <c r="AG99" s="313">
        <f>IS!AT142</f>
        <v>3027</v>
      </c>
      <c r="AH99" s="313">
        <f>IS!AU142</f>
        <v>3043</v>
      </c>
      <c r="AI99" s="313">
        <f>IS!AV142</f>
        <v>3101</v>
      </c>
      <c r="AJ99" s="673">
        <f>AI99</f>
        <v>3101</v>
      </c>
      <c r="AK99" s="313">
        <f>IS!AX142</f>
        <v>2921</v>
      </c>
      <c r="AL99" s="313">
        <f>IS!AY142</f>
        <v>2680</v>
      </c>
      <c r="AM99" s="313">
        <f>IS!AZ142</f>
        <v>2440</v>
      </c>
      <c r="AN99" s="313">
        <f>IS!BA142</f>
        <v>2328</v>
      </c>
      <c r="AO99" s="673">
        <f>AN99</f>
        <v>2328</v>
      </c>
      <c r="AP99" s="670">
        <f>IS!BC142</f>
        <v>2250</v>
      </c>
      <c r="AQ99" s="670">
        <f>IS!BD142</f>
        <v>2283</v>
      </c>
      <c r="AR99" s="670">
        <f>IS!BE142</f>
        <v>2443</v>
      </c>
      <c r="AS99" s="670">
        <f>IS!BF142</f>
        <v>2597</v>
      </c>
      <c r="AT99" s="673">
        <f>AS99</f>
        <v>2597</v>
      </c>
      <c r="AU99" s="313">
        <f>IS!BH142</f>
        <v>2847</v>
      </c>
      <c r="AV99" s="313">
        <f>IS!BI142</f>
        <v>3096</v>
      </c>
      <c r="AW99" s="313">
        <f>IS!BJ142</f>
        <v>3306</v>
      </c>
      <c r="AX99" s="313">
        <f>IS!BK142</f>
        <v>3408</v>
      </c>
      <c r="AY99" s="673">
        <f>AX99</f>
        <v>3408</v>
      </c>
      <c r="AZ99" s="313">
        <f>IS!BM142</f>
        <v>3496</v>
      </c>
      <c r="BA99" s="313">
        <f>IS!BN142</f>
        <v>3560</v>
      </c>
      <c r="BB99" s="313">
        <f>IS!BO142</f>
        <v>3746.0443413438279</v>
      </c>
      <c r="BC99" s="313">
        <f>IS!BP142</f>
        <v>3904.019148473898</v>
      </c>
      <c r="BD99" s="673">
        <f>BC99</f>
        <v>3904.019148473898</v>
      </c>
      <c r="BE99" s="313">
        <f>IS!BR142</f>
        <v>4026.3883908486082</v>
      </c>
      <c r="BF99" s="313">
        <f>IS!BS142</f>
        <v>4138.0146976406668</v>
      </c>
      <c r="BG99" s="313">
        <f>IS!BT142</f>
        <v>4224.8449125286406</v>
      </c>
      <c r="BH99" s="313">
        <f>IS!BU142</f>
        <v>4303.3228841485343</v>
      </c>
      <c r="BI99" s="673">
        <f>BH99</f>
        <v>4303.3228841485343</v>
      </c>
      <c r="BJ99" s="313">
        <f>IS!BW142</f>
        <v>4410.7445284246105</v>
      </c>
      <c r="BK99" s="313">
        <f>IS!BX142</f>
        <v>4514.6150002300401</v>
      </c>
      <c r="BL99" s="313">
        <f>IS!BY142</f>
        <v>4621.8559145930221</v>
      </c>
      <c r="BM99" s="313">
        <f>IS!BZ142</f>
        <v>4715.8070152959363</v>
      </c>
      <c r="BN99" s="673">
        <f>BM99</f>
        <v>4715.8070152959363</v>
      </c>
      <c r="BO99"/>
      <c r="BP99"/>
      <c r="BQ99"/>
    </row>
    <row r="100" spans="1:69" x14ac:dyDescent="0.35">
      <c r="A100" s="133"/>
      <c r="B100" s="133" t="s">
        <v>234</v>
      </c>
      <c r="C100" s="133"/>
      <c r="D100" s="133"/>
      <c r="E100" s="133"/>
      <c r="F100" s="133"/>
      <c r="G100" s="133"/>
      <c r="H100" s="133"/>
      <c r="I100" s="133"/>
      <c r="J100" s="133"/>
      <c r="K100" s="133"/>
      <c r="L100" s="133"/>
      <c r="M100" s="133"/>
      <c r="N100" s="133"/>
      <c r="O100" s="133"/>
      <c r="P100" s="133"/>
      <c r="Q100" s="314">
        <f>Q98/Q99</f>
        <v>2.0504580485676893</v>
      </c>
      <c r="R100" s="314">
        <f>R98/R99</f>
        <v>1.8667070161553143</v>
      </c>
      <c r="S100" s="314">
        <f>S98/S99</f>
        <v>1.8142559592686878</v>
      </c>
      <c r="T100" s="314">
        <f>T98/T99</f>
        <v>1.8851258797411554</v>
      </c>
      <c r="U100" s="133"/>
      <c r="V100" s="314">
        <f>V98/V99</f>
        <v>2.076456831957239</v>
      </c>
      <c r="W100" s="314">
        <f>W98/W99</f>
        <v>2.1379212284942413</v>
      </c>
      <c r="X100" s="314">
        <f>X98/X99</f>
        <v>1.9817161477190444</v>
      </c>
      <c r="Y100" s="314">
        <f>Y98/Y99</f>
        <v>1.7757115418194516</v>
      </c>
      <c r="Z100" s="133"/>
      <c r="AA100" s="314">
        <f>AA98/AA99</f>
        <v>2.051220620430418</v>
      </c>
      <c r="AB100" s="314">
        <f>AB98/AB99</f>
        <v>1.6360755825186444</v>
      </c>
      <c r="AC100" s="314">
        <f>AC98/AC99</f>
        <v>1.4363636363636363</v>
      </c>
      <c r="AD100" s="314">
        <f>AD98/AD99</f>
        <v>1.4341957255343083</v>
      </c>
      <c r="AE100" s="671"/>
      <c r="AF100" s="314">
        <f>AF98/AF99</f>
        <v>1.2179399727148703</v>
      </c>
      <c r="AG100" s="314">
        <f>AG98/AG99</f>
        <v>1.1714568880079286</v>
      </c>
      <c r="AH100" s="314">
        <f>AH98/AH99</f>
        <v>1.720999014130792</v>
      </c>
      <c r="AI100" s="314">
        <f>AI98/AI99</f>
        <v>1.8065140277329894</v>
      </c>
      <c r="AJ100" s="674">
        <f>AI100</f>
        <v>1.8065140277329894</v>
      </c>
      <c r="AK100" s="314">
        <f>AK98/AK99</f>
        <v>2.0664156110920917</v>
      </c>
      <c r="AL100" s="314">
        <f>AL98/AL99</f>
        <v>2.2537313432835822</v>
      </c>
      <c r="AM100" s="314">
        <f>AM98/AM99</f>
        <v>2.3852459016393444</v>
      </c>
      <c r="AN100" s="314">
        <f>AN96/AN99</f>
        <v>3.1739690721649483</v>
      </c>
      <c r="AO100" s="674">
        <f>AN100</f>
        <v>3.1739690721649483</v>
      </c>
      <c r="AP100" s="672">
        <f>AP98/AP99</f>
        <v>2.3746666666666667</v>
      </c>
      <c r="AQ100" s="672">
        <f>AQ98/AQ99</f>
        <v>2.1660096364432766</v>
      </c>
      <c r="AR100" s="672">
        <f>AR98/AR99</f>
        <v>1.9832173557101924</v>
      </c>
      <c r="AS100" s="672">
        <f>AS98/AS99</f>
        <v>1.8756257219869079</v>
      </c>
      <c r="AT100" s="674">
        <f>AS100</f>
        <v>1.8756257219869079</v>
      </c>
      <c r="AU100" s="314">
        <f>AU98/AU99</f>
        <v>1.5693712680014049</v>
      </c>
      <c r="AV100" s="314">
        <f>AV98/AV99</f>
        <v>1.3908268733850129</v>
      </c>
      <c r="AW100" s="314">
        <f>AW98/AW99</f>
        <v>1.4903206291591047</v>
      </c>
      <c r="AX100" s="314">
        <f>AX98/AX99</f>
        <v>1.4730046948356808</v>
      </c>
      <c r="AY100" s="674">
        <f>AX100</f>
        <v>1.4730046948356808</v>
      </c>
      <c r="AZ100" s="314">
        <f>AZ98/AZ99</f>
        <v>1.339816933638444</v>
      </c>
      <c r="BA100" s="314">
        <f>BA98/BA99</f>
        <v>1.3463483146067416</v>
      </c>
      <c r="BB100" s="314">
        <f ca="1">BB98/BB99</f>
        <v>1.2989732525303737</v>
      </c>
      <c r="BC100" s="314">
        <f ca="1">BC98/BC99</f>
        <v>1.1948844533398784</v>
      </c>
      <c r="BD100" s="674">
        <f ca="1">BC100</f>
        <v>1.1948844533398784</v>
      </c>
      <c r="BE100" s="314">
        <f ca="1">BE98/BE99</f>
        <v>1.0187324966540281</v>
      </c>
      <c r="BF100" s="314">
        <f ca="1">BF98/BF99</f>
        <v>0.97333185695198243</v>
      </c>
      <c r="BG100" s="314">
        <f ca="1">BG98/BG99</f>
        <v>0.91970901415485662</v>
      </c>
      <c r="BH100" s="314">
        <f ca="1">BH98/BH99</f>
        <v>0.82545265602494677</v>
      </c>
      <c r="BI100" s="674">
        <f ca="1">BH100</f>
        <v>0.82545265602494677</v>
      </c>
      <c r="BJ100" s="314">
        <f ca="1">BJ98/BJ99</f>
        <v>0.65478367600845055</v>
      </c>
      <c r="BK100" s="314">
        <f ca="1">BK98/BK99</f>
        <v>0.60516322501389208</v>
      </c>
      <c r="BL100" s="314">
        <f ca="1">BL98/BL99</f>
        <v>0.54105052978367385</v>
      </c>
      <c r="BM100" s="314">
        <f ca="1">BM98/BM99</f>
        <v>0.43935064919127104</v>
      </c>
      <c r="BN100" s="674">
        <f ca="1">BM100</f>
        <v>0.43935064919127104</v>
      </c>
      <c r="BO100"/>
      <c r="BP100"/>
      <c r="BQ100"/>
    </row>
    <row r="101" spans="1:69" x14ac:dyDescent="0.35">
      <c r="A101" s="133"/>
      <c r="B101" s="133"/>
      <c r="C101" s="133"/>
      <c r="D101" s="133"/>
      <c r="E101" s="133"/>
      <c r="F101" s="133"/>
      <c r="G101" s="133"/>
      <c r="H101" s="133"/>
      <c r="I101" s="133"/>
      <c r="J101" s="133"/>
      <c r="K101" s="133"/>
      <c r="L101" s="133"/>
      <c r="M101" s="133"/>
      <c r="N101" s="133"/>
      <c r="O101" s="133"/>
      <c r="P101" s="133"/>
      <c r="Q101" s="314"/>
      <c r="R101" s="314"/>
      <c r="S101" s="314"/>
      <c r="T101" s="314"/>
      <c r="U101" s="133"/>
      <c r="V101" s="314"/>
      <c r="W101" s="314"/>
      <c r="X101" s="314"/>
      <c r="Y101" s="314"/>
      <c r="Z101" s="133"/>
      <c r="AA101" s="314"/>
      <c r="AB101" s="314"/>
      <c r="AC101" s="314"/>
      <c r="AD101" s="314"/>
      <c r="AE101" s="671"/>
      <c r="AF101" s="314"/>
      <c r="AG101" s="314"/>
      <c r="AH101" s="314"/>
      <c r="AI101" s="314"/>
      <c r="AJ101" s="671"/>
      <c r="AK101" s="314"/>
      <c r="AL101" s="314"/>
      <c r="AM101" s="314"/>
      <c r="AN101" s="314"/>
      <c r="AO101" s="671"/>
      <c r="AP101" s="672"/>
      <c r="AQ101" s="672"/>
      <c r="AR101" s="672"/>
      <c r="AS101" s="672"/>
      <c r="AT101" s="671"/>
      <c r="AU101" s="314"/>
      <c r="AV101" s="314"/>
      <c r="AW101" s="314"/>
      <c r="AX101" s="314"/>
      <c r="AY101" s="671"/>
      <c r="AZ101" s="314"/>
      <c r="BA101" s="314"/>
      <c r="BB101" s="314"/>
      <c r="BC101" s="314"/>
      <c r="BD101" s="133"/>
      <c r="BE101" s="314"/>
      <c r="BF101" s="314"/>
      <c r="BG101" s="314"/>
      <c r="BH101" s="314"/>
      <c r="BI101" s="133"/>
      <c r="BJ101" s="314"/>
      <c r="BK101" s="314"/>
      <c r="BL101" s="314"/>
      <c r="BM101" s="314"/>
      <c r="BN101" s="133"/>
      <c r="BO101"/>
      <c r="BP101"/>
      <c r="BQ101"/>
    </row>
    <row r="102" spans="1:69" x14ac:dyDescent="0.35">
      <c r="A102" s="133"/>
      <c r="B102" s="475" t="s">
        <v>412</v>
      </c>
      <c r="C102" s="133"/>
      <c r="D102" s="133"/>
      <c r="E102" s="133"/>
      <c r="F102" s="133"/>
      <c r="G102" s="133"/>
      <c r="H102" s="133"/>
      <c r="I102" s="133"/>
      <c r="J102" s="133"/>
      <c r="K102" s="133"/>
      <c r="L102" s="133"/>
      <c r="M102" s="133"/>
      <c r="N102" s="133"/>
      <c r="O102" s="133"/>
      <c r="P102" s="133"/>
      <c r="Q102" s="314"/>
      <c r="R102" s="314"/>
      <c r="S102" s="314"/>
      <c r="T102" s="314"/>
      <c r="U102" s="133"/>
      <c r="V102" s="314"/>
      <c r="W102" s="314"/>
      <c r="X102" s="314"/>
      <c r="Y102" s="314"/>
      <c r="Z102" s="133"/>
      <c r="AA102" s="314"/>
      <c r="AB102" s="314"/>
      <c r="AC102" s="314"/>
      <c r="AD102" s="314"/>
      <c r="AE102" s="133"/>
      <c r="AF102" s="314"/>
      <c r="AG102" s="314"/>
      <c r="AH102" s="314"/>
      <c r="AI102" s="314"/>
      <c r="AJ102" s="133"/>
      <c r="AK102" s="314"/>
      <c r="AL102" s="314"/>
      <c r="AM102" s="314"/>
      <c r="AN102" s="314"/>
      <c r="AO102" s="133"/>
      <c r="AP102" s="314"/>
      <c r="AQ102" s="314"/>
      <c r="AR102" s="314"/>
      <c r="AS102" s="314"/>
      <c r="AT102" s="133"/>
      <c r="AU102" s="314"/>
      <c r="AV102" s="314"/>
      <c r="AW102" s="314"/>
      <c r="AX102" s="314"/>
      <c r="AY102" s="133"/>
      <c r="AZ102" s="314"/>
      <c r="BA102" s="314"/>
      <c r="BB102" s="314"/>
      <c r="BC102" s="314"/>
      <c r="BD102" s="133"/>
      <c r="BE102" s="314"/>
      <c r="BF102" s="314"/>
      <c r="BG102" s="314"/>
      <c r="BH102" s="314"/>
      <c r="BI102" s="133"/>
      <c r="BJ102" s="314"/>
      <c r="BK102" s="314"/>
      <c r="BL102" s="314"/>
      <c r="BM102" s="314"/>
      <c r="BN102" s="133"/>
      <c r="BO102"/>
      <c r="BP102"/>
      <c r="BQ102"/>
    </row>
    <row r="103" spans="1:69" x14ac:dyDescent="0.35">
      <c r="A103" s="133"/>
      <c r="B103" s="133" t="s">
        <v>408</v>
      </c>
      <c r="C103" s="133"/>
      <c r="D103" s="133"/>
      <c r="E103" s="133"/>
      <c r="F103" s="133"/>
      <c r="G103" s="133"/>
      <c r="H103" s="133"/>
      <c r="I103" s="133"/>
      <c r="J103" s="133"/>
      <c r="K103" s="133"/>
      <c r="L103" s="133"/>
      <c r="M103" s="133"/>
      <c r="N103" s="133"/>
      <c r="O103" s="133"/>
      <c r="P103" s="133"/>
      <c r="Q103" s="314"/>
      <c r="R103" s="314"/>
      <c r="S103" s="314"/>
      <c r="T103" s="314"/>
      <c r="U103" s="514">
        <f>(IS!AH72-(IS!AH69-IS!AH82))*(1-IS!AH59)</f>
        <v>1582.2535368043086</v>
      </c>
      <c r="V103" s="514"/>
      <c r="W103" s="514"/>
      <c r="X103" s="514"/>
      <c r="Y103" s="514"/>
      <c r="Z103" s="514">
        <f>(IS!AM72-(IS!AM69-IS!AM82))*(1-IS!AM59)</f>
        <v>1713.757625994695</v>
      </c>
      <c r="AA103" s="514"/>
      <c r="AB103" s="514"/>
      <c r="AC103" s="514"/>
      <c r="AD103" s="514"/>
      <c r="AE103" s="514">
        <f>(IS!AR72-(IS!AR69-IS!AR82))*(1-IS!AR59)</f>
        <v>2034.7336322869955</v>
      </c>
      <c r="AF103" s="514"/>
      <c r="AG103" s="514"/>
      <c r="AH103" s="514"/>
      <c r="AI103" s="514"/>
      <c r="AJ103" s="514">
        <f>(IS!AW72-(IS!AW69-IS!AW82))*(1-IS!AW59)</f>
        <v>2385.1731397459166</v>
      </c>
      <c r="AK103" s="514"/>
      <c r="AL103" s="514"/>
      <c r="AM103" s="514"/>
      <c r="AN103" s="514"/>
      <c r="AO103" s="514">
        <f>(IS!BB72-(IS!BB69-IS!BB82))*(1-IS!BB59)</f>
        <v>1678.465909090909</v>
      </c>
      <c r="AP103" s="514"/>
      <c r="AQ103" s="514"/>
      <c r="AR103" s="514"/>
      <c r="AS103" s="514"/>
      <c r="AT103" s="514">
        <f>(IS!BG72-(IS!BG69-IS!BG82))*(1-IS!BG59)</f>
        <v>1972.8124031007751</v>
      </c>
      <c r="AU103" s="514"/>
      <c r="AV103" s="514"/>
      <c r="AW103" s="514"/>
      <c r="AX103" s="514"/>
      <c r="AY103" s="514">
        <f>(IS!BL72-(IS!BL69-IS!BL82))*(1-IS!BL59)</f>
        <v>2385.5105594664692</v>
      </c>
      <c r="AZ103" s="514"/>
      <c r="BA103" s="514"/>
      <c r="BB103" s="514"/>
      <c r="BC103" s="514"/>
      <c r="BD103" s="514">
        <f ca="1">(IS!BQ72-(IS!BQ69-IS!BQ82))*(1-IS!BQ59)</f>
        <v>2840.8687824573167</v>
      </c>
      <c r="BE103" s="514"/>
      <c r="BF103" s="514"/>
      <c r="BG103" s="514"/>
      <c r="BH103" s="514"/>
      <c r="BI103" s="514">
        <f ca="1">(IS!BV72-(IS!BV69-IS!BV82))*(1-IS!BV59)</f>
        <v>3013.8609305172913</v>
      </c>
      <c r="BJ103" s="514"/>
      <c r="BK103" s="514"/>
      <c r="BL103" s="514"/>
      <c r="BM103" s="514"/>
      <c r="BN103" s="514">
        <f ca="1">(IS!CA72-(IS!CA69-IS!CA82))*(1-IS!CA59)</f>
        <v>3295.3022250102226</v>
      </c>
      <c r="BO103"/>
      <c r="BP103"/>
      <c r="BQ103"/>
    </row>
    <row r="104" spans="1:69" x14ac:dyDescent="0.35">
      <c r="A104" s="133"/>
      <c r="B104" s="133" t="s">
        <v>409</v>
      </c>
      <c r="C104" s="133"/>
      <c r="D104" s="133"/>
      <c r="E104" s="133"/>
      <c r="F104" s="133"/>
      <c r="G104" s="133"/>
      <c r="H104" s="133"/>
      <c r="I104" s="133"/>
      <c r="J104" s="133"/>
      <c r="K104" s="133"/>
      <c r="L104" s="133"/>
      <c r="M104" s="133"/>
      <c r="N104" s="133"/>
      <c r="O104" s="133"/>
      <c r="P104" s="133"/>
      <c r="Q104" s="314"/>
      <c r="R104" s="314"/>
      <c r="S104" s="314"/>
      <c r="T104" s="314"/>
      <c r="U104" s="199">
        <f>AVERAGE(U26+U27+U31+U38,P26+P27+P31+P38)</f>
        <v>5879.05</v>
      </c>
      <c r="V104" s="314"/>
      <c r="W104" s="314"/>
      <c r="X104" s="314"/>
      <c r="Y104" s="314"/>
      <c r="Z104" s="199">
        <f>AVERAGE(Z26+Z27+Z31+Z38,U26+U27+U31+U38)</f>
        <v>6511.65</v>
      </c>
      <c r="AA104" s="314"/>
      <c r="AB104" s="314"/>
      <c r="AC104" s="314"/>
      <c r="AD104" s="314"/>
      <c r="AE104" s="199">
        <f>AVERAGE(AE26+AE27+AE31+AE38,Z26+Z27+Z31+Z38)</f>
        <v>7437.9</v>
      </c>
      <c r="AF104" s="314"/>
      <c r="AG104" s="314"/>
      <c r="AH104" s="314"/>
      <c r="AI104" s="314"/>
      <c r="AJ104" s="199">
        <f>AVERAGE((AJ26+AJ27+AJ31+AJ38),(AE26+AE27+AE31+AE38))</f>
        <v>9257</v>
      </c>
      <c r="AK104" s="199"/>
      <c r="AL104" s="314"/>
      <c r="AM104" s="314"/>
      <c r="AN104" s="314"/>
      <c r="AO104" s="199">
        <f>AVERAGE(AO26+AO27+AO31+AO38,AJ26+AJ27+AJ31+AJ38)</f>
        <v>10203.5</v>
      </c>
      <c r="AP104" s="314"/>
      <c r="AQ104" s="314"/>
      <c r="AR104" s="314"/>
      <c r="AS104" s="314"/>
      <c r="AT104" s="199">
        <f>AVERAGE(AT26+AT27+AT31+AT38,AO26+AO27+AO31+AO38)</f>
        <v>10277.5</v>
      </c>
      <c r="AU104" s="314"/>
      <c r="AV104" s="314"/>
      <c r="AW104" s="314"/>
      <c r="AX104" s="314"/>
      <c r="AY104" s="199">
        <f>AVERAGE(AY26+AY27+AY31+AY38,AT26+AT27+AT31+AT38)</f>
        <v>10816</v>
      </c>
      <c r="AZ104" s="314"/>
      <c r="BA104" s="314"/>
      <c r="BB104" s="314"/>
      <c r="BC104" s="314"/>
      <c r="BD104" s="199">
        <f ca="1">AVERAGE(BD26+BD27+BD31+BD38,AY26+AY27+AY31+AY38)</f>
        <v>11204.868577772395</v>
      </c>
      <c r="BE104" s="314"/>
      <c r="BF104" s="314"/>
      <c r="BG104" s="314"/>
      <c r="BH104" s="314"/>
      <c r="BI104" s="199">
        <f ca="1">AVERAGE(BI26+BI27+BI31+BI38,BD26+BD27+BD31+BD38)</f>
        <v>11832.893022258384</v>
      </c>
      <c r="BJ104" s="314"/>
      <c r="BK104" s="314"/>
      <c r="BL104" s="314"/>
      <c r="BM104" s="314"/>
      <c r="BN104" s="199">
        <f ca="1">AVERAGE(BN26+BN27+BN31+BN38,BI26+BI27+BI31+BI38)</f>
        <v>13174.703733076311</v>
      </c>
      <c r="BO104"/>
      <c r="BP104"/>
      <c r="BQ104"/>
    </row>
    <row r="105" spans="1:69" x14ac:dyDescent="0.35">
      <c r="A105" s="133"/>
      <c r="B105" s="133" t="s">
        <v>410</v>
      </c>
      <c r="C105" s="133"/>
      <c r="D105" s="133"/>
      <c r="E105" s="133"/>
      <c r="F105" s="133"/>
      <c r="G105" s="133"/>
      <c r="H105" s="133"/>
      <c r="I105" s="133"/>
      <c r="J105" s="133"/>
      <c r="K105" s="133"/>
      <c r="L105" s="133"/>
      <c r="M105" s="133"/>
      <c r="N105" s="133"/>
      <c r="O105" s="133"/>
      <c r="P105" s="133"/>
      <c r="Q105" s="314"/>
      <c r="R105" s="314"/>
      <c r="S105" s="314"/>
      <c r="T105" s="314"/>
      <c r="U105" s="199">
        <f>AVERAGE(P17,U17)</f>
        <v>3767.25</v>
      </c>
      <c r="V105" s="314"/>
      <c r="W105" s="314"/>
      <c r="X105" s="314"/>
      <c r="Y105" s="314"/>
      <c r="Z105" s="199">
        <f>AVERAGE(U17,Z17)</f>
        <v>3771.9</v>
      </c>
      <c r="AA105" s="314"/>
      <c r="AB105" s="314"/>
      <c r="AC105" s="314"/>
      <c r="AD105" s="314"/>
      <c r="AE105" s="199">
        <f>AVERAGE(Z17,AE17)</f>
        <v>4159.25</v>
      </c>
      <c r="AF105" s="314"/>
      <c r="AG105" s="314"/>
      <c r="AH105" s="314"/>
      <c r="AI105" s="314"/>
      <c r="AJ105" s="199">
        <f>AVERAGE(AE17,AJ17)</f>
        <v>5277.5</v>
      </c>
      <c r="AK105" s="199"/>
      <c r="AL105" s="314"/>
      <c r="AM105" s="314"/>
      <c r="AN105" s="314"/>
      <c r="AO105" s="199">
        <f>AVERAGE(AJ17,AO17)</f>
        <v>5919</v>
      </c>
      <c r="AP105" s="314"/>
      <c r="AQ105" s="314"/>
      <c r="AR105" s="314"/>
      <c r="AS105" s="314"/>
      <c r="AT105" s="199">
        <f>AVERAGE(AO17,AT17)</f>
        <v>5897.5</v>
      </c>
      <c r="AU105" s="314"/>
      <c r="AV105" s="314"/>
      <c r="AW105" s="314"/>
      <c r="AX105" s="314"/>
      <c r="AY105" s="199">
        <f>AVERAGE(AT17,AY17)</f>
        <v>5975</v>
      </c>
      <c r="AZ105" s="314"/>
      <c r="BA105" s="314"/>
      <c r="BB105" s="314"/>
      <c r="BC105" s="314"/>
      <c r="BD105" s="199">
        <f>AVERAGE(AY17,BD17)</f>
        <v>6237.5</v>
      </c>
      <c r="BE105" s="314"/>
      <c r="BF105" s="314"/>
      <c r="BG105" s="314"/>
      <c r="BH105" s="314"/>
      <c r="BI105" s="199">
        <f>AVERAGE(BD17,BI17)</f>
        <v>6481</v>
      </c>
      <c r="BJ105" s="314"/>
      <c r="BK105" s="314"/>
      <c r="BL105" s="314"/>
      <c r="BM105" s="314"/>
      <c r="BN105" s="199">
        <f>AVERAGE(BI17,BN17)</f>
        <v>6481</v>
      </c>
      <c r="BO105"/>
      <c r="BP105"/>
      <c r="BQ105"/>
    </row>
    <row r="106" spans="1:69" x14ac:dyDescent="0.35">
      <c r="A106" s="133"/>
      <c r="B106" s="133" t="s">
        <v>411</v>
      </c>
      <c r="C106" s="133"/>
      <c r="D106" s="133"/>
      <c r="E106" s="133"/>
      <c r="F106" s="133"/>
      <c r="G106" s="133"/>
      <c r="H106" s="133"/>
      <c r="I106" s="133"/>
      <c r="J106" s="133"/>
      <c r="K106" s="133"/>
      <c r="L106" s="133"/>
      <c r="M106" s="133"/>
      <c r="N106" s="133"/>
      <c r="O106" s="133"/>
      <c r="P106" s="133"/>
      <c r="Q106" s="314"/>
      <c r="R106" s="314"/>
      <c r="S106" s="314"/>
      <c r="T106" s="314"/>
      <c r="U106" s="199">
        <f>U104-U105</f>
        <v>2111.8000000000002</v>
      </c>
      <c r="V106" s="314"/>
      <c r="W106" s="314"/>
      <c r="X106" s="314"/>
      <c r="Y106" s="314"/>
      <c r="Z106" s="199">
        <f>Z104-Z105</f>
        <v>2739.7499999999995</v>
      </c>
      <c r="AA106" s="314"/>
      <c r="AB106" s="314"/>
      <c r="AC106" s="314"/>
      <c r="AD106" s="314"/>
      <c r="AE106" s="199">
        <f>AE104-AE105</f>
        <v>3278.6499999999996</v>
      </c>
      <c r="AF106" s="314"/>
      <c r="AG106" s="314"/>
      <c r="AH106" s="314"/>
      <c r="AI106" s="314"/>
      <c r="AJ106" s="199">
        <f>AJ104-AJ105</f>
        <v>3979.5</v>
      </c>
      <c r="AK106" s="199"/>
      <c r="AL106" s="314"/>
      <c r="AM106" s="314"/>
      <c r="AN106" s="314"/>
      <c r="AO106" s="199">
        <f>AO104-AO105</f>
        <v>4284.5</v>
      </c>
      <c r="AP106" s="314"/>
      <c r="AQ106" s="314"/>
      <c r="AR106" s="314"/>
      <c r="AS106" s="314"/>
      <c r="AT106" s="199">
        <f>AT104-AT105</f>
        <v>4380</v>
      </c>
      <c r="AU106" s="314"/>
      <c r="AV106" s="314"/>
      <c r="AW106" s="314"/>
      <c r="AX106" s="314"/>
      <c r="AY106" s="199">
        <f>AY104-AY105</f>
        <v>4841</v>
      </c>
      <c r="AZ106" s="314"/>
      <c r="BA106" s="314"/>
      <c r="BB106" s="314"/>
      <c r="BC106" s="314"/>
      <c r="BD106" s="199">
        <f ca="1">BD104-BD105</f>
        <v>4967.3685777723949</v>
      </c>
      <c r="BE106" s="314"/>
      <c r="BF106" s="314"/>
      <c r="BG106" s="314"/>
      <c r="BH106" s="314"/>
      <c r="BI106" s="199">
        <f ca="1">BI104-BI105</f>
        <v>5351.893022258384</v>
      </c>
      <c r="BJ106" s="314"/>
      <c r="BK106" s="314"/>
      <c r="BL106" s="314"/>
      <c r="BM106" s="314"/>
      <c r="BN106" s="199">
        <f ca="1">BN104-BN105</f>
        <v>6693.7037330763105</v>
      </c>
      <c r="BO106"/>
      <c r="BP106"/>
      <c r="BQ106"/>
    </row>
    <row r="107" spans="1:69" x14ac:dyDescent="0.35">
      <c r="A107" s="133"/>
      <c r="B107" s="133" t="s">
        <v>258</v>
      </c>
      <c r="C107" s="133"/>
      <c r="D107" s="133"/>
      <c r="E107" s="133"/>
      <c r="F107" s="133"/>
      <c r="G107" s="133"/>
      <c r="H107" s="133"/>
      <c r="I107" s="133"/>
      <c r="J107" s="133"/>
      <c r="K107" s="133"/>
      <c r="L107" s="133"/>
      <c r="M107" s="133"/>
      <c r="N107" s="133"/>
      <c r="O107" s="133"/>
      <c r="P107" s="133"/>
      <c r="Q107" s="329">
        <f>(IS!AD68-IS!AD58)/(AVERAGE((Q38+Q31+Q26+Q27),(O38+O31+O27+O26)))</f>
        <v>7.5133002149173803E-2</v>
      </c>
      <c r="R107" s="329">
        <f>(IS!AE68-IS!AE58)/(AVERAGE((R38+R31+R26+R27),(Q38+Q31+Q27+Q26)))</f>
        <v>7.1108378800686475E-2</v>
      </c>
      <c r="S107" s="329">
        <f>(IS!AF68-IS!AF58)/(AVERAGE((S38+S31+S26+S27),(R38+R31+R27+R26)))</f>
        <v>6.4523521997055897E-2</v>
      </c>
      <c r="T107" s="329">
        <f>(IS!AG68-IS!AG58)/(AVERAGE((T38+T31+T26+T27),(S38+S31+S27+S26)))</f>
        <v>5.1744288705215594E-2</v>
      </c>
      <c r="U107" s="459">
        <f>U$103/U104</f>
        <v>0.26913422012133059</v>
      </c>
      <c r="V107" s="515"/>
      <c r="W107" s="515"/>
      <c r="X107" s="515"/>
      <c r="Y107" s="515"/>
      <c r="Z107" s="459">
        <f>Z$103/Z104</f>
        <v>0.26318331390579885</v>
      </c>
      <c r="AA107" s="515"/>
      <c r="AB107" s="515"/>
      <c r="AC107" s="515"/>
      <c r="AD107" s="515"/>
      <c r="AE107" s="459">
        <f>AE$103/AE104</f>
        <v>0.27356291860430976</v>
      </c>
      <c r="AF107" s="515"/>
      <c r="AG107" s="515"/>
      <c r="AH107" s="515"/>
      <c r="AI107" s="515"/>
      <c r="AJ107" s="459">
        <f>AJ$103/AJ104</f>
        <v>0.25766156851527672</v>
      </c>
      <c r="AK107" s="459"/>
      <c r="AL107" s="515"/>
      <c r="AM107" s="515"/>
      <c r="AN107" s="515"/>
      <c r="AO107" s="459">
        <f>AO$103/AO104</f>
        <v>0.16449903553593462</v>
      </c>
      <c r="AP107" s="515"/>
      <c r="AQ107" s="515"/>
      <c r="AR107" s="515"/>
      <c r="AS107" s="515"/>
      <c r="AT107" s="459">
        <f>AT$103/AT104</f>
        <v>0.19195450285582827</v>
      </c>
      <c r="AU107" s="515"/>
      <c r="AV107" s="515"/>
      <c r="AW107" s="515"/>
      <c r="AX107" s="515"/>
      <c r="AY107" s="459">
        <f>AY$103/AY104</f>
        <v>0.22055386089741763</v>
      </c>
      <c r="AZ107" s="515"/>
      <c r="BA107" s="515"/>
      <c r="BB107" s="515"/>
      <c r="BC107" s="515"/>
      <c r="BD107" s="459">
        <f ca="1">BD$103/BD104</f>
        <v>0.25353878653185424</v>
      </c>
      <c r="BE107" s="515"/>
      <c r="BF107" s="515"/>
      <c r="BG107" s="515"/>
      <c r="BH107" s="515"/>
      <c r="BI107" s="459">
        <f ca="1">BI$103/BI104</f>
        <v>0.25470195030480186</v>
      </c>
      <c r="BJ107" s="515"/>
      <c r="BK107" s="515"/>
      <c r="BL107" s="515"/>
      <c r="BM107" s="515"/>
      <c r="BN107" s="459">
        <f ca="1">BN$103/BN104</f>
        <v>0.25012344047912533</v>
      </c>
      <c r="BO107"/>
      <c r="BP107"/>
      <c r="BQ107"/>
    </row>
    <row r="108" spans="1:69" x14ac:dyDescent="0.35">
      <c r="A108" s="133"/>
      <c r="B108" s="133" t="s">
        <v>260</v>
      </c>
      <c r="C108" s="133"/>
      <c r="D108" s="133"/>
      <c r="E108" s="133"/>
      <c r="F108" s="329"/>
      <c r="G108" s="133"/>
      <c r="H108" s="133"/>
      <c r="I108" s="133"/>
      <c r="J108" s="133"/>
      <c r="K108" s="329"/>
      <c r="L108" s="133"/>
      <c r="M108" s="133"/>
      <c r="N108" s="133"/>
      <c r="O108" s="133"/>
      <c r="P108" s="329"/>
      <c r="Q108" s="329">
        <f>(IS!AD72-IS!AD58)/(AVERAGE((Q38+Q31+Q27-Q17),(O38+O31+O27-O17)))</f>
        <v>0.26849268746301458</v>
      </c>
      <c r="R108" s="329">
        <f>(IS!AE72-IS!AE58)/(AVERAGE((R38+R31+R27-R17),(Q38+Q31+Q27-Q17)))</f>
        <v>0.23122074448324534</v>
      </c>
      <c r="S108" s="329">
        <f>(IS!AF72-IS!AF58)/(AVERAGE((S38+S31+S27-S17),(R38+R31+R27-R17)))</f>
        <v>0.21167976650707901</v>
      </c>
      <c r="T108" s="329">
        <f>(IS!AG72-IS!AG58)/(AVERAGE((T38+T31+T27-T17),(S38+S31+S27-S17)))</f>
        <v>0.184788503253796</v>
      </c>
      <c r="U108" s="459">
        <f>U$103/U106</f>
        <v>0.7492440272773504</v>
      </c>
      <c r="V108" s="515"/>
      <c r="W108" s="515"/>
      <c r="X108" s="515"/>
      <c r="Y108" s="515"/>
      <c r="Z108" s="459">
        <f>Z$103/Z106</f>
        <v>0.62551606022253681</v>
      </c>
      <c r="AA108" s="515"/>
      <c r="AB108" s="515"/>
      <c r="AC108" s="515"/>
      <c r="AD108" s="515"/>
      <c r="AE108" s="459">
        <f>AE$103/AE106</f>
        <v>0.62060104990987019</v>
      </c>
      <c r="AF108" s="515"/>
      <c r="AG108" s="515"/>
      <c r="AH108" s="515"/>
      <c r="AI108" s="515"/>
      <c r="AJ108" s="459">
        <f>AJ$103/AJ106</f>
        <v>0.59936503071891356</v>
      </c>
      <c r="AK108" s="459"/>
      <c r="AL108" s="515"/>
      <c r="AM108" s="515"/>
      <c r="AN108" s="515"/>
      <c r="AO108" s="459">
        <f>AO$103/AO106</f>
        <v>0.39175304214982121</v>
      </c>
      <c r="AP108" s="515"/>
      <c r="AQ108" s="515"/>
      <c r="AR108" s="515"/>
      <c r="AS108" s="515"/>
      <c r="AT108" s="459">
        <f>AT$103/AT106</f>
        <v>0.45041379066227744</v>
      </c>
      <c r="AU108" s="515"/>
      <c r="AV108" s="515"/>
      <c r="AW108" s="515"/>
      <c r="AX108" s="515"/>
      <c r="AY108" s="459">
        <f>AY$103/AY106</f>
        <v>0.49277227008189822</v>
      </c>
      <c r="AZ108" s="515"/>
      <c r="BA108" s="515"/>
      <c r="BB108" s="515"/>
      <c r="BC108" s="515"/>
      <c r="BD108" s="459">
        <f ca="1">BD$103/BD106</f>
        <v>0.57190617889105744</v>
      </c>
      <c r="BE108" s="515"/>
      <c r="BF108" s="515"/>
      <c r="BG108" s="515"/>
      <c r="BH108" s="515"/>
      <c r="BI108" s="459">
        <f ca="1">BI$103/BI106</f>
        <v>0.56313923278786071</v>
      </c>
      <c r="BJ108" s="515"/>
      <c r="BK108" s="515"/>
      <c r="BL108" s="515"/>
      <c r="BM108" s="515"/>
      <c r="BN108" s="459">
        <f ca="1">BN$103/BN106</f>
        <v>0.49229878650391934</v>
      </c>
      <c r="BO108"/>
      <c r="BP108"/>
      <c r="BQ108"/>
    </row>
    <row r="109" spans="1:69" x14ac:dyDescent="0.35">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c r="BP109"/>
      <c r="BQ109"/>
    </row>
    <row r="110" spans="1:69" x14ac:dyDescent="0.35">
      <c r="A110" s="133"/>
      <c r="B110" s="258" t="s">
        <v>236</v>
      </c>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c r="BP110"/>
      <c r="BQ110"/>
    </row>
    <row r="111" spans="1:69" x14ac:dyDescent="0.35">
      <c r="A111" s="133"/>
      <c r="B111" s="133" t="s">
        <v>237</v>
      </c>
      <c r="C111" s="133"/>
      <c r="D111" s="133"/>
      <c r="E111" s="133"/>
      <c r="F111" s="133"/>
      <c r="G111" s="133"/>
      <c r="H111" s="133"/>
      <c r="I111" s="133"/>
      <c r="J111" s="133"/>
      <c r="K111" s="133"/>
      <c r="L111" s="133"/>
      <c r="M111" s="133"/>
      <c r="N111" s="133"/>
      <c r="O111" s="133"/>
      <c r="P111" s="133"/>
      <c r="Q111" s="133"/>
      <c r="R111" s="133"/>
      <c r="S111" s="133"/>
      <c r="T111" s="133"/>
      <c r="U111" s="133"/>
      <c r="V111" s="133"/>
      <c r="W111" s="312">
        <f>V114</f>
        <v>318.7</v>
      </c>
      <c r="X111" s="312">
        <f>W114</f>
        <v>331.9</v>
      </c>
      <c r="Y111" s="312">
        <f>X114</f>
        <v>317.59999999999997</v>
      </c>
      <c r="Z111" s="312"/>
      <c r="AA111" s="312">
        <f>Y114</f>
        <v>292.59999999999997</v>
      </c>
      <c r="AB111" s="312">
        <f>Z114</f>
        <v>0</v>
      </c>
      <c r="AC111" s="312">
        <f>AA114</f>
        <v>289.09999999999997</v>
      </c>
      <c r="AD111" s="312">
        <f>AC15</f>
        <v>282</v>
      </c>
      <c r="AE111" s="312"/>
      <c r="AF111" s="312">
        <f>AD114</f>
        <v>273.5</v>
      </c>
      <c r="AG111" s="312">
        <f>AE114</f>
        <v>0</v>
      </c>
      <c r="AH111" s="312">
        <f>AG15</f>
        <v>282</v>
      </c>
      <c r="AI111" s="312">
        <f>AH15</f>
        <v>301</v>
      </c>
      <c r="AJ111" s="312"/>
      <c r="AK111" s="312">
        <f>AI114</f>
        <v>324.5</v>
      </c>
      <c r="AL111" s="312">
        <f>AK114</f>
        <v>344.5</v>
      </c>
      <c r="AM111" s="312">
        <f>AL15</f>
        <v>433</v>
      </c>
      <c r="AN111" s="312">
        <f>AM15</f>
        <v>472</v>
      </c>
      <c r="AO111" s="312"/>
      <c r="AP111" s="312">
        <f>AN114</f>
        <v>506.5</v>
      </c>
      <c r="AQ111" s="312">
        <f>AP114</f>
        <v>535.5</v>
      </c>
      <c r="AR111" s="312">
        <f>AQ15</f>
        <v>541</v>
      </c>
      <c r="AS111" s="312">
        <f>AR15</f>
        <v>573</v>
      </c>
      <c r="AT111" s="312"/>
      <c r="AU111" s="312">
        <f>AS114</f>
        <v>597.5</v>
      </c>
      <c r="AV111" s="312">
        <f>AU114</f>
        <v>613</v>
      </c>
      <c r="AW111" s="312">
        <f>AV15</f>
        <v>652</v>
      </c>
      <c r="AX111" s="312">
        <f>AW15</f>
        <v>662</v>
      </c>
      <c r="AY111" s="312"/>
      <c r="AZ111" s="312">
        <f>AY15</f>
        <v>656</v>
      </c>
      <c r="BA111" s="312">
        <f>AZ15</f>
        <v>671</v>
      </c>
      <c r="BB111" s="312">
        <f>BA15</f>
        <v>689</v>
      </c>
      <c r="BC111" s="312">
        <f ca="1">BB15</f>
        <v>712</v>
      </c>
      <c r="BD111" s="312"/>
      <c r="BE111" s="312">
        <f ca="1">BD15</f>
        <v>743.84121354639092</v>
      </c>
      <c r="BF111" s="312">
        <f ca="1">BE15</f>
        <v>769.51233982863698</v>
      </c>
      <c r="BG111" s="312">
        <f ca="1">BF15</f>
        <v>782.74672993114916</v>
      </c>
      <c r="BH111" s="312">
        <f ca="1">BG15</f>
        <v>807.20259888233579</v>
      </c>
      <c r="BI111" s="312"/>
      <c r="BJ111" s="312">
        <f ca="1">BI15</f>
        <v>837.18126444312816</v>
      </c>
      <c r="BK111" s="312">
        <f ca="1">BJ15</f>
        <v>859.94503349539616</v>
      </c>
      <c r="BL111" s="312">
        <f ca="1">BK15</f>
        <v>872.24461348761724</v>
      </c>
      <c r="BM111" s="312">
        <f ca="1">BL15</f>
        <v>894.77620550950098</v>
      </c>
      <c r="BN111" s="312"/>
      <c r="BO111"/>
      <c r="BP111"/>
      <c r="BQ111"/>
    </row>
    <row r="112" spans="1:69" x14ac:dyDescent="0.35">
      <c r="A112" s="133"/>
      <c r="B112" s="316" t="s">
        <v>238</v>
      </c>
      <c r="C112" s="133"/>
      <c r="D112" s="133"/>
      <c r="E112" s="133"/>
      <c r="F112" s="133"/>
      <c r="G112" s="133"/>
      <c r="H112" s="133"/>
      <c r="I112" s="133"/>
      <c r="J112" s="133"/>
      <c r="K112" s="133"/>
      <c r="L112" s="133"/>
      <c r="M112" s="133"/>
      <c r="N112" s="133"/>
      <c r="O112" s="133"/>
      <c r="P112" s="133"/>
      <c r="Q112" s="133"/>
      <c r="R112" s="133"/>
      <c r="S112" s="133"/>
      <c r="T112" s="133"/>
      <c r="U112" s="133"/>
      <c r="V112" s="133"/>
      <c r="W112" s="312">
        <f>-W60</f>
        <v>38.700000000000003</v>
      </c>
      <c r="X112" s="312">
        <f>-X60</f>
        <v>10</v>
      </c>
      <c r="Y112" s="312">
        <f>-Y60</f>
        <v>0</v>
      </c>
      <c r="Z112" s="312"/>
      <c r="AA112" s="312">
        <f>-AA60</f>
        <v>21</v>
      </c>
      <c r="AB112" s="312">
        <f>-AB60</f>
        <v>41</v>
      </c>
      <c r="AC112" s="312">
        <f>-AC60</f>
        <v>21</v>
      </c>
      <c r="AD112" s="312">
        <f>-AD60</f>
        <v>20</v>
      </c>
      <c r="AE112" s="312"/>
      <c r="AF112" s="312">
        <f>-AF60</f>
        <v>14</v>
      </c>
      <c r="AG112" s="312">
        <f>-AG60</f>
        <v>30</v>
      </c>
      <c r="AH112" s="312">
        <f>-AH60</f>
        <v>33</v>
      </c>
      <c r="AI112" s="312">
        <f>-AI60</f>
        <v>62</v>
      </c>
      <c r="AJ112" s="312"/>
      <c r="AK112" s="312">
        <f>-AK60</f>
        <v>59</v>
      </c>
      <c r="AL112" s="312">
        <f>-AL60</f>
        <v>74</v>
      </c>
      <c r="AM112" s="312">
        <f>-AM60</f>
        <v>71</v>
      </c>
      <c r="AN112" s="312">
        <f>-AN60</f>
        <v>79</v>
      </c>
      <c r="AO112" s="312"/>
      <c r="AP112" s="312">
        <f>-AP60</f>
        <v>73</v>
      </c>
      <c r="AQ112" s="312">
        <f>-AQ60</f>
        <v>54</v>
      </c>
      <c r="AR112" s="312">
        <f>-AR60</f>
        <v>71</v>
      </c>
      <c r="AS112" s="312">
        <f>-AS60</f>
        <v>73</v>
      </c>
      <c r="AT112" s="312"/>
      <c r="AU112" s="312">
        <f>-AU60</f>
        <v>78</v>
      </c>
      <c r="AV112" s="312">
        <f>-AV60</f>
        <v>93</v>
      </c>
      <c r="AW112" s="312">
        <f>-AW60</f>
        <v>72</v>
      </c>
      <c r="AX112" s="312">
        <f>-AX60</f>
        <v>74</v>
      </c>
      <c r="AY112" s="312"/>
      <c r="AZ112" s="312">
        <f>-AZ60</f>
        <v>85</v>
      </c>
      <c r="BA112" s="312">
        <f>-BA60</f>
        <v>75</v>
      </c>
      <c r="BB112" s="312">
        <f>-BB60</f>
        <v>85</v>
      </c>
      <c r="BC112" s="312">
        <f>-BC60</f>
        <v>94</v>
      </c>
      <c r="BD112" s="312"/>
      <c r="BE112" s="312">
        <f>-BE60</f>
        <v>87.5</v>
      </c>
      <c r="BF112" s="312">
        <f>-BF60</f>
        <v>77.5</v>
      </c>
      <c r="BG112" s="312">
        <f>-BG60</f>
        <v>87.5</v>
      </c>
      <c r="BH112" s="312">
        <f>-BH60</f>
        <v>96.5</v>
      </c>
      <c r="BI112" s="312"/>
      <c r="BJ112" s="312">
        <f>-BJ60</f>
        <v>90</v>
      </c>
      <c r="BK112" s="312">
        <f>-BK60</f>
        <v>80</v>
      </c>
      <c r="BL112" s="312">
        <f>-BL60</f>
        <v>90</v>
      </c>
      <c r="BM112" s="312">
        <f>-BM60</f>
        <v>99</v>
      </c>
      <c r="BN112" s="312"/>
      <c r="BO112"/>
      <c r="BP112"/>
      <c r="BQ112"/>
    </row>
    <row r="113" spans="1:69" x14ac:dyDescent="0.35">
      <c r="A113" s="133"/>
      <c r="B113" s="316" t="s">
        <v>244</v>
      </c>
      <c r="C113" s="133"/>
      <c r="D113" s="133"/>
      <c r="E113" s="133"/>
      <c r="F113" s="133"/>
      <c r="G113" s="133"/>
      <c r="H113" s="133"/>
      <c r="I113" s="133"/>
      <c r="J113" s="133"/>
      <c r="K113" s="133"/>
      <c r="L113" s="133"/>
      <c r="M113" s="133"/>
      <c r="N113" s="133"/>
      <c r="O113" s="133"/>
      <c r="P113" s="133"/>
      <c r="Q113" s="133"/>
      <c r="R113" s="133"/>
      <c r="S113" s="133"/>
      <c r="T113" s="133"/>
      <c r="U113" s="133"/>
      <c r="V113" s="133"/>
      <c r="W113" s="312">
        <f>-W44/2</f>
        <v>-25.5</v>
      </c>
      <c r="X113" s="312">
        <f>-X44/2</f>
        <v>-24.3</v>
      </c>
      <c r="Y113" s="312">
        <f>-Y44/2</f>
        <v>-25</v>
      </c>
      <c r="Z113" s="312"/>
      <c r="AA113" s="312">
        <f>-AA44/2</f>
        <v>-24.5</v>
      </c>
      <c r="AB113" s="312">
        <f>-AB44/2</f>
        <v>-29</v>
      </c>
      <c r="AC113" s="312">
        <f>-AC44/2</f>
        <v>-28</v>
      </c>
      <c r="AD113" s="312">
        <f>-AD44/2</f>
        <v>-28.5</v>
      </c>
      <c r="AE113" s="312"/>
      <c r="AF113" s="312">
        <f>-AF44/2</f>
        <v>-29.5</v>
      </c>
      <c r="AG113" s="312">
        <f>-AG44/2</f>
        <v>-30</v>
      </c>
      <c r="AH113" s="312">
        <f>-AH44/2</f>
        <v>-30.5</v>
      </c>
      <c r="AI113" s="312">
        <f>-AI44/2</f>
        <v>-38.5</v>
      </c>
      <c r="AJ113" s="312"/>
      <c r="AK113" s="312">
        <f>-AK44/2</f>
        <v>-39</v>
      </c>
      <c r="AL113" s="312">
        <f>-AL44/2</f>
        <v>-40.5</v>
      </c>
      <c r="AM113" s="312">
        <f>-AM44/2</f>
        <v>-41.5</v>
      </c>
      <c r="AN113" s="312">
        <f>-AN44/2</f>
        <v>-44.5</v>
      </c>
      <c r="AO113" s="312"/>
      <c r="AP113" s="312">
        <f>-AP44/2</f>
        <v>-44</v>
      </c>
      <c r="AQ113" s="312">
        <f>-AQ44/2</f>
        <v>-46.5</v>
      </c>
      <c r="AR113" s="312">
        <f>-AR44/2</f>
        <v>-47.5</v>
      </c>
      <c r="AS113" s="312">
        <f>-AS44/2</f>
        <v>-48.5</v>
      </c>
      <c r="AT113" s="312"/>
      <c r="AU113" s="312">
        <f>-AU44/2</f>
        <v>-50</v>
      </c>
      <c r="AV113" s="312">
        <f>-AV44/2</f>
        <v>-55</v>
      </c>
      <c r="AW113" s="312">
        <f>-AW44/2</f>
        <v>-54</v>
      </c>
      <c r="AX113" s="312">
        <f>-AX44/2</f>
        <v>-56.5</v>
      </c>
      <c r="AY113" s="312"/>
      <c r="AZ113" s="312">
        <f>-AZ44/2</f>
        <v>-56.5</v>
      </c>
      <c r="BA113" s="312">
        <f>-BA44/2</f>
        <v>-60</v>
      </c>
      <c r="BB113" s="312">
        <f>-BB44/2</f>
        <v>-59.129963898916969</v>
      </c>
      <c r="BC113" s="312">
        <f>-BC44/2</f>
        <v>-62.158786453609096</v>
      </c>
      <c r="BD113" s="312"/>
      <c r="BE113" s="312">
        <f>-BE44/2</f>
        <v>-61.828873717753915</v>
      </c>
      <c r="BF113" s="312">
        <f>-BF44/2</f>
        <v>-64.265609897487849</v>
      </c>
      <c r="BG113" s="312">
        <f>-BG44/2</f>
        <v>-63.044131048813412</v>
      </c>
      <c r="BH113" s="312">
        <f>-BH44/2</f>
        <v>-66.521334439207678</v>
      </c>
      <c r="BI113" s="312"/>
      <c r="BJ113" s="312">
        <f>-BJ44/2</f>
        <v>-67.236230947731954</v>
      </c>
      <c r="BK113" s="312">
        <f>-BK44/2</f>
        <v>-67.700420007778888</v>
      </c>
      <c r="BL113" s="312">
        <f>-BL44/2</f>
        <v>-67.468407978116232</v>
      </c>
      <c r="BM113" s="312">
        <f>-BM44/2</f>
        <v>-71.250403877715144</v>
      </c>
      <c r="BN113" s="312"/>
      <c r="BO113"/>
      <c r="BP113"/>
      <c r="BQ113"/>
    </row>
    <row r="114" spans="1:69" x14ac:dyDescent="0.35">
      <c r="A114" s="132"/>
      <c r="B114" s="132" t="s">
        <v>246</v>
      </c>
      <c r="C114" s="132"/>
      <c r="D114" s="132"/>
      <c r="E114" s="132"/>
      <c r="F114" s="132"/>
      <c r="G114" s="132"/>
      <c r="H114" s="132"/>
      <c r="I114" s="132"/>
      <c r="J114" s="132"/>
      <c r="K114" s="132"/>
      <c r="L114" s="132"/>
      <c r="M114" s="132"/>
      <c r="N114" s="132"/>
      <c r="O114" s="132"/>
      <c r="P114" s="132"/>
      <c r="Q114" s="132"/>
      <c r="R114" s="132"/>
      <c r="S114" s="132"/>
      <c r="T114" s="132"/>
      <c r="U114" s="132"/>
      <c r="V114" s="318">
        <f>V15</f>
        <v>318.7</v>
      </c>
      <c r="W114" s="318">
        <f>SUM(W111:W113)</f>
        <v>331.9</v>
      </c>
      <c r="X114" s="318">
        <f>SUM(X111:X113)</f>
        <v>317.59999999999997</v>
      </c>
      <c r="Y114" s="318">
        <f>SUM(Y111:Y113)</f>
        <v>292.59999999999997</v>
      </c>
      <c r="Z114" s="322"/>
      <c r="AA114" s="318">
        <f>SUM(AA111:AA113)</f>
        <v>289.09999999999997</v>
      </c>
      <c r="AB114" s="318">
        <f>SUM(AB111:AB113)</f>
        <v>12</v>
      </c>
      <c r="AC114" s="318">
        <f>SUM(AC111:AC113)</f>
        <v>282.09999999999997</v>
      </c>
      <c r="AD114" s="318">
        <f>SUM(AD111:AD113)</f>
        <v>273.5</v>
      </c>
      <c r="AE114" s="322"/>
      <c r="AF114" s="318">
        <f>SUM(AF111:AF113)</f>
        <v>258</v>
      </c>
      <c r="AG114" s="318">
        <f>SUM(AG111:AG113)</f>
        <v>0</v>
      </c>
      <c r="AH114" s="318">
        <f>SUM(AH111:AH113)</f>
        <v>284.5</v>
      </c>
      <c r="AI114" s="318">
        <f>SUM(AI111:AI113)</f>
        <v>324.5</v>
      </c>
      <c r="AJ114" s="322"/>
      <c r="AK114" s="318">
        <f>SUM(AK111:AK113)</f>
        <v>344.5</v>
      </c>
      <c r="AL114" s="318">
        <f>SUM(AL111:AL113)</f>
        <v>378</v>
      </c>
      <c r="AM114" s="318">
        <f>SUM(AM111:AM113)</f>
        <v>462.5</v>
      </c>
      <c r="AN114" s="318">
        <f>SUM(AN111:AN113)</f>
        <v>506.5</v>
      </c>
      <c r="AO114" s="322"/>
      <c r="AP114" s="318">
        <f>SUM(AP111:AP113)</f>
        <v>535.5</v>
      </c>
      <c r="AQ114" s="318">
        <f>SUM(AQ111:AQ113)</f>
        <v>543</v>
      </c>
      <c r="AR114" s="318">
        <f>SUM(AR111:AR113)</f>
        <v>564.5</v>
      </c>
      <c r="AS114" s="318">
        <f>SUM(AS111:AS113)</f>
        <v>597.5</v>
      </c>
      <c r="AT114" s="322"/>
      <c r="AU114" s="318">
        <f>AU15</f>
        <v>613</v>
      </c>
      <c r="AV114" s="318">
        <f>AV15</f>
        <v>652</v>
      </c>
      <c r="AW114" s="318">
        <f>AW15</f>
        <v>662</v>
      </c>
      <c r="AX114" s="318">
        <f>AX15</f>
        <v>656</v>
      </c>
      <c r="AY114" s="322"/>
      <c r="AZ114" s="318">
        <f>AZ15</f>
        <v>671</v>
      </c>
      <c r="BA114" s="318">
        <f>BA15</f>
        <v>689</v>
      </c>
      <c r="BB114" s="318">
        <f ca="1">BB15</f>
        <v>712</v>
      </c>
      <c r="BC114" s="318">
        <f ca="1">SUM(BC111:BC113)</f>
        <v>743.84121354639092</v>
      </c>
      <c r="BD114" s="322"/>
      <c r="BE114" s="318">
        <f ca="1">SUM(BE111:BE113)</f>
        <v>769.51233982863698</v>
      </c>
      <c r="BF114" s="318">
        <f ca="1">SUM(BF111:BF113)</f>
        <v>782.74672993114916</v>
      </c>
      <c r="BG114" s="318">
        <f ca="1">SUM(BG111:BG113)</f>
        <v>807.20259888233579</v>
      </c>
      <c r="BH114" s="318">
        <f ca="1">SUM(BH111:BH113)</f>
        <v>837.18126444312816</v>
      </c>
      <c r="BI114" s="322"/>
      <c r="BJ114" s="318">
        <f ca="1">SUM(BJ111:BJ113)</f>
        <v>859.94503349539616</v>
      </c>
      <c r="BK114" s="318">
        <f ca="1">SUM(BK111:BK113)</f>
        <v>872.24461348761724</v>
      </c>
      <c r="BL114" s="318">
        <f ca="1">SUM(BL111:BL113)</f>
        <v>894.77620550950098</v>
      </c>
      <c r="BM114" s="318">
        <f ca="1">SUM(BM111:BM113)</f>
        <v>922.52580163178584</v>
      </c>
      <c r="BN114" s="322"/>
      <c r="BO114"/>
      <c r="BP114"/>
      <c r="BQ114"/>
    </row>
    <row r="115" spans="1:69" x14ac:dyDescent="0.3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322"/>
      <c r="W115" s="322"/>
      <c r="X115" s="322"/>
      <c r="Y115" s="322"/>
      <c r="Z115" s="322"/>
      <c r="AA115" s="322"/>
      <c r="AB115" s="322"/>
      <c r="AC115" s="322"/>
      <c r="AD115" s="322"/>
      <c r="AE115" s="322"/>
      <c r="AF115" s="322"/>
      <c r="AG115" s="322"/>
      <c r="AH115" s="322"/>
      <c r="AI115" s="322"/>
      <c r="AJ115" s="322"/>
      <c r="AK115" s="322"/>
      <c r="AL115" s="322"/>
      <c r="AM115" s="322"/>
      <c r="AN115" s="322"/>
      <c r="AO115" s="322"/>
      <c r="AP115" s="322"/>
      <c r="AQ115" s="322"/>
      <c r="AR115" s="322"/>
      <c r="AS115" s="322"/>
      <c r="AT115" s="322"/>
      <c r="AU115" s="322"/>
      <c r="AV115" s="322"/>
      <c r="AW115" s="322"/>
      <c r="AX115" s="322"/>
      <c r="AY115" s="322"/>
      <c r="AZ115" s="668"/>
      <c r="BA115" s="322"/>
      <c r="BB115" s="322"/>
      <c r="BC115" s="322"/>
      <c r="BD115" s="322"/>
      <c r="BE115" s="322"/>
      <c r="BF115" s="322"/>
      <c r="BG115" s="322"/>
      <c r="BH115" s="322"/>
      <c r="BI115" s="322"/>
      <c r="BJ115" s="322"/>
      <c r="BK115" s="322"/>
      <c r="BL115" s="322"/>
      <c r="BM115" s="322"/>
      <c r="BN115" s="322"/>
      <c r="BO115"/>
      <c r="BP115"/>
      <c r="BQ115"/>
    </row>
    <row r="116" spans="1:69" outlineLevel="1" x14ac:dyDescent="0.35">
      <c r="A116" s="132"/>
      <c r="B116" s="258" t="s">
        <v>202</v>
      </c>
      <c r="C116" s="132"/>
      <c r="D116" s="132"/>
      <c r="E116" s="132"/>
      <c r="F116" s="132"/>
      <c r="G116" s="132"/>
      <c r="H116" s="132"/>
      <c r="I116" s="132"/>
      <c r="J116" s="132"/>
      <c r="K116" s="132"/>
      <c r="L116" s="132"/>
      <c r="M116" s="132"/>
      <c r="N116" s="132"/>
      <c r="O116" s="132"/>
      <c r="P116" s="132"/>
      <c r="Q116" s="132"/>
      <c r="R116" s="132"/>
      <c r="S116" s="132"/>
      <c r="T116" s="132"/>
      <c r="U116" s="132"/>
      <c r="V116" s="322"/>
      <c r="W116" s="322"/>
      <c r="X116" s="322"/>
      <c r="Y116" s="322"/>
      <c r="Z116" s="322"/>
      <c r="AA116" s="322"/>
      <c r="AB116" s="322"/>
      <c r="AC116" s="322"/>
      <c r="AD116" s="322"/>
      <c r="AE116" s="322"/>
      <c r="AF116" s="322"/>
      <c r="AG116" s="322"/>
      <c r="AH116" s="322"/>
      <c r="AI116" s="322"/>
      <c r="AJ116" s="322"/>
      <c r="AK116" s="322"/>
      <c r="AL116" s="322"/>
      <c r="AM116" s="322"/>
      <c r="AN116" s="322"/>
      <c r="AO116" s="322"/>
      <c r="AP116" s="322"/>
      <c r="AQ116" s="322"/>
      <c r="AR116" s="322"/>
      <c r="AS116" s="322"/>
      <c r="AT116" s="322"/>
      <c r="AU116" s="322"/>
      <c r="AV116" s="322"/>
      <c r="AW116" s="322"/>
      <c r="AX116" s="322"/>
      <c r="AY116" s="322"/>
      <c r="AZ116" s="668"/>
      <c r="BA116" s="322"/>
      <c r="BB116" s="322"/>
      <c r="BC116" s="322"/>
      <c r="BD116" s="322"/>
      <c r="BE116" s="322"/>
      <c r="BF116" s="322"/>
      <c r="BG116" s="322"/>
      <c r="BH116" s="322"/>
      <c r="BI116" s="322"/>
      <c r="BJ116" s="322"/>
      <c r="BK116" s="322"/>
      <c r="BL116" s="322"/>
      <c r="BM116" s="322"/>
      <c r="BN116" s="322"/>
      <c r="BO116"/>
      <c r="BP116"/>
      <c r="BQ116"/>
    </row>
    <row r="117" spans="1:69" outlineLevel="1" x14ac:dyDescent="0.35">
      <c r="A117" s="132"/>
      <c r="B117" s="133" t="s">
        <v>237</v>
      </c>
      <c r="C117" s="132"/>
      <c r="D117" s="132"/>
      <c r="E117" s="132"/>
      <c r="F117" s="132"/>
      <c r="G117" s="132"/>
      <c r="H117" s="132"/>
      <c r="I117" s="132"/>
      <c r="J117" s="132"/>
      <c r="K117" s="132"/>
      <c r="L117" s="132"/>
      <c r="M117" s="132"/>
      <c r="N117" s="132"/>
      <c r="O117" s="132"/>
      <c r="P117" s="132"/>
      <c r="Q117" s="132"/>
      <c r="R117" s="132"/>
      <c r="S117" s="132"/>
      <c r="T117" s="132"/>
      <c r="U117" s="132"/>
      <c r="V117" s="322"/>
      <c r="W117" s="322">
        <f>V120</f>
        <v>1530.4</v>
      </c>
      <c r="X117" s="322">
        <f>W120</f>
        <v>1514.9</v>
      </c>
      <c r="Y117" s="322">
        <f>X120</f>
        <v>1520.6000000000001</v>
      </c>
      <c r="Z117" s="322"/>
      <c r="AA117" s="322">
        <f>Y120</f>
        <v>1525.6000000000001</v>
      </c>
      <c r="AB117" s="322">
        <f>Z120</f>
        <v>0</v>
      </c>
      <c r="AC117" s="322">
        <f>AA120</f>
        <v>1556.1000000000001</v>
      </c>
      <c r="AD117" s="322">
        <f>AC117</f>
        <v>1556.1000000000001</v>
      </c>
      <c r="AE117" s="322"/>
      <c r="AF117" s="322">
        <f>AD120</f>
        <v>1531.6000000000001</v>
      </c>
      <c r="AG117" s="322">
        <f>AF120</f>
        <v>1532.1000000000001</v>
      </c>
      <c r="AH117" s="322">
        <f>AG117</f>
        <v>1532.1000000000001</v>
      </c>
      <c r="AI117" s="322">
        <f>AH120</f>
        <v>2712.6000000000004</v>
      </c>
      <c r="AJ117" s="322"/>
      <c r="AK117" s="322">
        <f>AI120</f>
        <v>2929.1000000000004</v>
      </c>
      <c r="AL117" s="322">
        <f>AK120</f>
        <v>2909.1000000000004</v>
      </c>
      <c r="AM117" s="322">
        <f>AL117</f>
        <v>2909.1000000000004</v>
      </c>
      <c r="AN117" s="322">
        <f>AM120</f>
        <v>2875.6000000000004</v>
      </c>
      <c r="AO117" s="322"/>
      <c r="AP117" s="322">
        <f>AN120</f>
        <v>2842.1000000000004</v>
      </c>
      <c r="AQ117" s="322">
        <f>AP120</f>
        <v>2788.1000000000004</v>
      </c>
      <c r="AR117" s="322"/>
      <c r="AS117" s="322"/>
      <c r="AT117" s="322"/>
      <c r="AU117" s="322"/>
      <c r="AV117" s="322"/>
      <c r="AW117" s="322"/>
      <c r="AX117" s="322"/>
      <c r="AY117" s="322"/>
      <c r="AZ117" s="668"/>
      <c r="BA117" s="322"/>
      <c r="BB117" s="322"/>
      <c r="BC117" s="322"/>
      <c r="BD117" s="322"/>
      <c r="BE117" s="322"/>
      <c r="BF117" s="322"/>
      <c r="BG117" s="322"/>
      <c r="BH117" s="322"/>
      <c r="BI117" s="322"/>
      <c r="BJ117" s="322"/>
      <c r="BK117" s="322"/>
      <c r="BL117" s="322"/>
      <c r="BM117" s="322"/>
      <c r="BN117" s="322"/>
      <c r="BO117"/>
      <c r="BP117"/>
      <c r="BQ117"/>
    </row>
    <row r="118" spans="1:69" outlineLevel="1" x14ac:dyDescent="0.35">
      <c r="A118" s="132"/>
      <c r="B118" s="316" t="s">
        <v>251</v>
      </c>
      <c r="C118" s="132"/>
      <c r="D118" s="132"/>
      <c r="E118" s="132"/>
      <c r="F118" s="132"/>
      <c r="G118" s="132"/>
      <c r="H118" s="132"/>
      <c r="I118" s="132"/>
      <c r="J118" s="132"/>
      <c r="K118" s="132"/>
      <c r="L118" s="132"/>
      <c r="M118" s="132"/>
      <c r="N118" s="132"/>
      <c r="O118" s="132"/>
      <c r="P118" s="132"/>
      <c r="Q118" s="132"/>
      <c r="R118" s="132"/>
      <c r="S118" s="132"/>
      <c r="T118" s="132"/>
      <c r="U118" s="132"/>
      <c r="V118" s="322"/>
      <c r="W118" s="312">
        <f>-W63</f>
        <v>10</v>
      </c>
      <c r="X118" s="312">
        <f>-X63</f>
        <v>30</v>
      </c>
      <c r="Y118" s="312">
        <f>-Y63</f>
        <v>30</v>
      </c>
      <c r="Z118" s="322"/>
      <c r="AA118" s="312">
        <f>-AA63</f>
        <v>55</v>
      </c>
      <c r="AB118" s="312">
        <f>-AB63</f>
        <v>8</v>
      </c>
      <c r="AC118" s="312">
        <f>-AC63</f>
        <v>10</v>
      </c>
      <c r="AD118" s="312">
        <f>-AD63</f>
        <v>4</v>
      </c>
      <c r="AE118" s="322"/>
      <c r="AF118" s="312">
        <f>-AF63</f>
        <v>30</v>
      </c>
      <c r="AG118" s="312">
        <f>-AG63</f>
        <v>-6</v>
      </c>
      <c r="AH118" s="312">
        <f>-AH63+1200</f>
        <v>1211</v>
      </c>
      <c r="AI118" s="312">
        <f>-AI63</f>
        <v>255</v>
      </c>
      <c r="AJ118" s="322"/>
      <c r="AK118" s="312">
        <f>-AK63</f>
        <v>19</v>
      </c>
      <c r="AL118" s="312">
        <f>-AL63</f>
        <v>64</v>
      </c>
      <c r="AM118" s="312">
        <f>-AM63</f>
        <v>8</v>
      </c>
      <c r="AN118" s="312">
        <f>-AN63</f>
        <v>11</v>
      </c>
      <c r="AO118" s="322"/>
      <c r="AP118" s="312">
        <f>-AP63</f>
        <v>-10</v>
      </c>
      <c r="AQ118" s="312">
        <f>-AQ63</f>
        <v>-17</v>
      </c>
      <c r="AR118" s="312"/>
      <c r="AS118" s="312"/>
      <c r="AT118" s="322"/>
      <c r="AU118" s="312"/>
      <c r="AV118" s="312"/>
      <c r="AW118" s="312"/>
      <c r="AX118" s="312"/>
      <c r="AY118" s="322"/>
      <c r="AZ118" s="666"/>
      <c r="BA118" s="312"/>
      <c r="BB118" s="312"/>
      <c r="BC118" s="312"/>
      <c r="BD118" s="322"/>
      <c r="BE118" s="312"/>
      <c r="BF118" s="312"/>
      <c r="BG118" s="312"/>
      <c r="BH118" s="312"/>
      <c r="BI118" s="322"/>
      <c r="BJ118" s="312"/>
      <c r="BK118" s="312"/>
      <c r="BL118" s="312"/>
      <c r="BM118" s="312"/>
      <c r="BN118" s="322"/>
      <c r="BO118"/>
      <c r="BP118"/>
      <c r="BQ118"/>
    </row>
    <row r="119" spans="1:69" outlineLevel="1" x14ac:dyDescent="0.35">
      <c r="A119" s="133"/>
      <c r="B119" s="316" t="s">
        <v>245</v>
      </c>
      <c r="C119" s="133"/>
      <c r="D119" s="133"/>
      <c r="E119" s="133"/>
      <c r="F119" s="133"/>
      <c r="G119" s="133"/>
      <c r="H119" s="133"/>
      <c r="I119" s="133"/>
      <c r="J119" s="133"/>
      <c r="K119" s="133"/>
      <c r="L119" s="133"/>
      <c r="M119" s="133"/>
      <c r="N119" s="133"/>
      <c r="O119" s="133"/>
      <c r="P119" s="133"/>
      <c r="Q119" s="133"/>
      <c r="R119" s="133"/>
      <c r="S119" s="133"/>
      <c r="T119" s="133"/>
      <c r="U119" s="133"/>
      <c r="V119" s="133"/>
      <c r="W119" s="312">
        <f>W113</f>
        <v>-25.5</v>
      </c>
      <c r="X119" s="312">
        <f>X113</f>
        <v>-24.3</v>
      </c>
      <c r="Y119" s="312">
        <f>Y113</f>
        <v>-25</v>
      </c>
      <c r="Z119" s="133"/>
      <c r="AA119" s="312">
        <f>AA113</f>
        <v>-24.5</v>
      </c>
      <c r="AB119" s="312">
        <f>AB113</f>
        <v>-29</v>
      </c>
      <c r="AC119" s="312">
        <f>AC113</f>
        <v>-28</v>
      </c>
      <c r="AD119" s="312">
        <f>AD113</f>
        <v>-28.5</v>
      </c>
      <c r="AE119" s="133"/>
      <c r="AF119" s="312">
        <f>AF113</f>
        <v>-29.5</v>
      </c>
      <c r="AG119" s="312">
        <f>AG113</f>
        <v>-30</v>
      </c>
      <c r="AH119" s="312">
        <f>AH113</f>
        <v>-30.5</v>
      </c>
      <c r="AI119" s="312">
        <f>AI113</f>
        <v>-38.5</v>
      </c>
      <c r="AJ119" s="133"/>
      <c r="AK119" s="312">
        <f>AK113</f>
        <v>-39</v>
      </c>
      <c r="AL119" s="312">
        <f>AL113</f>
        <v>-40.5</v>
      </c>
      <c r="AM119" s="312">
        <f>AM113</f>
        <v>-41.5</v>
      </c>
      <c r="AN119" s="312">
        <f>AN113</f>
        <v>-44.5</v>
      </c>
      <c r="AO119" s="133"/>
      <c r="AP119" s="312">
        <f>AP113</f>
        <v>-44</v>
      </c>
      <c r="AQ119" s="312">
        <f>AQ113</f>
        <v>-46.5</v>
      </c>
      <c r="AR119" s="312"/>
      <c r="AS119" s="312"/>
      <c r="AT119" s="133"/>
      <c r="AU119" s="312"/>
      <c r="AV119" s="312"/>
      <c r="AW119" s="312"/>
      <c r="AX119" s="312"/>
      <c r="AY119" s="133"/>
      <c r="AZ119" s="666"/>
      <c r="BA119" s="312"/>
      <c r="BB119" s="312"/>
      <c r="BC119" s="312"/>
      <c r="BD119" s="133"/>
      <c r="BE119" s="312"/>
      <c r="BF119" s="312"/>
      <c r="BG119" s="312"/>
      <c r="BH119" s="312"/>
      <c r="BI119" s="133"/>
      <c r="BJ119" s="312"/>
      <c r="BK119" s="312"/>
      <c r="BL119" s="312"/>
      <c r="BM119" s="312"/>
      <c r="BN119" s="133"/>
      <c r="BO119"/>
      <c r="BP119"/>
      <c r="BQ119"/>
    </row>
    <row r="120" spans="1:69" outlineLevel="1" x14ac:dyDescent="0.35">
      <c r="A120" s="133"/>
      <c r="B120" s="132" t="s">
        <v>252</v>
      </c>
      <c r="C120" s="133"/>
      <c r="D120" s="133"/>
      <c r="E120" s="133"/>
      <c r="F120" s="133"/>
      <c r="G120" s="133"/>
      <c r="H120" s="133"/>
      <c r="I120" s="133"/>
      <c r="J120" s="133"/>
      <c r="K120" s="133"/>
      <c r="L120" s="133"/>
      <c r="M120" s="133"/>
      <c r="N120" s="133"/>
      <c r="O120" s="133"/>
      <c r="P120" s="133"/>
      <c r="Q120" s="133"/>
      <c r="R120" s="133"/>
      <c r="S120" s="133"/>
      <c r="T120" s="133"/>
      <c r="U120" s="133"/>
      <c r="V120" s="318">
        <f>V18</f>
        <v>1530.4</v>
      </c>
      <c r="W120" s="318">
        <f>SUM(W117:W119)</f>
        <v>1514.9</v>
      </c>
      <c r="X120" s="318">
        <f>SUM(X117:X119)</f>
        <v>1520.6000000000001</v>
      </c>
      <c r="Y120" s="318">
        <f>SUM(Y117:Y119)</f>
        <v>1525.6000000000001</v>
      </c>
      <c r="Z120" s="133"/>
      <c r="AA120" s="318">
        <f>SUM(AA117:AA119)</f>
        <v>1556.1000000000001</v>
      </c>
      <c r="AB120" s="318">
        <f>SUM(AB117:AB119)</f>
        <v>-21</v>
      </c>
      <c r="AC120" s="318">
        <f>SUM(AC117:AC119)</f>
        <v>1538.1000000000001</v>
      </c>
      <c r="AD120" s="318">
        <f>SUM(AD117:AD119)</f>
        <v>1531.6000000000001</v>
      </c>
      <c r="AE120" s="133"/>
      <c r="AF120" s="318">
        <f>SUM(AF117:AF119)</f>
        <v>1532.1000000000001</v>
      </c>
      <c r="AG120" s="318">
        <f>SUM(AG117:AG119)</f>
        <v>1496.1000000000001</v>
      </c>
      <c r="AH120" s="318">
        <f>SUM(AH117:AH119)</f>
        <v>2712.6000000000004</v>
      </c>
      <c r="AI120" s="318">
        <f>SUM(AI117:AI119)</f>
        <v>2929.1000000000004</v>
      </c>
      <c r="AJ120" s="133"/>
      <c r="AK120" s="318">
        <f>SUM(AK117:AK119)</f>
        <v>2909.1000000000004</v>
      </c>
      <c r="AL120" s="318">
        <f>SUM(AL117:AL119)</f>
        <v>2932.6000000000004</v>
      </c>
      <c r="AM120" s="318">
        <f>SUM(AM117:AM119)</f>
        <v>2875.6000000000004</v>
      </c>
      <c r="AN120" s="318">
        <f>SUM(AN117:AN119)</f>
        <v>2842.1000000000004</v>
      </c>
      <c r="AO120" s="133"/>
      <c r="AP120" s="318">
        <f>SUM(AP117:AP119)</f>
        <v>2788.1000000000004</v>
      </c>
      <c r="AQ120" s="318">
        <f>SUM(AQ117:AQ119)</f>
        <v>2724.6000000000004</v>
      </c>
      <c r="AR120" s="318"/>
      <c r="AS120" s="318"/>
      <c r="AT120" s="133"/>
      <c r="AU120" s="318"/>
      <c r="AV120" s="318"/>
      <c r="AW120" s="318"/>
      <c r="AX120" s="318"/>
      <c r="AY120" s="133"/>
      <c r="AZ120" s="667"/>
      <c r="BA120" s="318"/>
      <c r="BB120" s="318"/>
      <c r="BC120" s="318"/>
      <c r="BD120" s="133"/>
      <c r="BE120" s="318"/>
      <c r="BF120" s="318"/>
      <c r="BG120" s="318"/>
      <c r="BH120" s="318"/>
      <c r="BI120" s="133"/>
      <c r="BJ120" s="318"/>
      <c r="BK120" s="318"/>
      <c r="BL120" s="318"/>
      <c r="BM120" s="318"/>
      <c r="BN120" s="133"/>
      <c r="BO120"/>
      <c r="BP120"/>
      <c r="BQ120"/>
    </row>
    <row r="121" spans="1:69" outlineLevel="1" x14ac:dyDescent="0.35">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581"/>
      <c r="BA121" s="133"/>
      <c r="BB121" s="133"/>
      <c r="BC121" s="133"/>
      <c r="BD121" s="133"/>
      <c r="BE121" s="133"/>
      <c r="BF121" s="133"/>
      <c r="BG121" s="133"/>
      <c r="BH121" s="133"/>
      <c r="BI121" s="133"/>
      <c r="BJ121" s="133"/>
      <c r="BK121" s="133"/>
      <c r="BL121" s="133"/>
      <c r="BM121" s="133"/>
      <c r="BN121" s="133"/>
      <c r="BO121"/>
      <c r="BP121"/>
      <c r="BQ121"/>
    </row>
    <row r="122" spans="1:69" x14ac:dyDescent="0.35">
      <c r="A122" s="133"/>
      <c r="B122" s="258" t="s">
        <v>235</v>
      </c>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581"/>
      <c r="BA122" s="133"/>
      <c r="BB122" s="133"/>
      <c r="BC122" s="133"/>
      <c r="BD122" s="133"/>
      <c r="BE122" s="133"/>
      <c r="BF122" s="133"/>
      <c r="BG122" s="133"/>
      <c r="BH122" s="133"/>
      <c r="BI122" s="133"/>
      <c r="BJ122" s="133"/>
      <c r="BK122" s="133"/>
      <c r="BL122" s="133"/>
      <c r="BM122" s="133"/>
      <c r="BN122" s="133"/>
      <c r="BO122"/>
      <c r="BP122"/>
      <c r="BQ122"/>
    </row>
    <row r="123" spans="1:69" x14ac:dyDescent="0.35">
      <c r="A123" s="133"/>
      <c r="B123" s="133" t="s">
        <v>248</v>
      </c>
      <c r="C123" s="133"/>
      <c r="D123" s="133"/>
      <c r="E123" s="133"/>
      <c r="F123" s="133"/>
      <c r="G123" s="133"/>
      <c r="H123" s="133"/>
      <c r="I123" s="133"/>
      <c r="J123" s="133"/>
      <c r="K123" s="133"/>
      <c r="L123" s="133"/>
      <c r="M123" s="133"/>
      <c r="N123" s="133"/>
      <c r="O123" s="133"/>
      <c r="P123" s="133"/>
      <c r="Q123" s="326">
        <f>365/(IS!AD25/'BS &amp; CFS'!Q12)/4</f>
        <v>97.785790361231918</v>
      </c>
      <c r="R123" s="326">
        <f>365/(IS!AE25/'BS &amp; CFS'!R12)/4</f>
        <v>88.299187303208228</v>
      </c>
      <c r="S123" s="326">
        <f>365/(IS!AF25/'BS &amp; CFS'!S12)/4</f>
        <v>95.555838267949667</v>
      </c>
      <c r="T123" s="326">
        <f>365/(IS!AG25/'BS &amp; CFS'!T12)/4</f>
        <v>110.78943024242996</v>
      </c>
      <c r="U123" s="133"/>
      <c r="V123" s="324">
        <f>365/(IS!AI25/'BS &amp; CFS'!V12)/4</f>
        <v>103.9615620348481</v>
      </c>
      <c r="W123" s="197">
        <v>95</v>
      </c>
      <c r="X123" s="197">
        <v>98</v>
      </c>
      <c r="Y123" s="197">
        <v>110</v>
      </c>
      <c r="Z123" s="133"/>
      <c r="AA123" s="197">
        <v>108</v>
      </c>
      <c r="AB123" s="197">
        <v>109</v>
      </c>
      <c r="AC123" s="197">
        <v>110</v>
      </c>
      <c r="AD123" s="197">
        <v>100</v>
      </c>
      <c r="AE123" s="133"/>
      <c r="AF123" s="324">
        <f>365/(IS!AS25/'BS &amp; CFS'!AF12)/4</f>
        <v>85.375781249999989</v>
      </c>
      <c r="AG123" s="324">
        <f>365/(IS!AT25/'BS &amp; CFS'!AG12)/4</f>
        <v>85.668061815840318</v>
      </c>
      <c r="AH123" s="324">
        <f>365/(IS!AU25/'BS &amp; CFS'!AH12)/4</f>
        <v>95.017201834862377</v>
      </c>
      <c r="AI123" s="324">
        <f>365/(IS!AV25/'BS &amp; CFS'!AI12)/4</f>
        <v>101.98180636777128</v>
      </c>
      <c r="AJ123" s="133"/>
      <c r="AK123" s="324">
        <f>365/(IS!AX25/'BS &amp; CFS'!AK12)/4</f>
        <v>109.35611038107754</v>
      </c>
      <c r="AL123" s="324">
        <f>365/(IS!AY25/'BS &amp; CFS'!AL12)/4</f>
        <v>105.85264301230993</v>
      </c>
      <c r="AM123" s="324">
        <f>365/(IS!AZ25/'BS &amp; CFS'!AM12)/4</f>
        <v>108.64117647058823</v>
      </c>
      <c r="AN123" s="324">
        <f>365/(IS!BA25/'BS &amp; CFS'!AN12)/4</f>
        <v>116.85658914728681</v>
      </c>
      <c r="AO123" s="133"/>
      <c r="AP123" s="324">
        <f>365/(IS!BC25/'BS &amp; CFS'!AP12)/4</f>
        <v>106.27210884353741</v>
      </c>
      <c r="AQ123" s="324">
        <f>365/(IS!BD25/'BS &amp; CFS'!AQ12)/4</f>
        <v>94.181726907630519</v>
      </c>
      <c r="AR123" s="324">
        <f>365/(IS!BE25/'BS &amp; CFS'!AR12)/4</f>
        <v>93.791610054347828</v>
      </c>
      <c r="AS123" s="324">
        <f>365/(IS!BF25/'BS &amp; CFS'!AS12)/4</f>
        <v>102.28631756756756</v>
      </c>
      <c r="AT123" s="133"/>
      <c r="AU123" s="324">
        <f>365/(IS!BH25/'BS &amp; CFS'!AU12)/4</f>
        <v>93.753499440089584</v>
      </c>
      <c r="AV123" s="324">
        <f>365/(IS!BI25/'BS &amp; CFS'!AV12)/4</f>
        <v>85.072922399559715</v>
      </c>
      <c r="AW123" s="324">
        <f>365/(IS!BJ25/'BS &amp; CFS'!AW12)/4</f>
        <v>85.965250965250974</v>
      </c>
      <c r="AX123" s="324">
        <f>365/(IS!BK25/'BS &amp; CFS'!AX12)/4</f>
        <v>98.290221291866033</v>
      </c>
      <c r="AY123" s="133"/>
      <c r="AZ123" s="324">
        <f>365/(IS!BM25/'BS &amp; CFS'!AZ12)/4</f>
        <v>87.740384615384613</v>
      </c>
      <c r="BA123" s="324">
        <f>365/(IS!BN25/'BS &amp; CFS'!BA12)/4</f>
        <v>85.384615384615387</v>
      </c>
      <c r="BB123" s="324">
        <f ca="1">365/(IS!BO25/'BS &amp; CFS'!BB12)/4</f>
        <v>80.759866894827951</v>
      </c>
      <c r="BC123" s="197">
        <f>AX123+4</f>
        <v>102.29022129186603</v>
      </c>
      <c r="BD123" s="133"/>
      <c r="BE123" s="197">
        <f>AZ123</f>
        <v>87.740384615384613</v>
      </c>
      <c r="BF123" s="197">
        <f>BA123</f>
        <v>85.384615384615387</v>
      </c>
      <c r="BG123" s="197">
        <f ca="1">BB123</f>
        <v>80.759866894827951</v>
      </c>
      <c r="BH123" s="197">
        <f>BC123</f>
        <v>102.29022129186603</v>
      </c>
      <c r="BI123" s="133"/>
      <c r="BJ123" s="197">
        <f>BE123</f>
        <v>87.740384615384613</v>
      </c>
      <c r="BK123" s="197">
        <f>BF123</f>
        <v>85.384615384615387</v>
      </c>
      <c r="BL123" s="197">
        <f ca="1">BG123</f>
        <v>80.759866894827951</v>
      </c>
      <c r="BM123" s="197">
        <f>BH123</f>
        <v>102.29022129186603</v>
      </c>
      <c r="BN123" s="133"/>
      <c r="BO123"/>
      <c r="BP123"/>
      <c r="BQ123"/>
    </row>
    <row r="124" spans="1:69" x14ac:dyDescent="0.35">
      <c r="A124" s="133"/>
      <c r="B124" s="133" t="s">
        <v>249</v>
      </c>
      <c r="C124" s="133"/>
      <c r="D124" s="133"/>
      <c r="E124" s="133"/>
      <c r="F124" s="133"/>
      <c r="G124" s="133"/>
      <c r="H124" s="133"/>
      <c r="I124" s="133"/>
      <c r="J124" s="133"/>
      <c r="K124" s="133"/>
      <c r="L124" s="133"/>
      <c r="M124" s="133"/>
      <c r="N124" s="133"/>
      <c r="O124" s="133"/>
      <c r="P124" s="133"/>
      <c r="Q124" s="325">
        <f>Q123*(IS!AD25/365*4)</f>
        <v>1207.4000000000001</v>
      </c>
      <c r="R124" s="325">
        <f>R123*(IS!AE25/365*4)</f>
        <v>1137.0999999999999</v>
      </c>
      <c r="S124" s="325">
        <f>S123*(IS!AF25/365*4)</f>
        <v>1131.8</v>
      </c>
      <c r="T124" s="325">
        <f>T123*(IS!AG25/365*4)</f>
        <v>1287.0999999999997</v>
      </c>
      <c r="U124" s="133"/>
      <c r="V124" s="313">
        <f>V123*(IS!AI25/365*4)</f>
        <v>1301.2</v>
      </c>
      <c r="W124" s="325">
        <f>W123*(IS!AJ25/365*4)</f>
        <v>1263.4739726027399</v>
      </c>
      <c r="X124" s="325">
        <f>X123*(IS!AK25/365*4)</f>
        <v>1332.2630136986302</v>
      </c>
      <c r="Y124" s="325">
        <f>Y123*(IS!AL25/365*4)</f>
        <v>1486.3561643835617</v>
      </c>
      <c r="Z124" s="133"/>
      <c r="AA124" s="325">
        <f>AA123*(IS!AN25/365*4)</f>
        <v>1526.7945205479452</v>
      </c>
      <c r="AB124" s="325">
        <f>AB123*(IS!AO25/365*4)</f>
        <v>1714.1369863013699</v>
      </c>
      <c r="AC124" s="325">
        <f>AC123*(IS!AP25/365*4)</f>
        <v>1634.6301369863013</v>
      </c>
      <c r="AD124" s="325">
        <f>AD123*(IS!AQ25/365*4)</f>
        <v>1413.6986301369864</v>
      </c>
      <c r="AE124" s="133"/>
      <c r="AF124" s="325">
        <f>AF123*(IS!AS25/365*4)</f>
        <v>1496.9999999999998</v>
      </c>
      <c r="AG124" s="325">
        <f>AG123*(IS!AT25/365*4)</f>
        <v>1458.0000000000002</v>
      </c>
      <c r="AH124" s="325">
        <f>AH123*(IS!AU25/365*4)</f>
        <v>1589</v>
      </c>
      <c r="AI124" s="325">
        <f>AI123*(IS!AV25/365*4)</f>
        <v>1720</v>
      </c>
      <c r="AJ124" s="133"/>
      <c r="AK124" s="325">
        <f>AK123*(IS!AX25/365*4)</f>
        <v>1824.0000000000002</v>
      </c>
      <c r="AL124" s="325">
        <f>AL123*(IS!AY25/365*4)</f>
        <v>1602.0000000000002</v>
      </c>
      <c r="AM124" s="325">
        <f>AM123*(IS!AZ25/365*4)</f>
        <v>1518</v>
      </c>
      <c r="AN124" s="325">
        <f>AN123*(IS!BA25/365*4)</f>
        <v>1651.9999999999998</v>
      </c>
      <c r="AO124" s="133"/>
      <c r="AP124" s="325">
        <f>AP123*(IS!BC25/365*4)</f>
        <v>1712</v>
      </c>
      <c r="AQ124" s="325">
        <f>AQ123*(IS!BD25/365*4)</f>
        <v>1542</v>
      </c>
      <c r="AR124" s="325">
        <f>AR123*(IS!BE25/365*4)</f>
        <v>1513.0000000000002</v>
      </c>
      <c r="AS124" s="325">
        <f>AS123*(IS!BF25/365*4)</f>
        <v>1659</v>
      </c>
      <c r="AT124" s="133"/>
      <c r="AU124" s="325">
        <f>AU123*(IS!BH25/365*4)</f>
        <v>1834.9999999999998</v>
      </c>
      <c r="AV124" s="325">
        <f>AV123*(IS!BI25/365*4)</f>
        <v>1694</v>
      </c>
      <c r="AW124" s="325">
        <f>AW123*(IS!BJ25/365*4)</f>
        <v>1708</v>
      </c>
      <c r="AX124" s="325">
        <f>AX123*(IS!BK25/365*4)</f>
        <v>1801</v>
      </c>
      <c r="AY124" s="133"/>
      <c r="AZ124" s="325">
        <f>AZ123*(IS!BM25/365*4)</f>
        <v>1850</v>
      </c>
      <c r="BA124" s="325">
        <f>BA123*(IS!BN25/365*4)</f>
        <v>1776</v>
      </c>
      <c r="BB124" s="325">
        <f ca="1">BB123*(IS!BO25/365*4)</f>
        <v>1774</v>
      </c>
      <c r="BC124" s="325">
        <f>BC123*(IS!BP25/365*4)</f>
        <v>2071.8540392348841</v>
      </c>
      <c r="BD124" s="133"/>
      <c r="BE124" s="325">
        <f>BE123*(IS!BR25/365*4)</f>
        <v>2026.0580508091371</v>
      </c>
      <c r="BF124" s="325">
        <f>BF123*(IS!BS25/365*4)</f>
        <v>1923.6574632223758</v>
      </c>
      <c r="BG124" s="325">
        <f ca="1">BG123*(IS!BT25/365*4)</f>
        <v>1909.3983722506291</v>
      </c>
      <c r="BH124" s="325">
        <f>BH123*(IS!BU25/365*4)</f>
        <v>2233.4553681163516</v>
      </c>
      <c r="BI124" s="133"/>
      <c r="BJ124" s="325">
        <f>BJ123*(IS!BW25/365*4)</f>
        <v>2180.3339752271227</v>
      </c>
      <c r="BK124" s="325">
        <f>BK123*(IS!BX25/365*4)</f>
        <v>2069.8370455132153</v>
      </c>
      <c r="BL124" s="325">
        <f ca="1">BL123*(IS!BY25/365*4)</f>
        <v>2054.9074124588592</v>
      </c>
      <c r="BM124" s="325">
        <f>BM123*(IS!BZ25/365*4)</f>
        <v>2404.480182657634</v>
      </c>
      <c r="BN124" s="133"/>
      <c r="BO124"/>
      <c r="BP124"/>
      <c r="BQ124"/>
    </row>
    <row r="125" spans="1:69" x14ac:dyDescent="0.35">
      <c r="A125" s="133"/>
      <c r="B125" s="133" t="s">
        <v>247</v>
      </c>
      <c r="C125" s="133"/>
      <c r="D125" s="133"/>
      <c r="E125" s="133"/>
      <c r="F125" s="133"/>
      <c r="G125" s="133"/>
      <c r="H125" s="133"/>
      <c r="I125" s="133"/>
      <c r="J125" s="133"/>
      <c r="K125" s="133"/>
      <c r="L125" s="133"/>
      <c r="M125" s="133"/>
      <c r="N125" s="133"/>
      <c r="O125" s="133"/>
      <c r="P125" s="133"/>
      <c r="Q125" s="326">
        <f>365/(IS!AD33/'BS &amp; CFS'!Q24)/4</f>
        <v>78.285679768041248</v>
      </c>
      <c r="R125" s="326">
        <f>365/(IS!AE33/'BS &amp; CFS'!R24)/4</f>
        <v>86.846240179573513</v>
      </c>
      <c r="S125" s="326">
        <f>365/(IS!AF33/'BS &amp; CFS'!S24)/4</f>
        <v>88.333888149134495</v>
      </c>
      <c r="T125" s="326">
        <f>365/(IS!AG33/'BS &amp; CFS'!T24)/4</f>
        <v>102.88193318196562</v>
      </c>
      <c r="U125" s="133"/>
      <c r="V125" s="324">
        <f>365/(IS!AI33/'BS &amp; CFS'!V24)/4</f>
        <v>74.495174038607686</v>
      </c>
      <c r="W125" s="197">
        <v>90</v>
      </c>
      <c r="X125" s="197">
        <v>90</v>
      </c>
      <c r="Y125" s="197">
        <v>105</v>
      </c>
      <c r="Z125" s="133"/>
      <c r="AA125" s="197">
        <v>82</v>
      </c>
      <c r="AB125" s="197">
        <v>83</v>
      </c>
      <c r="AC125" s="197">
        <v>84</v>
      </c>
      <c r="AD125" s="197">
        <v>90</v>
      </c>
      <c r="AE125" s="133"/>
      <c r="AF125" s="324">
        <f>365/(IS!AS33/'BS &amp; CFS'!AF24)/4</f>
        <v>103.78434065934066</v>
      </c>
      <c r="AG125" s="324">
        <f>365/(IS!AT33/'BS &amp; CFS'!AG24)/4</f>
        <v>101.16847826086956</v>
      </c>
      <c r="AH125" s="324">
        <f>365/(IS!AU33/'BS &amp; CFS'!AH24)/4</f>
        <v>118.74549819927972</v>
      </c>
      <c r="AI125" s="324">
        <f>365/(IS!AV33/'BS &amp; CFS'!AI24)/4</f>
        <v>105.04788306451613</v>
      </c>
      <c r="AJ125" s="133"/>
      <c r="AK125" s="324">
        <f>365/(IS!AX33/'BS &amp; CFS'!AK24)/4</f>
        <v>93.769507803121257</v>
      </c>
      <c r="AL125" s="324">
        <f>365/(IS!AY33/'BS &amp; CFS'!AL24)/4</f>
        <v>98.16459627329192</v>
      </c>
      <c r="AM125" s="324">
        <f>365/(IS!AZ33/'BS &amp; CFS'!AM24)/4</f>
        <v>89.476002430133661</v>
      </c>
      <c r="AN125" s="324">
        <f>365/(IS!BA33/'BS &amp; CFS'!AN24)/4</f>
        <v>107.14721254355401</v>
      </c>
      <c r="AO125" s="133"/>
      <c r="AP125" s="324">
        <f>365/(IS!BC33/'BS &amp; CFS'!AP24)/4</f>
        <v>85.21606728538282</v>
      </c>
      <c r="AQ125" s="324">
        <f>365/(IS!BD33/'BS &amp; CFS'!AQ24)/4</f>
        <v>89.816217732884397</v>
      </c>
      <c r="AR125" s="324">
        <f>365/(IS!BE33/'BS &amp; CFS'!AR24)/4</f>
        <v>98.950867052023128</v>
      </c>
      <c r="AS125" s="324">
        <f>365/(IS!BF33/'BS &amp; CFS'!AS24)/4</f>
        <v>109.09444444444443</v>
      </c>
      <c r="AT125" s="133"/>
      <c r="AU125" s="324">
        <f>365/(IS!BH33/'BS &amp; CFS'!AU24)/4</f>
        <v>95.763440860215056</v>
      </c>
      <c r="AV125" s="324">
        <f>365/(IS!BI33/'BS &amp; CFS'!AV24)/4</f>
        <v>94.266528925619838</v>
      </c>
      <c r="AW125" s="324">
        <f>365/(IS!BJ33/'BS &amp; CFS'!AW24)/4</f>
        <v>103.69734202607823</v>
      </c>
      <c r="AX125" s="324">
        <f>365/(IS!BK33/'BS &amp; CFS'!AX24)/4</f>
        <v>123.75378405650858</v>
      </c>
      <c r="AY125" s="133"/>
      <c r="AZ125" s="324">
        <f>365/(IS!BM33/'BS &amp; CFS'!AZ24)/4</f>
        <v>97.475814663951127</v>
      </c>
      <c r="BA125" s="324">
        <f>365/(IS!BN33/'BS &amp; CFS'!BA24)/4</f>
        <v>89.675126903553306</v>
      </c>
      <c r="BB125" s="324">
        <f ca="1">365/(IS!BO33/'BS &amp; CFS'!BB24)/4</f>
        <v>93.852248323063833</v>
      </c>
      <c r="BC125" s="197">
        <f>AX125-5</f>
        <v>118.75378405650858</v>
      </c>
      <c r="BD125" s="133"/>
      <c r="BE125" s="197">
        <f>AZ125</f>
        <v>97.475814663951127</v>
      </c>
      <c r="BF125" s="197">
        <f>BA125</f>
        <v>89.675126903553306</v>
      </c>
      <c r="BG125" s="197">
        <f ca="1">BB125</f>
        <v>93.852248323063833</v>
      </c>
      <c r="BH125" s="197">
        <f>BC125</f>
        <v>118.75378405650858</v>
      </c>
      <c r="BI125" s="133"/>
      <c r="BJ125" s="197">
        <f>BE125</f>
        <v>97.475814663951127</v>
      </c>
      <c r="BK125" s="197">
        <f>BF125</f>
        <v>89.675126903553306</v>
      </c>
      <c r="BL125" s="197">
        <f ca="1">BG125</f>
        <v>93.852248323063833</v>
      </c>
      <c r="BM125" s="197">
        <f>BH125</f>
        <v>118.75378405650858</v>
      </c>
      <c r="BN125" s="133"/>
      <c r="BO125"/>
      <c r="BP125"/>
      <c r="BQ125"/>
    </row>
    <row r="126" spans="1:69" x14ac:dyDescent="0.35">
      <c r="A126" s="133"/>
      <c r="B126" s="133" t="s">
        <v>250</v>
      </c>
      <c r="C126" s="133"/>
      <c r="D126" s="133"/>
      <c r="E126" s="133"/>
      <c r="F126" s="133"/>
      <c r="G126" s="133"/>
      <c r="H126" s="133"/>
      <c r="I126" s="133"/>
      <c r="J126" s="133"/>
      <c r="K126" s="133"/>
      <c r="L126" s="133"/>
      <c r="M126" s="133"/>
      <c r="N126" s="133"/>
      <c r="O126" s="133"/>
      <c r="P126" s="133"/>
      <c r="Q126" s="325">
        <f>Q125*(IS!AD33/365*4)</f>
        <v>532.6</v>
      </c>
      <c r="R126" s="325">
        <f>R125*(IS!AE33/365*4)</f>
        <v>593.6</v>
      </c>
      <c r="S126" s="325">
        <f>S125*(IS!AF33/365*4)</f>
        <v>581.6</v>
      </c>
      <c r="T126" s="325">
        <f>T125*(IS!AG33/365*4)</f>
        <v>695.2</v>
      </c>
      <c r="U126" s="133"/>
      <c r="V126" s="325">
        <f>V125*(IS!AI33/365*4)</f>
        <v>537.1</v>
      </c>
      <c r="W126" s="325">
        <f>W125*(IS!AJ33/365*4)</f>
        <v>640.8986301369863</v>
      </c>
      <c r="X126" s="325">
        <f>X125*(IS!AK33/365*4)</f>
        <v>653.91780821917803</v>
      </c>
      <c r="Y126" s="325">
        <f>Y125*(IS!AL33/365*4)</f>
        <v>818.13698630136992</v>
      </c>
      <c r="Z126" s="133"/>
      <c r="AA126" s="325">
        <f>AA125*(IS!AN33/365*4)</f>
        <v>611.06849315068484</v>
      </c>
      <c r="AB126" s="325">
        <f>AB125*(IS!AO33/365*4)</f>
        <v>642.16986301369866</v>
      </c>
      <c r="AC126" s="325">
        <f>AC125*(IS!AP33/365*4)</f>
        <v>620.44931506849309</v>
      </c>
      <c r="AD126" s="325">
        <f>AD125*(IS!AQ33/365*4)</f>
        <v>788.05479452054783</v>
      </c>
      <c r="AE126" s="133"/>
      <c r="AF126" s="325">
        <f>AF125*(IS!AS33/365*4)</f>
        <v>828</v>
      </c>
      <c r="AG126" s="325">
        <f>AG125*(IS!AT33/365*4)</f>
        <v>816</v>
      </c>
      <c r="AH126" s="325">
        <f>AH125*(IS!AU33/365*4)</f>
        <v>1084.0000000000002</v>
      </c>
      <c r="AI126" s="325">
        <f>AI125*(IS!AV33/365*4)</f>
        <v>1142</v>
      </c>
      <c r="AJ126" s="133"/>
      <c r="AK126" s="325">
        <f>AK125*(IS!AX33/365*4)</f>
        <v>856.00000000000011</v>
      </c>
      <c r="AL126" s="325">
        <f>AL125*(IS!AY33/365*4)</f>
        <v>865.99999999999989</v>
      </c>
      <c r="AM126" s="325">
        <f>AM125*(IS!AZ33/365*4)</f>
        <v>807</v>
      </c>
      <c r="AN126" s="325">
        <f>AN125*(IS!BA33/365*4)</f>
        <v>1011.0000000000001</v>
      </c>
      <c r="AO126" s="133"/>
      <c r="AP126" s="325">
        <f>AP125*(IS!BC33/365*4)</f>
        <v>804.99999999999989</v>
      </c>
      <c r="AQ126" s="325">
        <f>AQ125*(IS!BD33/365*4)</f>
        <v>877</v>
      </c>
      <c r="AR126" s="325">
        <f>AR125*(IS!BE33/365*4)</f>
        <v>938.00000000000011</v>
      </c>
      <c r="AS126" s="325">
        <f>AS125*(IS!BF33/365*4)</f>
        <v>1076</v>
      </c>
      <c r="AT126" s="133"/>
      <c r="AU126" s="325">
        <f>AU125*(IS!BH33/365*4)</f>
        <v>976</v>
      </c>
      <c r="AV126" s="325">
        <f>AV125*(IS!BI33/365*4)</f>
        <v>1000.0000000000001</v>
      </c>
      <c r="AW126" s="325">
        <f>AW125*(IS!BJ33/365*4)</f>
        <v>1133</v>
      </c>
      <c r="AX126" s="325">
        <f>AX125*(IS!BK33/365*4)</f>
        <v>1344</v>
      </c>
      <c r="AY126" s="133"/>
      <c r="AZ126" s="325">
        <f>AZ125*(IS!BM33/365*4)</f>
        <v>1049</v>
      </c>
      <c r="BA126" s="325">
        <f>BA125*(IS!BN33/365*4)</f>
        <v>968.00000000000011</v>
      </c>
      <c r="BB126" s="325">
        <f ca="1">BB125*(IS!BO33/365*4)</f>
        <v>1032.0000000000002</v>
      </c>
      <c r="BC126" s="325">
        <f>BC125*(IS!BP33/365*4)</f>
        <v>1314.7680574552239</v>
      </c>
      <c r="BD126" s="133"/>
      <c r="BE126" s="325">
        <f>BE125*(IS!BR33/365*4)</f>
        <v>1114.9429285739973</v>
      </c>
      <c r="BF126" s="325">
        <f>BF125*(IS!BS33/365*4)</f>
        <v>1014.3601173656109</v>
      </c>
      <c r="BG126" s="325">
        <f ca="1">BG125*(IS!BT33/365*4)</f>
        <v>1101.0705690840059</v>
      </c>
      <c r="BH126" s="325">
        <f>BH125*(IS!BU33/365*4)</f>
        <v>1401.5483335754207</v>
      </c>
      <c r="BI126" s="133"/>
      <c r="BJ126" s="325">
        <f>BJ125*(IS!BW33/365*4)</f>
        <v>1172.6542907506173</v>
      </c>
      <c r="BK126" s="325">
        <f>BK125*(IS!BX33/365*4)</f>
        <v>1066.7900693510235</v>
      </c>
      <c r="BL126" s="325">
        <f ca="1">BL125*(IS!BY33/365*4)</f>
        <v>1160.8981289983667</v>
      </c>
      <c r="BM126" s="325">
        <f>BM125*(IS!BZ33/365*4)</f>
        <v>1479.1318953858329</v>
      </c>
      <c r="BN126" s="133"/>
      <c r="BO126"/>
      <c r="BP126"/>
      <c r="BQ126"/>
    </row>
    <row r="127" spans="1:69" x14ac:dyDescent="0.35">
      <c r="A127" s="133"/>
      <c r="B127" s="133" t="s">
        <v>484</v>
      </c>
      <c r="C127" s="133"/>
      <c r="D127" s="133"/>
      <c r="E127" s="133"/>
      <c r="F127" s="133"/>
      <c r="G127" s="133"/>
      <c r="H127" s="133"/>
      <c r="I127" s="133"/>
      <c r="J127" s="312">
        <f>J30+J28</f>
        <v>818</v>
      </c>
      <c r="K127" s="312">
        <f t="shared" ref="K127:AQ127" si="112">K30+K28</f>
        <v>818</v>
      </c>
      <c r="L127" s="312">
        <f t="shared" si="112"/>
        <v>0</v>
      </c>
      <c r="M127" s="312">
        <f t="shared" si="112"/>
        <v>0</v>
      </c>
      <c r="N127" s="312">
        <f t="shared" si="112"/>
        <v>0</v>
      </c>
      <c r="O127" s="312">
        <f t="shared" si="112"/>
        <v>1023.6</v>
      </c>
      <c r="P127" s="312">
        <f t="shared" si="112"/>
        <v>1023.6</v>
      </c>
      <c r="Q127" s="312">
        <f t="shared" si="112"/>
        <v>1126.5</v>
      </c>
      <c r="R127" s="312">
        <f t="shared" si="112"/>
        <v>986.5</v>
      </c>
      <c r="S127" s="312">
        <f t="shared" si="112"/>
        <v>895.4</v>
      </c>
      <c r="T127" s="312">
        <f t="shared" si="112"/>
        <v>1075.7</v>
      </c>
      <c r="U127" s="312">
        <f t="shared" si="112"/>
        <v>1075.7</v>
      </c>
      <c r="V127" s="312">
        <f t="shared" si="112"/>
        <v>1183.2</v>
      </c>
      <c r="W127" s="312">
        <f t="shared" si="112"/>
        <v>913.70136986301384</v>
      </c>
      <c r="X127" s="312">
        <f t="shared" si="112"/>
        <v>1198.7821917808221</v>
      </c>
      <c r="Y127" s="312">
        <f t="shared" si="112"/>
        <v>808.5630136986299</v>
      </c>
      <c r="Z127" s="312">
        <f t="shared" si="112"/>
        <v>808.5630136986299</v>
      </c>
      <c r="AA127" s="312">
        <f t="shared" si="112"/>
        <v>1454.6315068493154</v>
      </c>
      <c r="AB127" s="312">
        <f t="shared" si="112"/>
        <v>1105</v>
      </c>
      <c r="AC127" s="312">
        <f t="shared" si="112"/>
        <v>1020</v>
      </c>
      <c r="AD127" s="312">
        <f t="shared" si="112"/>
        <v>1187</v>
      </c>
      <c r="AE127" s="312">
        <f t="shared" si="112"/>
        <v>1187</v>
      </c>
      <c r="AF127" s="312">
        <f t="shared" si="112"/>
        <v>1328</v>
      </c>
      <c r="AG127" s="312">
        <f t="shared" si="112"/>
        <v>1235</v>
      </c>
      <c r="AH127" s="312">
        <f t="shared" si="112"/>
        <v>1186</v>
      </c>
      <c r="AI127" s="312">
        <f t="shared" si="112"/>
        <v>1335</v>
      </c>
      <c r="AJ127" s="312">
        <f t="shared" si="112"/>
        <v>1335</v>
      </c>
      <c r="AK127" s="312">
        <f t="shared" si="112"/>
        <v>1611</v>
      </c>
      <c r="AL127" s="312">
        <f t="shared" si="112"/>
        <v>1366</v>
      </c>
      <c r="AM127" s="312">
        <f t="shared" si="112"/>
        <v>1233</v>
      </c>
      <c r="AN127" s="312">
        <f t="shared" si="112"/>
        <v>1333</v>
      </c>
      <c r="AO127" s="312"/>
      <c r="AP127" s="312">
        <f t="shared" si="112"/>
        <v>1648</v>
      </c>
      <c r="AQ127" s="312">
        <f t="shared" si="112"/>
        <v>1452</v>
      </c>
      <c r="AR127" s="312">
        <f t="shared" ref="AR127:AY127" si="113">AR30+AR28</f>
        <v>1291</v>
      </c>
      <c r="AS127" s="312">
        <f t="shared" si="113"/>
        <v>1381</v>
      </c>
      <c r="AT127" s="312">
        <f t="shared" si="113"/>
        <v>1381</v>
      </c>
      <c r="AU127" s="312">
        <f t="shared" si="113"/>
        <v>1673</v>
      </c>
      <c r="AV127" s="312">
        <f t="shared" si="113"/>
        <v>1482</v>
      </c>
      <c r="AW127" s="312">
        <f t="shared" si="113"/>
        <v>1359</v>
      </c>
      <c r="AX127" s="312">
        <f t="shared" si="113"/>
        <v>1511</v>
      </c>
      <c r="AY127" s="312">
        <f t="shared" si="113"/>
        <v>1511</v>
      </c>
      <c r="AZ127" s="312">
        <f>AZ30+AZ28</f>
        <v>1822</v>
      </c>
      <c r="BA127" s="312">
        <f>BA30+BA28</f>
        <v>1635</v>
      </c>
      <c r="BB127" s="312">
        <f ca="1">BB30+BB28</f>
        <v>1427</v>
      </c>
      <c r="BC127" s="312">
        <f>BC128*IS!BP25</f>
        <v>1596.3382537286116</v>
      </c>
      <c r="BD127" s="312">
        <f>BD30+BD28</f>
        <v>1596.3382537286116</v>
      </c>
      <c r="BE127" s="312">
        <f>BE128*IS!BR25</f>
        <v>1995.3933884185124</v>
      </c>
      <c r="BF127" s="312">
        <f>BF128*IS!BS25</f>
        <v>1770.9346578651939</v>
      </c>
      <c r="BG127" s="312">
        <f ca="1">BG128*IS!BT25</f>
        <v>1535.9140232252807</v>
      </c>
      <c r="BH127" s="312">
        <f>BH128*IS!BU25</f>
        <v>1720.8501055587387</v>
      </c>
      <c r="BI127" s="312">
        <f>BI30+BI28</f>
        <v>1720.8501055587387</v>
      </c>
      <c r="BJ127" s="312">
        <f>BJ128*IS!BW25</f>
        <v>2147.3343258723335</v>
      </c>
      <c r="BK127" s="312">
        <f>BK128*IS!BX25</f>
        <v>1905.5087665619974</v>
      </c>
      <c r="BL127" s="312">
        <f ca="1">BL128*IS!BY25</f>
        <v>1652.961035839229</v>
      </c>
      <c r="BM127" s="312">
        <f>BM128*IS!BZ25</f>
        <v>1852.6226380919245</v>
      </c>
      <c r="BN127" s="312">
        <f>BN30+BN28</f>
        <v>1852.6226380919245</v>
      </c>
      <c r="BO127"/>
      <c r="BP127"/>
      <c r="BQ127"/>
    </row>
    <row r="128" spans="1:69" x14ac:dyDescent="0.35">
      <c r="A128" s="133"/>
      <c r="B128" s="477" t="s">
        <v>485</v>
      </c>
      <c r="C128" s="133"/>
      <c r="D128" s="133"/>
      <c r="E128" s="133"/>
      <c r="F128" s="133"/>
      <c r="G128" s="133"/>
      <c r="H128" s="133"/>
      <c r="I128" s="133"/>
      <c r="J128" s="618">
        <f>J127/IS!W25</f>
        <v>0.86827300711177169</v>
      </c>
      <c r="K128" s="618">
        <f>K127/IS!X25</f>
        <v>0.22695743854392098</v>
      </c>
      <c r="L128" s="618">
        <f>L127/IS!Y25</f>
        <v>0</v>
      </c>
      <c r="M128" s="618">
        <f>M127/IS!Z25</f>
        <v>0</v>
      </c>
      <c r="N128" s="618">
        <f>N127/IS!AA25</f>
        <v>0</v>
      </c>
      <c r="O128" s="618">
        <f>O127/IS!AB25</f>
        <v>0.87824967824967826</v>
      </c>
      <c r="P128" s="618">
        <f>P127/IS!AC25</f>
        <v>0.2434766061701672</v>
      </c>
      <c r="Q128" s="618">
        <f>Q127/IS!AD25</f>
        <v>0.99982249045886218</v>
      </c>
      <c r="R128" s="618">
        <f>R127/IS!AE25</f>
        <v>0.83950302101948782</v>
      </c>
      <c r="S128" s="618">
        <f>S127/IS!AF25</f>
        <v>0.82846039970392304</v>
      </c>
      <c r="T128" s="618">
        <f>T127/IS!AG25</f>
        <v>1.0147155928685974</v>
      </c>
      <c r="U128" s="618">
        <f>U127/IS!AH25</f>
        <v>0.24212753505751008</v>
      </c>
      <c r="V128" s="618">
        <f>V127/IS!AI25</f>
        <v>1.03598634095088</v>
      </c>
      <c r="W128" s="618">
        <f>W127/IS!AJ25</f>
        <v>0.75288511030241734</v>
      </c>
      <c r="X128" s="618">
        <f>X127/IS!AK25</f>
        <v>0.96637016669151321</v>
      </c>
      <c r="Y128" s="618">
        <f>Y127/IS!AL25</f>
        <v>0.65576886755768848</v>
      </c>
      <c r="Z128" s="618">
        <f>Z127/IS!AM25</f>
        <v>0.16743208268421891</v>
      </c>
      <c r="AA128" s="618">
        <f>AA127/IS!AN25</f>
        <v>1.1276213231390042</v>
      </c>
      <c r="AB128" s="618">
        <f>AB127/IS!AO25</f>
        <v>0.77003484320557491</v>
      </c>
      <c r="AC128" s="618">
        <f>AC127/IS!AP25</f>
        <v>0.75221238938053092</v>
      </c>
      <c r="AD128" s="618">
        <f>AD127/IS!AQ25</f>
        <v>0.92015503875968996</v>
      </c>
      <c r="AE128" s="618">
        <f>AE127/IS!AR25</f>
        <v>0.22100167566561163</v>
      </c>
      <c r="AF128" s="618">
        <f>AF127/IS!AS25</f>
        <v>0.83</v>
      </c>
      <c r="AG128" s="618">
        <f>AG127/IS!AT25</f>
        <v>0.79523502897617515</v>
      </c>
      <c r="AH128" s="618">
        <f>AH127/IS!AU25</f>
        <v>0.7771952817824378</v>
      </c>
      <c r="AI128" s="618">
        <f>AI127/IS!AV25</f>
        <v>0.86744639376218324</v>
      </c>
      <c r="AJ128" s="618">
        <f>AJ127/IS!AW25</f>
        <v>0.21469926021228691</v>
      </c>
      <c r="AK128" s="618">
        <f>AK127/IS!AX25</f>
        <v>1.0584756898817345</v>
      </c>
      <c r="AL128" s="618">
        <f>AL127/IS!AY25</f>
        <v>0.98913830557566984</v>
      </c>
      <c r="AM128" s="618">
        <f>AM127/IS!AZ25</f>
        <v>0.96705882352941175</v>
      </c>
      <c r="AN128" s="618">
        <f>AN127/IS!BA25</f>
        <v>1.0333333333333334</v>
      </c>
      <c r="AO128" s="618"/>
      <c r="AP128" s="618">
        <f>AP127/IS!BC25</f>
        <v>1.1210884353741497</v>
      </c>
      <c r="AQ128" s="618">
        <f>AQ127/IS!BD25</f>
        <v>0.9718875502008032</v>
      </c>
      <c r="AR128" s="618">
        <f>AR127/IS!BE25</f>
        <v>0.87703804347826086</v>
      </c>
      <c r="AS128" s="618">
        <f>AS127/IS!BF25</f>
        <v>0.93310810810810807</v>
      </c>
      <c r="AT128" s="618">
        <f>AT127/IS!BG25</f>
        <v>0.23343475321162949</v>
      </c>
      <c r="AU128" s="618">
        <f>AU127/IS!BH25</f>
        <v>0.93673012318029114</v>
      </c>
      <c r="AV128" s="618">
        <f>AV127/IS!BI25</f>
        <v>0.81563015960374241</v>
      </c>
      <c r="AW128" s="618">
        <f>AW127/IS!BJ25</f>
        <v>0.74958632101489242</v>
      </c>
      <c r="AX128" s="618">
        <f>AX127/IS!BK25</f>
        <v>0.9037081339712919</v>
      </c>
      <c r="AY128" s="618">
        <f>AY127/IS!BL25</f>
        <v>0.21317720090293454</v>
      </c>
      <c r="AZ128" s="618">
        <f>AZ127/IS!BM25</f>
        <v>0.94698544698544695</v>
      </c>
      <c r="BA128" s="618">
        <f>BA127/IS!BN25</f>
        <v>0.86143308746048475</v>
      </c>
      <c r="BB128" s="618">
        <f ca="1">BB127/IS!BO25</f>
        <v>0.71192309035486401</v>
      </c>
      <c r="BC128" s="619">
        <f>AX128-4%</f>
        <v>0.86370813397129187</v>
      </c>
      <c r="BD128" s="618">
        <f>BD127/IS!BQ25</f>
        <v>0.20800095057821796</v>
      </c>
      <c r="BE128" s="619">
        <f>AZ128</f>
        <v>0.94698544698544695</v>
      </c>
      <c r="BF128" s="619">
        <f>BA128</f>
        <v>0.86143308746048475</v>
      </c>
      <c r="BG128" s="619">
        <f ca="1">BB128</f>
        <v>0.71192309035486401</v>
      </c>
      <c r="BH128" s="619">
        <f>BC128</f>
        <v>0.86370813397129187</v>
      </c>
      <c r="BI128" s="618">
        <f>BI127/IS!BV25</f>
        <v>0.20701422368849767</v>
      </c>
      <c r="BJ128" s="619">
        <f>BE128</f>
        <v>0.94698544698544695</v>
      </c>
      <c r="BK128" s="619">
        <f>BF128</f>
        <v>0.86143308746048475</v>
      </c>
      <c r="BL128" s="619">
        <f ca="1">BG128</f>
        <v>0.71192309035486401</v>
      </c>
      <c r="BM128" s="619">
        <f>BH128</f>
        <v>0.86370813397129187</v>
      </c>
      <c r="BN128" s="618">
        <f>BN127/IS!CA25</f>
        <v>0.20708120583336578</v>
      </c>
      <c r="BO128"/>
      <c r="BP128"/>
      <c r="BQ128"/>
    </row>
    <row r="129" spans="1:69" x14ac:dyDescent="0.35">
      <c r="A129" s="133"/>
      <c r="B129" s="133" t="s">
        <v>487</v>
      </c>
      <c r="C129" s="133"/>
      <c r="D129" s="133"/>
      <c r="E129" s="133"/>
      <c r="F129" s="133"/>
      <c r="G129" s="133"/>
      <c r="H129" s="133"/>
      <c r="I129" s="133"/>
      <c r="J129" s="618"/>
      <c r="K129" s="312">
        <f>SUM(K50:K56)</f>
        <v>949.9</v>
      </c>
      <c r="L129" s="618"/>
      <c r="M129" s="618"/>
      <c r="N129" s="618"/>
      <c r="O129" s="618"/>
      <c r="P129" s="312">
        <f>SUM(P50:P56)</f>
        <v>-451.79999999999995</v>
      </c>
      <c r="Q129" s="618"/>
      <c r="R129" s="618"/>
      <c r="S129" s="618"/>
      <c r="T129" s="618"/>
      <c r="U129" s="312">
        <f>SUM(U50:U56)</f>
        <v>-81.600000000000023</v>
      </c>
      <c r="V129" s="618"/>
      <c r="W129" s="618"/>
      <c r="X129" s="618"/>
      <c r="Y129" s="618"/>
      <c r="Z129" s="312">
        <f>SUM(Z50:Z56)</f>
        <v>-91.699999999999534</v>
      </c>
      <c r="AA129" s="312">
        <f>SUM(AA50:AA56)</f>
        <v>-285</v>
      </c>
      <c r="AB129" s="312">
        <f t="shared" ref="AB129:BD129" si="114">SUM(AB50:AB56)</f>
        <v>41</v>
      </c>
      <c r="AC129" s="312">
        <f t="shared" si="114"/>
        <v>-3</v>
      </c>
      <c r="AD129" s="312">
        <f t="shared" si="114"/>
        <v>286</v>
      </c>
      <c r="AE129" s="312">
        <f t="shared" si="114"/>
        <v>39</v>
      </c>
      <c r="AF129" s="312">
        <f t="shared" si="114"/>
        <v>-208</v>
      </c>
      <c r="AG129" s="312">
        <f t="shared" si="114"/>
        <v>-99</v>
      </c>
      <c r="AH129" s="312">
        <f t="shared" si="114"/>
        <v>-2</v>
      </c>
      <c r="AI129" s="312">
        <f t="shared" si="114"/>
        <v>-78</v>
      </c>
      <c r="AJ129" s="312">
        <f t="shared" si="114"/>
        <v>-387</v>
      </c>
      <c r="AK129" s="312">
        <f t="shared" si="114"/>
        <v>-182</v>
      </c>
      <c r="AL129" s="312">
        <f t="shared" si="114"/>
        <v>-210</v>
      </c>
      <c r="AM129" s="312">
        <f t="shared" si="114"/>
        <v>-89</v>
      </c>
      <c r="AN129" s="312">
        <f t="shared" si="114"/>
        <v>13</v>
      </c>
      <c r="AO129" s="312">
        <f t="shared" si="114"/>
        <v>-468</v>
      </c>
      <c r="AP129" s="312">
        <f t="shared" si="114"/>
        <v>-28</v>
      </c>
      <c r="AQ129" s="312">
        <f t="shared" si="114"/>
        <v>63</v>
      </c>
      <c r="AR129" s="312">
        <f t="shared" si="114"/>
        <v>-50</v>
      </c>
      <c r="AS129" s="312">
        <f>SUM(AS50:AS56)</f>
        <v>-23</v>
      </c>
      <c r="AT129" s="312">
        <f t="shared" si="114"/>
        <v>-38</v>
      </c>
      <c r="AU129" s="312">
        <f>SUM(AU50:AU56)</f>
        <v>16</v>
      </c>
      <c r="AV129" s="312">
        <f>SUM(AV50:AV56)</f>
        <v>-39</v>
      </c>
      <c r="AW129" s="312">
        <f t="shared" si="114"/>
        <v>58</v>
      </c>
      <c r="AX129" s="312">
        <f>SUM(AX50:AX56)</f>
        <v>115</v>
      </c>
      <c r="AY129" s="312">
        <f t="shared" si="114"/>
        <v>150</v>
      </c>
      <c r="AZ129" s="312">
        <f>SUM(AZ50:AZ56)</f>
        <v>-63</v>
      </c>
      <c r="BA129" s="312">
        <f t="shared" si="114"/>
        <v>-215</v>
      </c>
      <c r="BB129" s="312">
        <f t="shared" ref="BB129" ca="1" si="115">SUM(BB50:BB56)</f>
        <v>-134.99999999999977</v>
      </c>
      <c r="BC129" s="312">
        <f t="shared" ca="1" si="114"/>
        <v>154.25227194895115</v>
      </c>
      <c r="BD129" s="312">
        <f t="shared" ca="1" si="114"/>
        <v>-258.74772805104863</v>
      </c>
      <c r="BE129" s="312">
        <f t="shared" ref="BE129:BN129" si="116">SUM(BE50:BE56)</f>
        <v>245.0259942344212</v>
      </c>
      <c r="BF129" s="312">
        <f t="shared" si="116"/>
        <v>-222.64095417494354</v>
      </c>
      <c r="BG129" s="312">
        <f t="shared" ca="1" si="116"/>
        <v>-134.05109194977149</v>
      </c>
      <c r="BH129" s="312">
        <f t="shared" ca="1" si="116"/>
        <v>161.35685095915028</v>
      </c>
      <c r="BI129" s="312">
        <f t="shared" ca="1" si="116"/>
        <v>49.69079906885645</v>
      </c>
      <c r="BJ129" s="312">
        <f t="shared" si="116"/>
        <v>250.71157037802027</v>
      </c>
      <c r="BK129" s="312">
        <f t="shared" si="116"/>
        <v>-237.19285099602257</v>
      </c>
      <c r="BL129" s="312">
        <f t="shared" ca="1" si="116"/>
        <v>-143.51003802106902</v>
      </c>
      <c r="BM129" s="312">
        <f t="shared" ca="1" si="116"/>
        <v>168.32259844138684</v>
      </c>
      <c r="BN129" s="312">
        <f t="shared" ca="1" si="116"/>
        <v>38.331279802315521</v>
      </c>
      <c r="BO129"/>
      <c r="BP129"/>
      <c r="BQ129"/>
    </row>
    <row r="130" spans="1:69" x14ac:dyDescent="0.35">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c r="AU130" s="133"/>
      <c r="AV130" s="133"/>
      <c r="AW130" s="133"/>
      <c r="AX130" s="133"/>
      <c r="AY130" s="133"/>
      <c r="AZ130" s="581"/>
      <c r="BA130" s="133"/>
      <c r="BB130" s="133"/>
      <c r="BC130" s="133"/>
      <c r="BD130" s="133"/>
      <c r="BE130" s="133"/>
      <c r="BF130" s="133"/>
      <c r="BG130" s="133"/>
      <c r="BH130" s="133"/>
      <c r="BI130" s="133"/>
      <c r="BJ130" s="133"/>
      <c r="BK130" s="133"/>
      <c r="BL130" s="133"/>
      <c r="BM130" s="133"/>
      <c r="BN130" s="133"/>
      <c r="BO130"/>
      <c r="BP130"/>
      <c r="BQ130"/>
    </row>
    <row r="131" spans="1:69" x14ac:dyDescent="0.35">
      <c r="A131" s="24"/>
      <c r="B131" s="218" t="s">
        <v>232</v>
      </c>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669"/>
      <c r="BA131" s="24"/>
      <c r="BB131" s="24"/>
      <c r="BC131" s="24"/>
      <c r="BD131" s="24"/>
      <c r="BE131" s="24"/>
      <c r="BF131" s="24"/>
      <c r="BG131" s="24"/>
      <c r="BH131" s="24"/>
      <c r="BI131" s="24"/>
      <c r="BJ131" s="24"/>
      <c r="BK131" s="24"/>
      <c r="BL131" s="24"/>
      <c r="BM131" s="24"/>
      <c r="BN131" s="24"/>
      <c r="BO131"/>
      <c r="BP131"/>
      <c r="BQ131"/>
    </row>
    <row r="132" spans="1:69" x14ac:dyDescent="0.35">
      <c r="B132" s="133" t="s">
        <v>237</v>
      </c>
      <c r="V132" s="206">
        <f>T96</f>
        <v>5676</v>
      </c>
      <c r="W132" s="206">
        <f>V135</f>
        <v>5547.4000000000005</v>
      </c>
      <c r="X132" s="206">
        <f>W135</f>
        <v>5547.4000000000005</v>
      </c>
      <c r="Y132" s="206">
        <f>X135</f>
        <v>5547.4000000000005</v>
      </c>
      <c r="AA132" s="206">
        <f>Y135</f>
        <v>5547.4000000000005</v>
      </c>
      <c r="AB132" s="206">
        <f>Z135</f>
        <v>0</v>
      </c>
      <c r="AC132" s="206">
        <f>AA135</f>
        <v>6731.4000000000005</v>
      </c>
      <c r="AD132" s="206">
        <f>AC135</f>
        <v>6727.4000000000005</v>
      </c>
      <c r="AF132" s="206">
        <f>AD135</f>
        <v>6727.4000000000005</v>
      </c>
      <c r="AG132" s="206">
        <f>AF135</f>
        <v>6727.4000000000005</v>
      </c>
      <c r="AH132" s="206">
        <f>AG135</f>
        <v>6727.4000000000005</v>
      </c>
      <c r="AI132" s="206">
        <f>AH135</f>
        <v>7905.4000000000005</v>
      </c>
      <c r="AK132" s="206">
        <f>AI135</f>
        <v>7899.4000000000015</v>
      </c>
      <c r="AL132" s="206">
        <f>AK135</f>
        <v>7786</v>
      </c>
      <c r="AM132" s="206">
        <f>AL135</f>
        <v>7657</v>
      </c>
      <c r="AN132" s="206">
        <f>AM135</f>
        <v>7476</v>
      </c>
      <c r="AP132" s="206">
        <f>AN135</f>
        <v>7389</v>
      </c>
      <c r="AQ132" s="206">
        <f>AP135</f>
        <v>7462</v>
      </c>
      <c r="AR132" s="206">
        <f>AQ135</f>
        <v>7223</v>
      </c>
      <c r="AS132" s="206">
        <f>AR135</f>
        <v>6851</v>
      </c>
      <c r="AU132" s="206">
        <f>AS135</f>
        <v>7001</v>
      </c>
      <c r="AV132" s="206">
        <f>AU135</f>
        <v>6944</v>
      </c>
      <c r="AW132" s="206">
        <f>AV135</f>
        <v>6941</v>
      </c>
      <c r="AX132" s="206">
        <f>AW135</f>
        <v>7569</v>
      </c>
      <c r="AZ132" s="206">
        <f>AX135</f>
        <v>7428</v>
      </c>
      <c r="BA132" s="206">
        <f>AZ135</f>
        <v>6823</v>
      </c>
      <c r="BB132" s="206">
        <f>BA135</f>
        <v>6967</v>
      </c>
      <c r="BC132" s="206">
        <f ca="1">BB135</f>
        <v>6983</v>
      </c>
      <c r="BE132" s="206">
        <f ca="1">BC135</f>
        <v>6983</v>
      </c>
      <c r="BF132" s="206">
        <f ca="1">BE135</f>
        <v>6983</v>
      </c>
      <c r="BG132" s="206">
        <f ca="1">BF135</f>
        <v>6983</v>
      </c>
      <c r="BH132" s="206">
        <f ca="1">BG135</f>
        <v>6983</v>
      </c>
      <c r="BJ132" s="206">
        <f ca="1">BH135</f>
        <v>6983</v>
      </c>
      <c r="BK132" s="206">
        <f ca="1">BJ135</f>
        <v>6983</v>
      </c>
      <c r="BL132" s="206">
        <f ca="1">BK135</f>
        <v>6983</v>
      </c>
      <c r="BM132" s="206">
        <f ca="1">BL135</f>
        <v>6983</v>
      </c>
      <c r="BO132"/>
      <c r="BP132"/>
      <c r="BQ132"/>
    </row>
    <row r="133" spans="1:69" x14ac:dyDescent="0.35">
      <c r="B133" s="316" t="s">
        <v>240</v>
      </c>
      <c r="V133" s="206"/>
      <c r="W133" s="206">
        <f t="shared" ref="W133:Y134" si="117">W75+W77</f>
        <v>0</v>
      </c>
      <c r="X133" s="206">
        <f t="shared" si="117"/>
        <v>0</v>
      </c>
      <c r="Y133" s="206">
        <f t="shared" si="117"/>
        <v>0</v>
      </c>
      <c r="AA133" s="206">
        <f t="shared" ref="AA133:AD134" si="118">AA75+AA77</f>
        <v>1489</v>
      </c>
      <c r="AB133" s="206">
        <f t="shared" si="118"/>
        <v>295</v>
      </c>
      <c r="AC133" s="206">
        <f t="shared" si="118"/>
        <v>496</v>
      </c>
      <c r="AD133" s="206">
        <f t="shared" si="118"/>
        <v>0</v>
      </c>
      <c r="AF133" s="206">
        <f t="shared" ref="AF133:AI134" si="119">AF75+AF77</f>
        <v>0</v>
      </c>
      <c r="AG133" s="206">
        <f t="shared" si="119"/>
        <v>0</v>
      </c>
      <c r="AH133" s="206">
        <f t="shared" si="119"/>
        <v>1178</v>
      </c>
      <c r="AI133" s="206">
        <f t="shared" si="119"/>
        <v>494</v>
      </c>
      <c r="AK133" s="206">
        <f t="shared" ref="AK133:AN134" si="120">AK75+AK77</f>
        <v>491</v>
      </c>
      <c r="AL133" s="206">
        <f t="shared" si="120"/>
        <v>0</v>
      </c>
      <c r="AM133" s="206">
        <f t="shared" si="120"/>
        <v>497</v>
      </c>
      <c r="AN133" s="206">
        <f t="shared" si="120"/>
        <v>0</v>
      </c>
      <c r="AP133" s="206">
        <f>AP75+AP77</f>
        <v>0</v>
      </c>
      <c r="AQ133" s="206">
        <f>AQ75+AQ77</f>
        <v>0</v>
      </c>
      <c r="AR133" s="206">
        <f>AR75+AR77</f>
        <v>0</v>
      </c>
      <c r="AS133" s="206">
        <f>AS75+AS77</f>
        <v>0</v>
      </c>
      <c r="AU133" s="206">
        <f>AU75+AU77</f>
        <v>0</v>
      </c>
      <c r="AV133" s="206">
        <f>AV75+AV77</f>
        <v>0</v>
      </c>
      <c r="AW133" s="206">
        <f>AW75+AW77</f>
        <v>496</v>
      </c>
      <c r="AX133" s="206">
        <f>AX75+AX77</f>
        <v>0</v>
      </c>
      <c r="AZ133" s="206">
        <f>AZ75+AZ77</f>
        <v>0</v>
      </c>
      <c r="BA133" s="206">
        <f>BA75+BA77</f>
        <v>0</v>
      </c>
      <c r="BB133" s="206">
        <f>BB75+BB77</f>
        <v>0</v>
      </c>
      <c r="BC133" s="206">
        <f>BC75+BC77</f>
        <v>0</v>
      </c>
      <c r="BE133" s="206">
        <f t="shared" ref="BE133:BH134" si="121">BE75+BE77</f>
        <v>0</v>
      </c>
      <c r="BF133" s="206">
        <f t="shared" si="121"/>
        <v>0</v>
      </c>
      <c r="BG133" s="206">
        <f t="shared" si="121"/>
        <v>0</v>
      </c>
      <c r="BH133" s="206">
        <f t="shared" si="121"/>
        <v>0</v>
      </c>
      <c r="BJ133" s="206">
        <f t="shared" ref="BJ133:BM134" si="122">BJ75+BJ77</f>
        <v>0</v>
      </c>
      <c r="BK133" s="206">
        <f t="shared" si="122"/>
        <v>0</v>
      </c>
      <c r="BL133" s="206">
        <f t="shared" si="122"/>
        <v>0</v>
      </c>
      <c r="BM133" s="206">
        <f t="shared" si="122"/>
        <v>0</v>
      </c>
      <c r="BO133"/>
      <c r="BP133"/>
      <c r="BQ133"/>
    </row>
    <row r="134" spans="1:69" x14ac:dyDescent="0.35">
      <c r="B134" s="316" t="s">
        <v>241</v>
      </c>
      <c r="V134" s="206"/>
      <c r="W134" s="206">
        <f t="shared" si="117"/>
        <v>0</v>
      </c>
      <c r="X134" s="206">
        <f t="shared" si="117"/>
        <v>0</v>
      </c>
      <c r="Y134" s="206">
        <f t="shared" si="117"/>
        <v>0</v>
      </c>
      <c r="AA134" s="206">
        <f t="shared" si="118"/>
        <v>-305</v>
      </c>
      <c r="AB134" s="206">
        <f t="shared" si="118"/>
        <v>-787</v>
      </c>
      <c r="AC134" s="206">
        <f t="shared" si="118"/>
        <v>-500</v>
      </c>
      <c r="AD134" s="206">
        <f t="shared" si="118"/>
        <v>0</v>
      </c>
      <c r="AF134" s="206">
        <f t="shared" si="119"/>
        <v>0</v>
      </c>
      <c r="AG134" s="206">
        <f t="shared" si="119"/>
        <v>0</v>
      </c>
      <c r="AH134" s="206">
        <f t="shared" si="119"/>
        <v>0</v>
      </c>
      <c r="AI134" s="206">
        <f t="shared" si="119"/>
        <v>-500</v>
      </c>
      <c r="AK134" s="206">
        <f t="shared" si="120"/>
        <v>0</v>
      </c>
      <c r="AL134" s="206">
        <f t="shared" si="120"/>
        <v>0</v>
      </c>
      <c r="AM134" s="206">
        <f t="shared" si="120"/>
        <v>-500</v>
      </c>
      <c r="AN134" s="206">
        <f t="shared" si="120"/>
        <v>-126</v>
      </c>
      <c r="AP134" s="206">
        <f>AP76+AP78</f>
        <v>0</v>
      </c>
      <c r="AQ134" s="206">
        <f>AQ135-AQ132</f>
        <v>-239</v>
      </c>
      <c r="AR134" s="206">
        <f>AR135-AR132</f>
        <v>-372</v>
      </c>
      <c r="AS134" s="206">
        <f>AS135-AS132</f>
        <v>150</v>
      </c>
      <c r="AU134" s="206">
        <f>AU135-AU132</f>
        <v>-57</v>
      </c>
      <c r="AV134" s="206">
        <f>AV135-AV132</f>
        <v>-3</v>
      </c>
      <c r="AW134" s="206">
        <f>AW135-AW132</f>
        <v>628</v>
      </c>
      <c r="AX134" s="206">
        <f>AX135-AX132</f>
        <v>-141</v>
      </c>
      <c r="AZ134" s="206">
        <f>AZ135-AZ132</f>
        <v>-605</v>
      </c>
      <c r="BA134" s="206">
        <f>BA135-BA132</f>
        <v>144</v>
      </c>
      <c r="BB134" s="206">
        <f ca="1">BB135-BB132</f>
        <v>16</v>
      </c>
      <c r="BC134" s="206">
        <f>BC76+BC78</f>
        <v>0</v>
      </c>
      <c r="BE134" s="206">
        <f t="shared" si="121"/>
        <v>0</v>
      </c>
      <c r="BF134" s="206">
        <f t="shared" si="121"/>
        <v>0</v>
      </c>
      <c r="BG134" s="206">
        <f t="shared" si="121"/>
        <v>0</v>
      </c>
      <c r="BH134" s="206">
        <f t="shared" si="121"/>
        <v>0</v>
      </c>
      <c r="BJ134" s="206">
        <f t="shared" si="122"/>
        <v>0</v>
      </c>
      <c r="BK134" s="206">
        <f t="shared" si="122"/>
        <v>0</v>
      </c>
      <c r="BL134" s="206">
        <f t="shared" si="122"/>
        <v>0</v>
      </c>
      <c r="BM134" s="206">
        <f t="shared" si="122"/>
        <v>0</v>
      </c>
      <c r="BO134"/>
      <c r="BP134"/>
      <c r="BQ134"/>
    </row>
    <row r="135" spans="1:69" x14ac:dyDescent="0.35">
      <c r="A135" s="24"/>
      <c r="B135" s="132" t="s">
        <v>239</v>
      </c>
      <c r="C135" s="24"/>
      <c r="D135" s="24"/>
      <c r="E135" s="24"/>
      <c r="F135" s="24"/>
      <c r="G135" s="24"/>
      <c r="H135" s="24"/>
      <c r="I135" s="24"/>
      <c r="J135" s="24"/>
      <c r="K135" s="24"/>
      <c r="L135" s="24"/>
      <c r="M135" s="24"/>
      <c r="N135" s="24"/>
      <c r="O135" s="24"/>
      <c r="P135" s="24"/>
      <c r="Q135" s="24"/>
      <c r="R135" s="24"/>
      <c r="S135" s="24"/>
      <c r="T135" s="161"/>
      <c r="U135" s="24"/>
      <c r="V135" s="319">
        <f>V96</f>
        <v>5547.4000000000005</v>
      </c>
      <c r="W135" s="319">
        <f>SUM(W132:W134)</f>
        <v>5547.4000000000005</v>
      </c>
      <c r="X135" s="319">
        <f>SUM(X132:X134)</f>
        <v>5547.4000000000005</v>
      </c>
      <c r="Y135" s="319">
        <f>SUM(Y132:Y134)</f>
        <v>5547.4000000000005</v>
      </c>
      <c r="Z135" s="24"/>
      <c r="AA135" s="319">
        <f>SUM(AA132:AA134)</f>
        <v>6731.4000000000005</v>
      </c>
      <c r="AB135" s="319">
        <f>SUM(AB132:AB134)</f>
        <v>-492</v>
      </c>
      <c r="AC135" s="319">
        <f>SUM(AC132:AC134)</f>
        <v>6727.4000000000005</v>
      </c>
      <c r="AD135" s="319">
        <f>SUM(AD132:AD134)</f>
        <v>6727.4000000000005</v>
      </c>
      <c r="AE135" s="24"/>
      <c r="AF135" s="319">
        <f>SUM(AF132:AF134)</f>
        <v>6727.4000000000005</v>
      </c>
      <c r="AG135" s="319">
        <f>SUM(AG132:AG134)</f>
        <v>6727.4000000000005</v>
      </c>
      <c r="AH135" s="319">
        <f>SUM(AH132:AH134)</f>
        <v>7905.4000000000005</v>
      </c>
      <c r="AI135" s="319">
        <f>SUM(AI132:AI134)</f>
        <v>7899.4000000000015</v>
      </c>
      <c r="AJ135" s="24"/>
      <c r="AK135" s="319">
        <f>AK26+AK27+AK31</f>
        <v>7786</v>
      </c>
      <c r="AL135" s="319">
        <f>AL26+AL27+AL31</f>
        <v>7657</v>
      </c>
      <c r="AM135" s="319">
        <f>AM26+AM27+AM31</f>
        <v>7476</v>
      </c>
      <c r="AN135" s="319">
        <f>AN26+AN27+AN31</f>
        <v>7389</v>
      </c>
      <c r="AO135" s="24"/>
      <c r="AP135" s="319">
        <f>AP26+AP27+AP31</f>
        <v>7462</v>
      </c>
      <c r="AQ135" s="319">
        <f>AQ26+AQ27+AQ31</f>
        <v>7223</v>
      </c>
      <c r="AR135" s="319">
        <f>AR26+AR27+AR31</f>
        <v>6851</v>
      </c>
      <c r="AS135" s="319">
        <f>AS26+AS27+AS31</f>
        <v>7001</v>
      </c>
      <c r="AT135" s="24"/>
      <c r="AU135" s="319">
        <f>AU26+AU27+AU31</f>
        <v>6944</v>
      </c>
      <c r="AV135" s="319">
        <f>AV26+AV27+AV31</f>
        <v>6941</v>
      </c>
      <c r="AW135" s="319">
        <f>AW26+AW27+AW31</f>
        <v>7569</v>
      </c>
      <c r="AX135" s="319">
        <f>AX26+AX27+AX31</f>
        <v>7428</v>
      </c>
      <c r="AY135" s="24"/>
      <c r="AZ135" s="319">
        <f>AZ26+AZ27+AZ31</f>
        <v>6823</v>
      </c>
      <c r="BA135" s="319">
        <f>BA26+BA27+BA31</f>
        <v>6967</v>
      </c>
      <c r="BB135" s="319">
        <f ca="1">BB26+BB27+BB31</f>
        <v>6983</v>
      </c>
      <c r="BC135" s="319">
        <f ca="1">SUM(BC132:BC134)</f>
        <v>6983</v>
      </c>
      <c r="BD135" s="24"/>
      <c r="BE135" s="319">
        <f ca="1">SUM(BE132:BE134)</f>
        <v>6983</v>
      </c>
      <c r="BF135" s="319">
        <f ca="1">SUM(BF132:BF134)</f>
        <v>6983</v>
      </c>
      <c r="BG135" s="319">
        <f ca="1">SUM(BG132:BG134)</f>
        <v>6983</v>
      </c>
      <c r="BH135" s="319">
        <f ca="1">SUM(BH132:BH134)</f>
        <v>6983</v>
      </c>
      <c r="BI135" s="24"/>
      <c r="BJ135" s="319">
        <f ca="1">SUM(BJ132:BJ134)</f>
        <v>6983</v>
      </c>
      <c r="BK135" s="319">
        <f ca="1">SUM(BK132:BK134)</f>
        <v>6983</v>
      </c>
      <c r="BL135" s="319">
        <f ca="1">SUM(BL132:BL134)</f>
        <v>6983</v>
      </c>
      <c r="BM135" s="319">
        <f ca="1">SUM(BM132:BM134)</f>
        <v>6983</v>
      </c>
      <c r="BN135" s="24"/>
      <c r="BO135"/>
      <c r="BP135"/>
      <c r="BQ135"/>
    </row>
    <row r="136" spans="1:69" x14ac:dyDescent="0.35">
      <c r="B136" s="133" t="s">
        <v>242</v>
      </c>
      <c r="V136" s="206">
        <f>AVERAGE(V135,V132)</f>
        <v>5611.7000000000007</v>
      </c>
      <c r="W136" s="206">
        <f>AVERAGE(W135,W132)</f>
        <v>5547.4000000000005</v>
      </c>
      <c r="X136" s="206">
        <f>AVERAGE(X135,X132)</f>
        <v>5547.4000000000005</v>
      </c>
      <c r="Y136" s="206">
        <f>AVERAGE(Y135,Y132)</f>
        <v>5547.4000000000005</v>
      </c>
      <c r="AA136" s="206">
        <f>AVERAGE(AA135,AA132)</f>
        <v>6139.4000000000005</v>
      </c>
      <c r="AB136" s="206">
        <f>AVERAGE(AB135,AB132)</f>
        <v>-246</v>
      </c>
      <c r="AC136" s="206">
        <f>AVERAGE(AC135,AC132)</f>
        <v>6729.4000000000005</v>
      </c>
      <c r="AD136" s="206">
        <f>AVERAGE(AD135,AD132)</f>
        <v>6727.4000000000005</v>
      </c>
      <c r="AF136" s="206">
        <f>AVERAGE(AF135,AF132)</f>
        <v>6727.4000000000005</v>
      </c>
      <c r="AG136" s="206">
        <f>AVERAGE(AG135,AG132)</f>
        <v>6727.4000000000005</v>
      </c>
      <c r="AH136" s="206">
        <f>AVERAGE(AH135,AH132)</f>
        <v>7316.4000000000005</v>
      </c>
      <c r="AI136" s="206">
        <f>AVERAGE(AI135,AI132)</f>
        <v>7902.4000000000015</v>
      </c>
      <c r="AK136" s="206">
        <f>AVERAGE(AK135,AK132)</f>
        <v>7842.7000000000007</v>
      </c>
      <c r="AL136" s="206">
        <f>AVERAGE(AL135,AL132)</f>
        <v>7721.5</v>
      </c>
      <c r="AM136" s="206">
        <f>AVERAGE(AM135,AM132)</f>
        <v>7566.5</v>
      </c>
      <c r="AN136" s="206">
        <f>AVERAGE(AN135,AN132)</f>
        <v>7432.5</v>
      </c>
      <c r="AP136" s="206">
        <f>AVERAGE(AP135,AP132)</f>
        <v>7425.5</v>
      </c>
      <c r="AQ136" s="206">
        <f>AVERAGE(AQ135,AQ132)</f>
        <v>7342.5</v>
      </c>
      <c r="AR136" s="206">
        <f>AVERAGE(AR135,AR132)</f>
        <v>7037</v>
      </c>
      <c r="AS136" s="206">
        <f>AVERAGE(AS135,AS132)</f>
        <v>6926</v>
      </c>
      <c r="AU136" s="206">
        <f>AVERAGE(AU135,AU132)</f>
        <v>6972.5</v>
      </c>
      <c r="AV136" s="206">
        <f>AVERAGE(AV135,AV132)</f>
        <v>6942.5</v>
      </c>
      <c r="AW136" s="206">
        <f>AVERAGE(AW135,AW132)</f>
        <v>7255</v>
      </c>
      <c r="AX136" s="206">
        <f>AVERAGE(AX135,AX132)</f>
        <v>7498.5</v>
      </c>
      <c r="AZ136" s="206">
        <f>AVERAGE(AZ135,AZ132)</f>
        <v>7125.5</v>
      </c>
      <c r="BA136" s="206">
        <f>AVERAGE(BA135,BA132)</f>
        <v>6895</v>
      </c>
      <c r="BB136" s="206">
        <f ca="1">AVERAGE(BB135,BB132)</f>
        <v>6975</v>
      </c>
      <c r="BC136" s="206">
        <f ca="1">AVERAGE(BC135,BC132)</f>
        <v>6983</v>
      </c>
      <c r="BE136" s="206">
        <f ca="1">AVERAGE(BE135,BE132)</f>
        <v>6983</v>
      </c>
      <c r="BF136" s="206">
        <f ca="1">AVERAGE(BF135,BF132)</f>
        <v>6983</v>
      </c>
      <c r="BG136" s="206">
        <f ca="1">AVERAGE(BG135,BG132)</f>
        <v>6983</v>
      </c>
      <c r="BH136" s="206">
        <f ca="1">AVERAGE(BH135,BH132)</f>
        <v>6983</v>
      </c>
      <c r="BJ136" s="206">
        <f ca="1">AVERAGE(BJ135,BJ132)</f>
        <v>6983</v>
      </c>
      <c r="BK136" s="206">
        <f ca="1">AVERAGE(BK135,BK132)</f>
        <v>6983</v>
      </c>
      <c r="BL136" s="206">
        <f ca="1">AVERAGE(BL135,BL132)</f>
        <v>6983</v>
      </c>
      <c r="BM136" s="206">
        <f ca="1">AVERAGE(BM135,BM132)</f>
        <v>6983</v>
      </c>
      <c r="BO136"/>
      <c r="BP136"/>
      <c r="BQ136"/>
    </row>
    <row r="137" spans="1:69" x14ac:dyDescent="0.35">
      <c r="B137" s="2" t="s">
        <v>311</v>
      </c>
      <c r="V137" s="459">
        <f>-V138/V136*4</f>
        <v>3.5782383235026818E-2</v>
      </c>
      <c r="W137" s="459">
        <f>-W138/W136*4</f>
        <v>3.6485560803259182E-2</v>
      </c>
      <c r="X137" s="459">
        <f>-X138/X136*4</f>
        <v>3.3096585787936686E-2</v>
      </c>
      <c r="Y137" s="459">
        <f>-Y138/Y136*4</f>
        <v>4.2542452320005766E-2</v>
      </c>
      <c r="AA137" s="459">
        <f>-AA138/AA136*4</f>
        <v>2.6061178616802943E-2</v>
      </c>
      <c r="AB137" s="459">
        <f>-AB138/AB136*4</f>
        <v>-0.97560975609756095</v>
      </c>
      <c r="AC137" s="459">
        <f>-AC138/AC136*4</f>
        <v>3.1503551579635629E-2</v>
      </c>
      <c r="AD137" s="459">
        <f>-AD138/AD136*4</f>
        <v>3.0918333977465288E-2</v>
      </c>
      <c r="AF137" s="459">
        <f>-AF138/AF136*4</f>
        <v>4.1620834200434042E-3</v>
      </c>
      <c r="AG137" s="459">
        <f>-AG138/AG136*4</f>
        <v>2.913458394030383E-2</v>
      </c>
      <c r="AH137" s="459">
        <f>-AH138/AH136*4</f>
        <v>2.8975999125252856E-2</v>
      </c>
      <c r="AI137" s="459">
        <f>-AI138/AI136*4</f>
        <v>3.1382871026523582E-2</v>
      </c>
      <c r="AK137" s="459">
        <f>-AK138/AK136*4</f>
        <v>2.7031507006515611E-2</v>
      </c>
      <c r="AL137" s="459">
        <f>-AL138/AL136*4</f>
        <v>2.8491873340672148E-2</v>
      </c>
      <c r="AM137" s="459">
        <f>-AM138/AM136*4</f>
        <v>3.0661468314280051E-2</v>
      </c>
      <c r="AN137" s="459">
        <f>-AN138/AN136*4</f>
        <v>3.4981500168180288E-2</v>
      </c>
      <c r="AP137" s="459">
        <f>-AP138/AP136*4</f>
        <v>3.5553161403272505E-2</v>
      </c>
      <c r="AQ137" s="459">
        <f>-AQ138/AQ136*4</f>
        <v>3.86789240721825E-2</v>
      </c>
      <c r="AR137" s="459">
        <f>-AR138/AR136*4</f>
        <v>3.7515986926246983E-2</v>
      </c>
      <c r="AS137" s="459">
        <f>-AS138/AS136*4</f>
        <v>3.8117239387814035E-2</v>
      </c>
      <c r="AT137" s="449"/>
      <c r="AU137" s="459">
        <f>-AU138/AU136*4</f>
        <v>3.5568304051631409E-2</v>
      </c>
      <c r="AV137" s="459">
        <f>-AV138/AV136*4</f>
        <v>3.6298163485776018E-2</v>
      </c>
      <c r="AW137" s="459">
        <f>-AW138/AW136*4</f>
        <v>3.308063404548587E-2</v>
      </c>
      <c r="AX137" s="459">
        <f>-AX138/AX136*4</f>
        <v>2.7738881109555243E-2</v>
      </c>
      <c r="AZ137" s="459">
        <f>-AZ138/AZ136*4</f>
        <v>3.4243211002736647E-2</v>
      </c>
      <c r="BA137" s="459">
        <f>-BA138/BA136*4</f>
        <v>3.5387962291515591E-2</v>
      </c>
      <c r="BB137" s="459">
        <f ca="1">-BB138/BB136*4</f>
        <v>3.3299798306804899E-2</v>
      </c>
      <c r="BC137" s="317">
        <f ca="1">BB137</f>
        <v>3.3299798306804899E-2</v>
      </c>
      <c r="BE137" s="317">
        <f ca="1">BC137</f>
        <v>3.3299798306804899E-2</v>
      </c>
      <c r="BF137" s="317">
        <f ca="1">BE137</f>
        <v>3.3299798306804899E-2</v>
      </c>
      <c r="BG137" s="317">
        <f ca="1">BF137</f>
        <v>3.3299798306804899E-2</v>
      </c>
      <c r="BH137" s="317">
        <f ca="1">BG137</f>
        <v>3.3299798306804899E-2</v>
      </c>
      <c r="BJ137" s="317">
        <f ca="1">BH137</f>
        <v>3.3299798306804899E-2</v>
      </c>
      <c r="BK137" s="317">
        <f ca="1">BJ137</f>
        <v>3.3299798306804899E-2</v>
      </c>
      <c r="BL137" s="317">
        <f ca="1">BK137</f>
        <v>3.3299798306804899E-2</v>
      </c>
      <c r="BM137" s="317">
        <f ca="1">BL137</f>
        <v>3.3299798306804899E-2</v>
      </c>
      <c r="BO137"/>
      <c r="BP137"/>
      <c r="BQ137"/>
    </row>
    <row r="138" spans="1:69" x14ac:dyDescent="0.35">
      <c r="A138" s="24"/>
      <c r="B138" s="24" t="s">
        <v>243</v>
      </c>
      <c r="C138" s="24"/>
      <c r="D138" s="24"/>
      <c r="E138" s="24"/>
      <c r="F138" s="24"/>
      <c r="G138" s="24"/>
      <c r="H138" s="24"/>
      <c r="I138" s="24"/>
      <c r="J138" s="24"/>
      <c r="K138" s="24"/>
      <c r="L138" s="24"/>
      <c r="M138" s="24"/>
      <c r="N138" s="24"/>
      <c r="O138" s="24"/>
      <c r="P138" s="24"/>
      <c r="Q138" s="24"/>
      <c r="R138" s="24"/>
      <c r="S138" s="24"/>
      <c r="T138" s="24"/>
      <c r="U138" s="24"/>
      <c r="V138" s="320">
        <f>IS!AI54</f>
        <v>-50.2</v>
      </c>
      <c r="W138" s="320">
        <f>IS!AJ54</f>
        <v>-50.6</v>
      </c>
      <c r="X138" s="320">
        <f>IS!AK54</f>
        <v>-45.9</v>
      </c>
      <c r="Y138" s="320">
        <f>IS!AL54</f>
        <v>-59</v>
      </c>
      <c r="Z138" s="24"/>
      <c r="AA138" s="320">
        <f>IS!AN54</f>
        <v>-40</v>
      </c>
      <c r="AB138" s="320">
        <f>IS!AO54</f>
        <v>-60</v>
      </c>
      <c r="AC138" s="320">
        <f>IS!AP54</f>
        <v>-53</v>
      </c>
      <c r="AD138" s="320">
        <f>IS!AQ54</f>
        <v>-52</v>
      </c>
      <c r="AE138" s="188">
        <f>SUM(AA138:AD138)</f>
        <v>-205</v>
      </c>
      <c r="AF138" s="320">
        <f>IS!AS54</f>
        <v>-7</v>
      </c>
      <c r="AG138" s="320">
        <f>IS!AT54</f>
        <v>-49</v>
      </c>
      <c r="AH138" s="320">
        <f>IS!AU54</f>
        <v>-53</v>
      </c>
      <c r="AI138" s="320">
        <f>IS!AV54</f>
        <v>-62</v>
      </c>
      <c r="AJ138" s="188">
        <f>SUM(AF138:AI138)</f>
        <v>-171</v>
      </c>
      <c r="AK138" s="320">
        <f>IS!AX54</f>
        <v>-53</v>
      </c>
      <c r="AL138" s="320">
        <f>IS!AY54</f>
        <v>-55</v>
      </c>
      <c r="AM138" s="320">
        <f>IS!AZ54</f>
        <v>-58</v>
      </c>
      <c r="AN138" s="320">
        <f>IS!BA54</f>
        <v>-65</v>
      </c>
      <c r="AO138" s="188">
        <f>SUM(AK138:AN138)</f>
        <v>-231</v>
      </c>
      <c r="AP138" s="607">
        <f>-70-6+10</f>
        <v>-66</v>
      </c>
      <c r="AQ138" s="320">
        <f>IS!BD54</f>
        <v>-71</v>
      </c>
      <c r="AR138" s="320">
        <f>IS!BE54</f>
        <v>-66</v>
      </c>
      <c r="AS138" s="320">
        <f>IS!BF54</f>
        <v>-66</v>
      </c>
      <c r="AT138" s="188">
        <f>SUM(AP138:AS138)</f>
        <v>-269</v>
      </c>
      <c r="AU138" s="320">
        <f>IS!BH54</f>
        <v>-62</v>
      </c>
      <c r="AV138" s="320">
        <f>IS!BI54</f>
        <v>-63</v>
      </c>
      <c r="AW138" s="320">
        <f>IS!BJ54</f>
        <v>-60</v>
      </c>
      <c r="AX138" s="320">
        <f>IS!BK54</f>
        <v>-52</v>
      </c>
      <c r="AY138" s="188">
        <f>SUM(AU138:AX138)</f>
        <v>-237</v>
      </c>
      <c r="AZ138" s="320">
        <f>IS!BM54</f>
        <v>-61</v>
      </c>
      <c r="BA138" s="320">
        <f>IS!BN54</f>
        <v>-61</v>
      </c>
      <c r="BB138" s="320">
        <f ca="1">IS!BO54</f>
        <v>-58.066523297491038</v>
      </c>
      <c r="BC138" s="321">
        <f ca="1">-BC137*BC136/4</f>
        <v>-58.133122894104652</v>
      </c>
      <c r="BD138" s="188">
        <f ca="1">SUM(AZ138:BC138)</f>
        <v>-238.19964619159569</v>
      </c>
      <c r="BE138" s="321">
        <f ca="1">-BE137*BE136/4</f>
        <v>-58.133122894104652</v>
      </c>
      <c r="BF138" s="321">
        <f ca="1">-BF137*BF136/4</f>
        <v>-58.133122894104652</v>
      </c>
      <c r="BG138" s="321">
        <f ca="1">-BG137*BG136/4</f>
        <v>-58.133122894104652</v>
      </c>
      <c r="BH138" s="321">
        <f ca="1">-BH137*BH136/4</f>
        <v>-58.133122894104652</v>
      </c>
      <c r="BI138" s="188">
        <f ca="1">SUM(BE138:BH138)</f>
        <v>-232.53249157641861</v>
      </c>
      <c r="BJ138" s="321">
        <f ca="1">-BJ137*BJ136/4</f>
        <v>-58.133122894104652</v>
      </c>
      <c r="BK138" s="321">
        <f ca="1">-BK137*BK136/4</f>
        <v>-58.133122894104652</v>
      </c>
      <c r="BL138" s="321">
        <f ca="1">-BL137*BL136/4</f>
        <v>-58.133122894104652</v>
      </c>
      <c r="BM138" s="321">
        <f ca="1">-BM137*BM136/4</f>
        <v>-58.133122894104652</v>
      </c>
      <c r="BN138" s="188">
        <f ca="1">SUM(BJ138:BM138)</f>
        <v>-232.53249157641861</v>
      </c>
      <c r="BO138"/>
      <c r="BP138"/>
      <c r="BQ138"/>
    </row>
    <row r="139" spans="1:69" x14ac:dyDescent="0.35">
      <c r="BO139"/>
      <c r="BP139"/>
      <c r="BQ139"/>
    </row>
    <row r="140" spans="1:69" x14ac:dyDescent="0.35">
      <c r="BO140"/>
      <c r="BP140"/>
      <c r="BQ140"/>
    </row>
    <row r="141" spans="1:69" x14ac:dyDescent="0.35">
      <c r="B141" s="2" t="s">
        <v>304</v>
      </c>
      <c r="F141" s="459">
        <f>F69/IS!S25</f>
        <v>0.31829530779164872</v>
      </c>
      <c r="G141" s="76"/>
      <c r="H141" s="76"/>
      <c r="I141" s="76"/>
      <c r="J141" s="76"/>
      <c r="K141" s="459">
        <f>K69/IS!X25</f>
        <v>0.31740746906386991</v>
      </c>
      <c r="L141" s="76"/>
      <c r="M141" s="76"/>
      <c r="N141" s="76"/>
      <c r="O141" s="76"/>
      <c r="P141" s="459">
        <f>P69/IS!AC25</f>
        <v>0.15794105753906895</v>
      </c>
      <c r="Q141" s="76"/>
      <c r="R141" s="76"/>
      <c r="S141" s="76"/>
      <c r="T141" s="76"/>
      <c r="U141" s="459">
        <f>U69/IS!AH25</f>
        <v>0.30852859747450878</v>
      </c>
      <c r="V141" s="76"/>
      <c r="W141" s="76"/>
      <c r="X141" s="76"/>
      <c r="Y141" s="76"/>
      <c r="Z141" s="459">
        <f>Z69/IS!AM25</f>
        <v>0.33268450260912796</v>
      </c>
      <c r="BO141"/>
      <c r="BP141"/>
      <c r="BQ141"/>
    </row>
  </sheetData>
  <dataConsolidate link="1"/>
  <pageMargins left="0.7" right="0.7" top="0.75" bottom="0.75" header="0.3" footer="0.3"/>
  <pageSetup scale="38" fitToHeight="0" orientation="portrait" r:id="rId1"/>
  <ignoredErrors>
    <ignoredError sqref="K14" formula="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Segments</vt:lpstr>
      <vt:lpstr>IS</vt:lpstr>
      <vt:lpstr>BS &amp; CFS</vt:lpstr>
      <vt:lpstr>'BS &amp; CFS'!Print_Area</vt:lpstr>
      <vt:lpstr>IS!Print_Area</vt:lpstr>
      <vt:lpstr>Segments!Print_Area</vt:lpstr>
      <vt:lpstr>IS!Print_Titles</vt:lpstr>
    </vt:vector>
  </TitlesOfParts>
  <Company>JPMorgan Chase &amp;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 Michael</dc:creator>
  <cp:lastModifiedBy>Danial Azmi</cp:lastModifiedBy>
  <cp:lastPrinted>2025-10-21T02:58:43Z</cp:lastPrinted>
  <dcterms:created xsi:type="dcterms:W3CDTF">2018-07-26T12:35:19Z</dcterms:created>
  <dcterms:modified xsi:type="dcterms:W3CDTF">2026-01-10T11:58:41Z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itchProPlusUniqueWorkbookId">
    <vt:lpwstr>a28415fa-e846-4499-a26b-c994807c7d11</vt:lpwstr>
  </property>
  <property fmtid="{D5CDD505-2E9C-101B-9397-08002B2CF9AE}" pid="3" name="{A44787D4-0540-4523-9961-78E4036D8C6D}">
    <vt:lpwstr>{637EC175-E219-45D5-985E-F31C13DF96F8}</vt:lpwstr>
  </property>
  <property fmtid="{D5CDD505-2E9C-101B-9397-08002B2CF9AE}" pid="4" name="GPSQueryServer">
    <vt:lpwstr>PROD</vt:lpwstr>
  </property>
  <property fmtid="{D5CDD505-2E9C-101B-9397-08002B2CF9AE}" pid="5" name="GPS:activeCompanies:">
    <vt:lpwstr>155673-2</vt:lpwstr>
  </property>
  <property fmtid="{D5CDD505-2E9C-101B-9397-08002B2CF9AE}" pid="6" name="GPS:company:155673-2">
    <vt:lpwstr>{"_sheetId":"{00000000-0001-0000-0900-000000000000}","_sheet":"GPS7 - MCO US","_name":"Moody's"}</vt:lpwstr>
  </property>
  <property fmtid="{D5CDD505-2E9C-101B-9397-08002B2CF9AE}" pid="7" name="HiddenData">
    <vt:lpwstr>Hidden Contents:
Sheet Name: IS (...)</vt:lpwstr>
  </property>
  <property fmtid="{D5CDD505-2E9C-101B-9397-08002B2CF9AE}" pid="8" name="FormulaData">
    <vt:lpwstr>Formula Contents:
Sheet Name: IS: B2 (...)</vt:lpwstr>
  </property>
</Properties>
</file>