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e-010\"/>
    </mc:Choice>
  </mc:AlternateContent>
  <xr:revisionPtr revIDLastSave="0" documentId="13_ncr:1_{92754740-7EDD-49FF-AC7D-FFF5671FB916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CFS'!$A$1:$T$122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6" l="1"/>
  <c r="L70" i="16"/>
  <c r="M70" i="16"/>
  <c r="N70" i="16"/>
  <c r="O70" i="16"/>
  <c r="P70" i="16"/>
  <c r="Q70" i="16"/>
  <c r="R70" i="16"/>
  <c r="S70" i="16"/>
  <c r="J70" i="16"/>
  <c r="K53" i="16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3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6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4" i="16" s="1"/>
  <c r="K44" i="15"/>
  <c r="K74" i="16" s="1"/>
  <c r="L44" i="15"/>
  <c r="L74" i="16" s="1"/>
  <c r="M44" i="15"/>
  <c r="M74" i="16" s="1"/>
  <c r="N44" i="15"/>
  <c r="N74" i="16" s="1"/>
  <c r="O44" i="15"/>
  <c r="O74" i="16" s="1"/>
  <c r="P44" i="15"/>
  <c r="P74" i="16" s="1"/>
  <c r="Q44" i="15"/>
  <c r="Q74" i="16" s="1"/>
  <c r="R44" i="15"/>
  <c r="R74" i="16" s="1"/>
  <c r="S44" i="15"/>
  <c r="S74" i="16" s="1"/>
  <c r="I76" i="16"/>
  <c r="F41" i="16"/>
  <c r="F42" i="16" s="1"/>
  <c r="G41" i="16"/>
  <c r="G42" i="16" s="1"/>
  <c r="H41" i="16"/>
  <c r="H42" i="16" s="1"/>
  <c r="I41" i="16"/>
  <c r="I42" i="16" s="1"/>
  <c r="E41" i="16"/>
  <c r="E42" i="16" s="1"/>
  <c r="I72" i="16"/>
  <c r="I75" i="16"/>
  <c r="I74" i="16"/>
  <c r="I68" i="16"/>
  <c r="I67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5" i="16"/>
  <c r="I70" i="16" s="1"/>
  <c r="I117" i="16"/>
  <c r="I78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5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0" i="16"/>
  <c r="I64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3" i="16"/>
  <c r="I69" i="16"/>
  <c r="I64" i="20"/>
  <c r="J61" i="20" s="1"/>
  <c r="K62" i="20"/>
  <c r="J68" i="20"/>
  <c r="J50" i="20"/>
  <c r="J44" i="20"/>
  <c r="N33" i="20"/>
  <c r="I77" i="16"/>
  <c r="H101" i="18"/>
  <c r="G101" i="18"/>
  <c r="I101" i="18"/>
  <c r="K82" i="18"/>
  <c r="K28" i="20" s="1"/>
  <c r="I61" i="16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1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5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K18" i="15"/>
  <c r="K53" i="15" s="1"/>
  <c r="N41" i="15" l="1"/>
  <c r="M31" i="19"/>
  <c r="K62" i="16"/>
  <c r="K29" i="20"/>
  <c r="K73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5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3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5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3" i="16"/>
  <c r="N63" i="20"/>
  <c r="O62" i="20"/>
  <c r="M14" i="20"/>
  <c r="M30" i="16" s="1"/>
  <c r="N61" i="20"/>
  <c r="N64" i="20" s="1"/>
  <c r="M65" i="20"/>
  <c r="K51" i="20"/>
  <c r="R33" i="20"/>
  <c r="N45" i="15"/>
  <c r="N75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3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5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3" i="16"/>
  <c r="P63" i="20"/>
  <c r="Q62" i="20"/>
  <c r="L50" i="20"/>
  <c r="L51" i="20" s="1"/>
  <c r="K53" i="20"/>
  <c r="P45" i="15"/>
  <c r="P75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3" i="16"/>
  <c r="R62" i="20"/>
  <c r="Q63" i="20"/>
  <c r="P65" i="20"/>
  <c r="L36" i="20"/>
  <c r="L52" i="20"/>
  <c r="L10" i="20" s="1"/>
  <c r="L26" i="16" s="1"/>
  <c r="Q45" i="15"/>
  <c r="Q75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3" i="16"/>
  <c r="R63" i="20"/>
  <c r="S62" i="20"/>
  <c r="M50" i="20"/>
  <c r="M51" i="20" s="1"/>
  <c r="L53" i="20"/>
  <c r="S82" i="18"/>
  <c r="R45" i="15"/>
  <c r="R75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5" i="16" s="1"/>
  <c r="S28" i="20"/>
  <c r="S62" i="16"/>
  <c r="R62" i="16"/>
  <c r="Q65" i="20"/>
  <c r="R61" i="20"/>
  <c r="R64" i="20" s="1"/>
  <c r="R14" i="20" s="1"/>
  <c r="R30" i="16" s="1"/>
  <c r="R29" i="20"/>
  <c r="R73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3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3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7" i="16" s="1"/>
  <c r="J23" i="18"/>
  <c r="J23" i="16" s="1"/>
  <c r="J42" i="18"/>
  <c r="J46" i="18" s="1"/>
  <c r="J52" i="18"/>
  <c r="J66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8" i="16" l="1"/>
  <c r="J27" i="20" s="1"/>
  <c r="J64" i="18"/>
  <c r="J67" i="18" s="1"/>
  <c r="J53" i="18"/>
  <c r="J57" i="16" s="1"/>
  <c r="K26" i="17"/>
  <c r="K93" i="17" s="1"/>
  <c r="K15" i="18"/>
  <c r="K8" i="16" s="1"/>
  <c r="K52" i="18"/>
  <c r="K66" i="16" s="1"/>
  <c r="K26" i="18"/>
  <c r="K13" i="16" s="1"/>
  <c r="K23" i="18"/>
  <c r="K23" i="16" s="1"/>
  <c r="K63" i="18"/>
  <c r="K64" i="18" s="1"/>
  <c r="K58" i="16" s="1"/>
  <c r="K42" i="18"/>
  <c r="K68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17" i="15"/>
  <c r="J51" i="15" s="1"/>
  <c r="J58" i="16"/>
  <c r="K13" i="15"/>
  <c r="K14" i="15" s="1"/>
  <c r="K15" i="21" s="1"/>
  <c r="K53" i="18"/>
  <c r="K57" i="16" s="1"/>
  <c r="L42" i="18"/>
  <c r="L68" i="16" s="1"/>
  <c r="L52" i="18"/>
  <c r="L66" i="16" s="1"/>
  <c r="L63" i="18"/>
  <c r="L67" i="16" s="1"/>
  <c r="L23" i="18"/>
  <c r="L23" i="16" s="1"/>
  <c r="L104" i="18"/>
  <c r="L20" i="15" s="1"/>
  <c r="L15" i="18"/>
  <c r="L8" i="16" s="1"/>
  <c r="K67" i="16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8" i="16" s="1"/>
  <c r="J33" i="22"/>
  <c r="M52" i="18"/>
  <c r="M66" i="16" s="1"/>
  <c r="M63" i="18"/>
  <c r="M67" i="16" s="1"/>
  <c r="M15" i="18"/>
  <c r="M8" i="16" s="1"/>
  <c r="L14" i="15"/>
  <c r="L15" i="21" s="1"/>
  <c r="M104" i="18"/>
  <c r="M20" i="15" s="1"/>
  <c r="M23" i="18"/>
  <c r="M23" i="16" s="1"/>
  <c r="M42" i="18"/>
  <c r="M68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6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K10" i="16"/>
  <c r="L35" i="18"/>
  <c r="L10" i="16" s="1"/>
  <c r="K61" i="16"/>
  <c r="M20" i="18"/>
  <c r="M22" i="16" s="1"/>
  <c r="M41" i="16" s="1"/>
  <c r="M33" i="18"/>
  <c r="L60" i="16"/>
  <c r="L90" i="17"/>
  <c r="O42" i="18"/>
  <c r="O68" i="16" s="1"/>
  <c r="O104" i="18"/>
  <c r="O20" i="15" s="1"/>
  <c r="O7" i="15"/>
  <c r="O63" i="18"/>
  <c r="O26" i="18"/>
  <c r="O23" i="18"/>
  <c r="O23" i="16" s="1"/>
  <c r="O15" i="18"/>
  <c r="O8" i="16" s="1"/>
  <c r="O52" i="18"/>
  <c r="O66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7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7" i="16"/>
  <c r="M30" i="18"/>
  <c r="M35" i="18" s="1"/>
  <c r="N60" i="16"/>
  <c r="L61" i="16"/>
  <c r="M90" i="17"/>
  <c r="M60" i="16"/>
  <c r="O13" i="16"/>
  <c r="P42" i="18"/>
  <c r="P68" i="16" s="1"/>
  <c r="P104" i="18"/>
  <c r="P20" i="15" s="1"/>
  <c r="P63" i="18"/>
  <c r="P7" i="15"/>
  <c r="P26" i="18"/>
  <c r="P23" i="18"/>
  <c r="P23" i="16" s="1"/>
  <c r="P15" i="18"/>
  <c r="P8" i="16" s="1"/>
  <c r="P52" i="18"/>
  <c r="P66" i="16" s="1"/>
  <c r="S8" i="17"/>
  <c r="S7" i="18" s="1"/>
  <c r="S10" i="18" s="1"/>
  <c r="S37" i="17"/>
  <c r="R37" i="17"/>
  <c r="R8" i="17"/>
  <c r="R7" i="18" s="1"/>
  <c r="R10" i="18" s="1"/>
  <c r="O14" i="15" l="1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P53" i="18"/>
  <c r="P57" i="16" s="1"/>
  <c r="P64" i="18"/>
  <c r="P58" i="16" s="1"/>
  <c r="P67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6" i="16" s="1"/>
  <c r="Q23" i="18"/>
  <c r="Q23" i="16" s="1"/>
  <c r="Q42" i="18"/>
  <c r="Q68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7" i="16" s="1"/>
  <c r="S52" i="18"/>
  <c r="S66" i="16" s="1"/>
  <c r="S42" i="18"/>
  <c r="S68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8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6" i="16" s="1"/>
  <c r="Q46" i="18" l="1"/>
  <c r="R41" i="18" s="1"/>
  <c r="R46" i="18" s="1"/>
  <c r="S41" i="18" s="1"/>
  <c r="S46" i="18" s="1"/>
  <c r="S14" i="16" s="1"/>
  <c r="Q67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R53" i="18"/>
  <c r="R57" i="16" s="1"/>
  <c r="R64" i="18"/>
  <c r="R58" i="16" s="1"/>
  <c r="R67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4" i="16"/>
  <c r="K64" i="16"/>
  <c r="L64" i="16"/>
  <c r="M64" i="16"/>
  <c r="N64" i="16"/>
  <c r="O64" i="16"/>
  <c r="P64" i="16"/>
  <c r="Q64" i="16"/>
  <c r="R64" i="16"/>
  <c r="S64" i="16"/>
  <c r="J72" i="16"/>
  <c r="K72" i="16"/>
  <c r="L72" i="16"/>
  <c r="M72" i="16"/>
  <c r="N72" i="16"/>
  <c r="O72" i="16"/>
  <c r="P72" i="16"/>
  <c r="Q72" i="16"/>
  <c r="R72" i="16"/>
  <c r="S72" i="16"/>
  <c r="J76" i="16"/>
  <c r="K76" i="16"/>
  <c r="L76" i="16"/>
  <c r="M76" i="16"/>
  <c r="N76" i="16"/>
  <c r="O76" i="16"/>
  <c r="P76" i="16"/>
  <c r="Q76" i="16"/>
  <c r="R76" i="16"/>
  <c r="S76" i="16"/>
  <c r="J78" i="16"/>
  <c r="K78" i="16"/>
  <c r="L78" i="16"/>
  <c r="M78" i="16"/>
  <c r="N78" i="16"/>
  <c r="O78" i="16"/>
  <c r="P78" i="16"/>
  <c r="Q78" i="16"/>
  <c r="R78" i="16"/>
  <c r="S78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<sst xmlns="http://schemas.openxmlformats.org/spreadsheetml/2006/main" count="615" uniqueCount="364">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</sst>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127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358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361</v>
      </c>
      <c r="G15" t="s">
        <v>36</v>
      </c>
      <c r="H15" s="20" t="s">
        <v>353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275</v>
      </c>
      <c r="C17" s="53"/>
      <c r="D17" s="53"/>
      <c r="H17" s="90"/>
      <c r="I17" s="53"/>
      <c r="J17" s="53"/>
      <c r="K17" s="123" t="s">
        <v>314</v>
      </c>
      <c r="L17" s="123" t="s">
        <v>315</v>
      </c>
      <c r="M17" s="123" t="s">
        <v>316</v>
      </c>
      <c r="O17" s="90" t="s">
        <v>352</v>
      </c>
      <c r="P17" s="98" t="s">
        <v>347</v>
      </c>
      <c r="Q17" s="98" t="s">
        <v>343</v>
      </c>
      <c r="R17" s="98" t="s">
        <v>342</v>
      </c>
      <c r="S17" s="98" t="s">
        <v>350</v>
      </c>
      <c r="T17" s="98" t="s">
        <v>351</v>
      </c>
    </row>
    <row r="18" spans="2:20" x14ac:dyDescent="0.45">
      <c r="B18" s="53" t="s">
        <v>276</v>
      </c>
      <c r="C18" s="53"/>
      <c r="D18" s="105">
        <v>2.81</v>
      </c>
      <c r="H18" s="91" t="s">
        <v>29</v>
      </c>
      <c r="I18" s="53"/>
      <c r="J18" s="53"/>
      <c r="K18" s="53">
        <f ca="1">+K20-K19</f>
        <v>87.941836384884297</v>
      </c>
      <c r="L18" s="53">
        <f ca="1">+L20-L19</f>
        <v>104.79600544902937</v>
      </c>
      <c r="M18" s="53">
        <f ca="1">+M20-M19</f>
        <v>116.24058953091608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1.0125636286074347</v>
      </c>
      <c r="T18" s="114">
        <f ca="1">+$R$22*S18</f>
        <v>2.5559884809557141</v>
      </c>
    </row>
    <row r="19" spans="2:20" x14ac:dyDescent="0.45">
      <c r="B19" s="53" t="s">
        <v>277</v>
      </c>
      <c r="C19" s="53"/>
      <c r="D19" s="106">
        <v>173.11699999999999</v>
      </c>
      <c r="H19" s="91" t="s">
        <v>325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340</v>
      </c>
      <c r="P19" s="115">
        <f>+'P&amp;L'!I72</f>
        <v>0.1425904256851421</v>
      </c>
      <c r="Q19" s="115">
        <f ca="1">+'P&amp;L'!M72</f>
        <v>0.18285586740123949</v>
      </c>
      <c r="R19" s="53">
        <f ca="1">+(Q19-P19)*Q18*P20/$M$31</f>
        <v>2.5556130897186606</v>
      </c>
      <c r="S19" s="113">
        <f ca="1">+R19/$R$22</f>
        <v>1.0124149160776363</v>
      </c>
      <c r="T19" s="114">
        <f ca="1">+$R$22*S19</f>
        <v>2.5556130897186606</v>
      </c>
    </row>
    <row r="20" spans="2:20" x14ac:dyDescent="0.45">
      <c r="B20" s="107" t="s">
        <v>278</v>
      </c>
      <c r="C20" s="107"/>
      <c r="D20" s="108">
        <f>+D18*D19</f>
        <v>486.45876999999996</v>
      </c>
      <c r="H20" s="93" t="s">
        <v>326</v>
      </c>
      <c r="I20" s="93"/>
      <c r="J20" s="93"/>
      <c r="K20" s="93">
        <f ca="1">+'P&amp;L'!K71</f>
        <v>102.9122197448843</v>
      </c>
      <c r="L20" s="93">
        <f ca="1">+'P&amp;L'!L71</f>
        <v>118.76757347462939</v>
      </c>
      <c r="M20" s="93">
        <f ca="1">+'P&amp;L'!M71</f>
        <v>129.25329483549194</v>
      </c>
      <c r="O20" s="53" t="s">
        <v>341</v>
      </c>
      <c r="P20" s="97">
        <f>+D28</f>
        <v>15.543885788453187</v>
      </c>
      <c r="Q20" s="97">
        <f ca="1">+M26</f>
        <v>13.993239954065489</v>
      </c>
      <c r="R20" s="53">
        <f ca="1">+(Q20-P20)*Q19*Q18/$M$31</f>
        <v>-1.1577760377183719</v>
      </c>
      <c r="S20" s="113">
        <f ca="1">+R20/$R$22</f>
        <v>-0.45865695976396104</v>
      </c>
      <c r="T20" s="114">
        <f ca="1">+$R$22*S20</f>
        <v>-1.1577760377183719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222</v>
      </c>
      <c r="P21" s="53"/>
      <c r="Q21" s="53"/>
      <c r="R21" s="53">
        <f ca="1">+R22-SUM(R18:R20)</f>
        <v>-1.4295510984980608</v>
      </c>
      <c r="S21" s="113">
        <f ca="1">+R21/$R$22</f>
        <v>-0.56632158492111018</v>
      </c>
      <c r="T21" s="114">
        <f ca="1">+$R$22*S21</f>
        <v>-1.4295510984980608</v>
      </c>
    </row>
    <row r="22" spans="2:20" x14ac:dyDescent="0.45">
      <c r="B22" s="53" t="s">
        <v>291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1319.1275457732645</v>
      </c>
      <c r="L22" s="53">
        <f t="shared" ca="1" si="1"/>
        <v>1571.9400817354406</v>
      </c>
      <c r="M22" s="53">
        <f t="shared" ca="1" si="1"/>
        <v>1743.6088429637412</v>
      </c>
      <c r="O22" s="107" t="s">
        <v>349</v>
      </c>
      <c r="P22" s="107"/>
      <c r="Q22" s="107"/>
      <c r="R22" s="116">
        <f ca="1">+M33-D18</f>
        <v>2.5242744344576775</v>
      </c>
      <c r="S22" s="53"/>
      <c r="T22" s="53"/>
    </row>
    <row r="23" spans="2:20" x14ac:dyDescent="0.45">
      <c r="B23" s="53" t="s">
        <v>323</v>
      </c>
      <c r="C23" s="53"/>
      <c r="D23" s="92">
        <f>+Quarterly!E82</f>
        <v>260.50299999999999</v>
      </c>
      <c r="H23" s="91" t="s">
        <v>325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286</v>
      </c>
      <c r="C24" s="107"/>
      <c r="D24" s="107">
        <f>+D22+D20+D23</f>
        <v>1384.7167699999998</v>
      </c>
      <c r="H24" s="93" t="s">
        <v>329</v>
      </c>
      <c r="I24" s="93"/>
      <c r="J24" s="93"/>
      <c r="K24" s="93">
        <f ca="1">SUM(K22:K23)</f>
        <v>1393.9794625732645</v>
      </c>
      <c r="L24" s="93">
        <f ca="1">SUM(L22:L23)</f>
        <v>1641.7979218634405</v>
      </c>
      <c r="M24" s="93">
        <f ca="1">SUM(M22:M23)</f>
        <v>1808.6723694866212</v>
      </c>
    </row>
    <row r="25" spans="2:20" x14ac:dyDescent="0.45">
      <c r="B25" s="53" t="s">
        <v>344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330</v>
      </c>
      <c r="I26" s="95"/>
      <c r="J26" s="96"/>
      <c r="K26" s="96">
        <f ca="1">+K24/K20</f>
        <v>13.545324996670848</v>
      </c>
      <c r="L26" s="96">
        <f ca="1">+L24/L20</f>
        <v>13.823620992089682</v>
      </c>
      <c r="M26" s="96">
        <f ca="1">+M24/M20</f>
        <v>13.993239954065556</v>
      </c>
    </row>
    <row r="27" spans="2:20" x14ac:dyDescent="0.45">
      <c r="B27" t="s">
        <v>346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344</v>
      </c>
      <c r="D28" s="110">
        <f>+D27/Summary!I22</f>
        <v>15.543885788453187</v>
      </c>
      <c r="H28" s="53" t="s">
        <v>332</v>
      </c>
      <c r="I28" s="53"/>
      <c r="J28" s="92"/>
      <c r="K28" s="92">
        <f ca="1">+'BS &amp; CFS'!K50</f>
        <v>730.22839417860848</v>
      </c>
      <c r="L28" s="92">
        <f ca="1">+'BS &amp; CFS'!L50</f>
        <v>808.11807641147527</v>
      </c>
      <c r="M28" s="92">
        <f ca="1">+'BS &amp; CFS'!M50</f>
        <v>885.2401193143354</v>
      </c>
    </row>
    <row r="29" spans="2:20" x14ac:dyDescent="0.45">
      <c r="H29" s="93" t="s">
        <v>331</v>
      </c>
      <c r="I29" s="93"/>
      <c r="J29" s="93"/>
      <c r="K29" s="93">
        <f ca="1">+K24-K28</f>
        <v>663.75106839465604</v>
      </c>
      <c r="L29" s="93">
        <f ca="1">+L24-L28</f>
        <v>833.67984545196521</v>
      </c>
      <c r="M29" s="93">
        <f ca="1">+M24-M28</f>
        <v>923.43225017228576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333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334</v>
      </c>
      <c r="I33" s="99"/>
      <c r="J33" s="100"/>
      <c r="K33" s="100">
        <f ca="1">+K29/K31</f>
        <v>3.8342069538085299</v>
      </c>
      <c r="L33" s="100">
        <f ca="1">+L29/L31</f>
        <v>4.8158130553567045</v>
      </c>
      <c r="M33" s="100">
        <f ca="1">+M29/M31</f>
        <v>5.3342744344577575</v>
      </c>
    </row>
    <row r="34" spans="2:17" x14ac:dyDescent="0.45">
      <c r="H34" s="98" t="s">
        <v>335</v>
      </c>
      <c r="I34" s="101"/>
      <c r="J34" s="102"/>
      <c r="K34" s="102">
        <f ca="1">+K33/$D$18-1</f>
        <v>0.3644864604300817</v>
      </c>
      <c r="L34" s="102">
        <f ca="1">+L33/$D$18-1</f>
        <v>0.71381247521590896</v>
      </c>
      <c r="M34" s="102">
        <f ca="1">+M33/$D$18-1</f>
        <v>0.8983183040774938</v>
      </c>
    </row>
    <row r="35" spans="2:17" x14ac:dyDescent="0.45">
      <c r="H35" s="98" t="s">
        <v>337</v>
      </c>
      <c r="I35" s="101"/>
      <c r="J35" s="101"/>
      <c r="K35" s="101">
        <f ca="1">+K33/$D$18</f>
        <v>1.3644864604300817</v>
      </c>
      <c r="L35" s="101">
        <f ca="1">+L33/$D$18</f>
        <v>1.713812475215909</v>
      </c>
      <c r="M35" s="101">
        <f ca="1">+M33/$D$18</f>
        <v>1.8983183040774938</v>
      </c>
      <c r="Q35" s="15"/>
    </row>
    <row r="36" spans="2:17" x14ac:dyDescent="0.45">
      <c r="H36" s="103" t="s">
        <v>336</v>
      </c>
      <c r="I36" s="103"/>
      <c r="J36" s="104"/>
      <c r="K36" s="104">
        <f ca="1">+K35^(1/(YEARFRAC($D$16,K16)))-1</f>
        <v>0.24583226358949961</v>
      </c>
      <c r="L36" s="104">
        <f ca="1">+L35^(1/(YEARFRAC($D$16,L16)))-1</f>
        <v>0.25003970179169621</v>
      </c>
      <c r="M36" s="104">
        <f ca="1">+M35^(1/(YEARFRAC($D$16,M16)))-1</f>
        <v>0.20653564472574759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360</v>
      </c>
      <c r="V3" s="122" t="s">
        <v>359</v>
      </c>
    </row>
    <row r="4" spans="1:22" x14ac:dyDescent="0.45">
      <c r="A4" t="s">
        <v>36</v>
      </c>
      <c r="B4" s="20" t="s">
        <v>279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280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281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282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283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284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-114.52635479531466</v>
      </c>
      <c r="K17">
        <f t="shared" ca="1" si="3"/>
        <v>-114.40278567232465</v>
      </c>
      <c r="L17">
        <f t="shared" ca="1" si="3"/>
        <v>-122.05930195542285</v>
      </c>
      <c r="M17">
        <f t="shared" ca="1" si="3"/>
        <v>-129.97751813647997</v>
      </c>
      <c r="N17">
        <f t="shared" ca="1" si="3"/>
        <v>-137.31170316769848</v>
      </c>
      <c r="O17">
        <f t="shared" ca="1" si="3"/>
        <v>-143.8822789000466</v>
      </c>
      <c r="P17">
        <f t="shared" ca="1" si="3"/>
        <v>-150.41481159000864</v>
      </c>
      <c r="Q17">
        <f t="shared" ca="1" si="3"/>
        <v>-157.14751255373227</v>
      </c>
      <c r="R17">
        <f t="shared" ca="1" si="3"/>
        <v>-164.49308022611004</v>
      </c>
      <c r="S17">
        <f t="shared" ca="1" si="3"/>
        <v>-172.33469150675313</v>
      </c>
    </row>
    <row r="19" spans="1:19" s="7" customFormat="1" x14ac:dyDescent="0.45">
      <c r="A19"/>
      <c r="B19" s="7" t="s">
        <v>338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106.07291720468535</v>
      </c>
      <c r="K19" s="7">
        <f ca="1">+'P&amp;L'!K68</f>
        <v>134.02661128347535</v>
      </c>
      <c r="L19" s="7">
        <f ca="1">+'P&amp;L'!L68</f>
        <v>154.67565895115214</v>
      </c>
      <c r="M19" s="7">
        <f ca="1">+'P&amp;L'!M68</f>
        <v>168.33162424218384</v>
      </c>
      <c r="N19" s="7">
        <f ca="1">+'P&amp;L'!N68</f>
        <v>178.96745664926127</v>
      </c>
      <c r="O19" s="7">
        <f ca="1">+'P&amp;L'!O68</f>
        <v>188.21409562366793</v>
      </c>
      <c r="P19" s="7">
        <f ca="1">+'P&amp;L'!P68</f>
        <v>197.37116148021073</v>
      </c>
      <c r="Q19" s="7">
        <f ca="1">+'P&amp;L'!Q68</f>
        <v>206.85319990076465</v>
      </c>
      <c r="R19" s="7">
        <f ca="1">+'P&amp;L'!R68</f>
        <v>216.3449092869474</v>
      </c>
      <c r="S19" s="7">
        <f ca="1">+'P&amp;L'!S68</f>
        <v>227.14487102751121</v>
      </c>
    </row>
    <row r="20" spans="1:19" s="1" customFormat="1" x14ac:dyDescent="0.45">
      <c r="A20"/>
      <c r="B20" s="1" t="s">
        <v>285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0.20147270503540532</v>
      </c>
      <c r="K20" s="80">
        <f t="shared" ca="1" si="4"/>
        <v>0.22971870319122217</v>
      </c>
      <c r="L20" s="80">
        <f t="shared" ca="1" si="4"/>
        <v>0.23673320919799595</v>
      </c>
      <c r="M20" s="80">
        <f t="shared" ca="1" si="4"/>
        <v>0.23814035225206481</v>
      </c>
      <c r="N20" s="80">
        <f t="shared" ca="1" si="4"/>
        <v>0.23814153967733989</v>
      </c>
      <c r="O20" s="80">
        <f t="shared" ca="1" si="4"/>
        <v>0.23797711937376528</v>
      </c>
      <c r="P20" s="80">
        <f t="shared" ca="1" si="4"/>
        <v>0.23781868313998616</v>
      </c>
      <c r="Q20" s="80">
        <f t="shared" ca="1" si="4"/>
        <v>0.23770644359749216</v>
      </c>
      <c r="R20" s="80">
        <f t="shared" ca="1" si="4"/>
        <v>0.23722678638804223</v>
      </c>
      <c r="S20" s="80">
        <f t="shared" ca="1" si="4"/>
        <v>0.23724131660160297</v>
      </c>
    </row>
    <row r="22" spans="1:19" x14ac:dyDescent="0.45">
      <c r="B22" s="7" t="s">
        <v>339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81.447999466770057</v>
      </c>
      <c r="K22" s="7">
        <f ca="1">+'P&amp;L'!K71</f>
        <v>102.9122197448843</v>
      </c>
      <c r="L22" s="7">
        <f ca="1">+'P&amp;L'!L71</f>
        <v>118.76757347462939</v>
      </c>
      <c r="M22" s="7">
        <f ca="1">+'P&amp;L'!M71</f>
        <v>129.253294835492</v>
      </c>
      <c r="N22" s="7">
        <f ca="1">+'P&amp;L'!N71</f>
        <v>137.42000972416326</v>
      </c>
      <c r="O22" s="7">
        <f ca="1">+'P&amp;L'!O71</f>
        <v>144.52003361436718</v>
      </c>
      <c r="P22" s="7">
        <f ca="1">+'P&amp;L'!P71</f>
        <v>151.55127886202717</v>
      </c>
      <c r="Q22" s="7">
        <f ca="1">+'P&amp;L'!Q71</f>
        <v>158.83205401720559</v>
      </c>
      <c r="R22" s="7">
        <f ca="1">+'P&amp;L'!R71</f>
        <v>166.12025501513571</v>
      </c>
      <c r="S22" s="7">
        <f ca="1">+'P&amp;L'!S71</f>
        <v>174.41299647325152</v>
      </c>
    </row>
    <row r="24" spans="1:19" x14ac:dyDescent="0.45">
      <c r="A24" t="s">
        <v>36</v>
      </c>
      <c r="B24" s="20" t="s">
        <v>357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354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262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355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345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356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20" activePane="bottomRight" state="frozen"/>
      <selection activeCell="B6" sqref="B6"/>
      <selection pane="topRight" activeCell="B6" sqref="B6"/>
      <selection pane="bottomLeft" activeCell="B6" sqref="B6"/>
      <selection pane="bottomRight" activeCell="K34" sqref="K34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-10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-34.6614577073859</v>
      </c>
      <c r="K22">
        <f ca="1">+IF(Circ=1, 'Debt Calcs'!K22, 0)</f>
        <v>-38.510698994386935</v>
      </c>
      <c r="L22">
        <f ca="1">+IF(Circ=1, 'Debt Calcs'!L22, 0)</f>
        <v>-43.212747176522342</v>
      </c>
      <c r="M22">
        <f ca="1">+IF(Circ=1, 'Debt Calcs'!M22, 0)</f>
        <v>-47.553075480322754</v>
      </c>
      <c r="N22">
        <f ca="1">+IF(Circ=1, 'Debt Calcs'!N22, 0)</f>
        <v>-51.872816717195768</v>
      </c>
      <c r="O22">
        <f ca="1">+IF(Circ=1, 'Debt Calcs'!O22, 0)</f>
        <v>-56.253530350372955</v>
      </c>
      <c r="P22">
        <f ca="1">+IF(Circ=1, 'Debt Calcs'!P22, 0)</f>
        <v>-60.793885460262992</v>
      </c>
      <c r="Q22">
        <f ca="1">+IF(Circ=1, 'Debt Calcs'!Q22, 0)</f>
        <v>-65.548026020869557</v>
      </c>
      <c r="R22">
        <f ca="1">+IF(Circ=1, 'Debt Calcs'!R22, 0)</f>
        <v>-70.52674448792628</v>
      </c>
      <c r="S22">
        <f ca="1">+IF(Circ=1, 'Debt Calcs'!S22, 0)</f>
        <v>-75.729165124068984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23.117978835115849</v>
      </c>
      <c r="K27" s="7">
        <f t="shared" ca="1" si="4"/>
        <v>35.44100949720584</v>
      </c>
      <c r="L27" s="7">
        <f t="shared" ca="1" si="4"/>
        <v>55.409028809966969</v>
      </c>
      <c r="M27" s="7">
        <f t="shared" ca="1" si="4"/>
        <v>63.56534425894813</v>
      </c>
      <c r="N27" s="7">
        <f t="shared" ca="1" si="4"/>
        <v>67.884303098109427</v>
      </c>
      <c r="O27" s="7">
        <f t="shared" ca="1" si="4"/>
        <v>71.333077854428154</v>
      </c>
      <c r="P27" s="7">
        <f t="shared" ca="1" si="4"/>
        <v>74.685559584323698</v>
      </c>
      <c r="Q27" s="7">
        <f t="shared" ca="1" si="4"/>
        <v>78.176758823562523</v>
      </c>
      <c r="R27" s="7">
        <f t="shared" ca="1" si="4"/>
        <v>80.541890085686532</v>
      </c>
      <c r="S27" s="7">
        <f t="shared" ca="1" si="4"/>
        <v>83.647461641678603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4.3909810850910634E-2</v>
      </c>
      <c r="K28" s="6">
        <f t="shared" ca="1" si="5"/>
        <v>6.0745121163036576E-2</v>
      </c>
      <c r="L28" s="6">
        <f t="shared" ca="1" si="5"/>
        <v>8.4804275589801775E-2</v>
      </c>
      <c r="M28" s="6">
        <f t="shared" ca="1" si="5"/>
        <v>8.9926498012464537E-2</v>
      </c>
      <c r="N28" s="6">
        <f t="shared" ca="1" si="5"/>
        <v>9.0329676480730856E-2</v>
      </c>
      <c r="O28" s="6">
        <f t="shared" ca="1" si="5"/>
        <v>9.0193246832075497E-2</v>
      </c>
      <c r="P28" s="6">
        <f t="shared" ca="1" si="5"/>
        <v>8.9990965735375114E-2</v>
      </c>
      <c r="Q28" s="6">
        <f t="shared" ca="1" si="5"/>
        <v>8.9837233945827003E-2</v>
      </c>
      <c r="R28" s="6">
        <f t="shared" ca="1" si="5"/>
        <v>8.8315892514504793E-2</v>
      </c>
      <c r="S28" s="6">
        <f t="shared" ca="1" si="5"/>
        <v>8.7365538303747922E-2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-6.7042138621835958</v>
      </c>
      <c r="K30" s="29">
        <f ca="1">+'FS Calcs'!K107</f>
        <v>-10.277892754189693</v>
      </c>
      <c r="L30" s="29">
        <f ca="1">+'FS Calcs'!L107</f>
        <v>-16.068618354890418</v>
      </c>
      <c r="M30" s="29">
        <f ca="1">+'FS Calcs'!M107</f>
        <v>-18.433949835094975</v>
      </c>
      <c r="N30" s="29">
        <f ca="1">+'FS Calcs'!N107</f>
        <v>-19.686447898451501</v>
      </c>
      <c r="O30" s="29">
        <f ca="1">+'FS Calcs'!O107</f>
        <v>-20.686592577786438</v>
      </c>
      <c r="P30" s="29">
        <f ca="1">+'FS Calcs'!P107</f>
        <v>-21.658812279436379</v>
      </c>
      <c r="Q30" s="29">
        <f ca="1">+'FS Calcs'!Q107</f>
        <v>-22.671260058944235</v>
      </c>
      <c r="R30" s="29">
        <f ca="1">+'FS Calcs'!R107</f>
        <v>-23.357148124243647</v>
      </c>
      <c r="S30" s="29">
        <f ca="1">+'FS Calcs'!S107</f>
        <v>-24.257763878983731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-6.7042138621835958</v>
      </c>
      <c r="K32">
        <f t="shared" ca="1" si="6"/>
        <v>-10.277892754189693</v>
      </c>
      <c r="L32">
        <f t="shared" ca="1" si="6"/>
        <v>-16.068618354890418</v>
      </c>
      <c r="M32">
        <f t="shared" ca="1" si="6"/>
        <v>-18.433949835094975</v>
      </c>
      <c r="N32">
        <f t="shared" ca="1" si="6"/>
        <v>-19.686447898451501</v>
      </c>
      <c r="O32">
        <f t="shared" ca="1" si="6"/>
        <v>-20.686592577786438</v>
      </c>
      <c r="P32">
        <f t="shared" ca="1" si="6"/>
        <v>-21.658812279436379</v>
      </c>
      <c r="Q32">
        <f t="shared" ca="1" si="6"/>
        <v>-22.671260058944235</v>
      </c>
      <c r="R32">
        <f t="shared" ca="1" si="6"/>
        <v>-23.357148124243647</v>
      </c>
      <c r="S32">
        <f t="shared" ca="1" si="6"/>
        <v>-24.257763878983731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16.413764972932253</v>
      </c>
      <c r="K34">
        <f t="shared" ca="1" si="7"/>
        <v>25.163116743016147</v>
      </c>
      <c r="L34">
        <f t="shared" ca="1" si="7"/>
        <v>39.340410455076551</v>
      </c>
      <c r="M34">
        <f t="shared" ca="1" si="7"/>
        <v>45.131394423853152</v>
      </c>
      <c r="N34">
        <f t="shared" ca="1" si="7"/>
        <v>48.197855199657923</v>
      </c>
      <c r="O34">
        <f t="shared" ca="1" si="7"/>
        <v>50.646485276641712</v>
      </c>
      <c r="P34">
        <f t="shared" ca="1" si="7"/>
        <v>53.026747304887323</v>
      </c>
      <c r="Q34">
        <f t="shared" ca="1" si="7"/>
        <v>55.505498764618288</v>
      </c>
      <c r="R34">
        <f t="shared" ca="1" si="7"/>
        <v>57.184741961442882</v>
      </c>
      <c r="S34">
        <f t="shared" ca="1" si="7"/>
        <v>59.389697762694873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-10.485492547067757</v>
      </c>
      <c r="K36" s="7">
        <f t="shared" ca="1" si="8"/>
        <v>-2.5431185025838658</v>
      </c>
      <c r="L36" s="7">
        <f t="shared" ca="1" si="8"/>
        <v>10.802988152108544</v>
      </c>
      <c r="M36" s="7">
        <f t="shared" ca="1" si="8"/>
        <v>15.737849451796109</v>
      </c>
      <c r="N36" s="7">
        <f t="shared" ca="1" si="8"/>
        <v>17.922503878439162</v>
      </c>
      <c r="O36" s="7">
        <f t="shared" ca="1" si="8"/>
        <v>19.462873415786387</v>
      </c>
      <c r="P36" s="7">
        <f t="shared" ca="1" si="8"/>
        <v>20.907627088206333</v>
      </c>
      <c r="Q36" s="7">
        <f t="shared" ca="1" si="8"/>
        <v>22.42280494143688</v>
      </c>
      <c r="R36" s="7">
        <f t="shared" ca="1" si="8"/>
        <v>23.109567323566012</v>
      </c>
      <c r="S36" s="7">
        <f t="shared" ca="1" si="8"/>
        <v>24.29226788568171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-6.0570220301581955E-2</v>
      </c>
      <c r="K38" s="15">
        <f t="shared" ref="K38:S38" ca="1" si="9">+K$36/K41</f>
        <v>-1.4690511414994055E-2</v>
      </c>
      <c r="L38" s="15">
        <f t="shared" ca="1" si="9"/>
        <v>6.2404257058155908E-2</v>
      </c>
      <c r="M38" s="15">
        <f t="shared" ca="1" si="9"/>
        <v>9.0910846971608769E-2</v>
      </c>
      <c r="N38" s="15">
        <f t="shared" ca="1" si="9"/>
        <v>0.10353066423919152</v>
      </c>
      <c r="O38" s="15">
        <f t="shared" ca="1" si="9"/>
        <v>0.11242872237085827</v>
      </c>
      <c r="P38" s="15">
        <f t="shared" ca="1" si="9"/>
        <v>0.12077444841350062</v>
      </c>
      <c r="Q38" s="15">
        <f t="shared" ca="1" si="9"/>
        <v>0.12952698492566636</v>
      </c>
      <c r="R38" s="15">
        <f t="shared" ca="1" si="9"/>
        <v>0.13349411842880668</v>
      </c>
      <c r="S38" s="15">
        <f t="shared" ca="1" si="9"/>
        <v>0.14032607537089478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-5.5084172368680233E-2</v>
      </c>
      <c r="K39" s="15">
        <f t="shared" ref="K39:S39" ca="1" si="10">+K$36/K42</f>
        <v>-1.33599425417058E-2</v>
      </c>
      <c r="L39" s="15">
        <f t="shared" ca="1" si="10"/>
        <v>5.6752094267042155E-2</v>
      </c>
      <c r="M39" s="15">
        <f t="shared" ca="1" si="10"/>
        <v>8.2676746754972885E-2</v>
      </c>
      <c r="N39" s="15">
        <f t="shared" ca="1" si="10"/>
        <v>9.4153544860833813E-2</v>
      </c>
      <c r="O39" s="15">
        <f t="shared" ca="1" si="10"/>
        <v>0.10224567603405436</v>
      </c>
      <c r="P39" s="15">
        <f t="shared" ca="1" si="10"/>
        <v>0.10983550168741571</v>
      </c>
      <c r="Q39" s="15">
        <f t="shared" ca="1" si="10"/>
        <v>0.1177952916221192</v>
      </c>
      <c r="R39" s="15">
        <f t="shared" ca="1" si="10"/>
        <v>0.12140310854285179</v>
      </c>
      <c r="S39" s="15">
        <f t="shared" ca="1" si="10"/>
        <v>0.12761627223846994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265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23.117978835115849</v>
      </c>
      <c r="K48">
        <f t="shared" ca="1" si="13"/>
        <v>35.44100949720584</v>
      </c>
      <c r="L48">
        <f t="shared" ca="1" si="13"/>
        <v>55.409028809966969</v>
      </c>
      <c r="M48">
        <f t="shared" ca="1" si="13"/>
        <v>63.56534425894813</v>
      </c>
      <c r="N48">
        <f t="shared" ca="1" si="13"/>
        <v>67.884303098109427</v>
      </c>
      <c r="O48">
        <f t="shared" ca="1" si="13"/>
        <v>71.333077854428154</v>
      </c>
      <c r="P48">
        <f t="shared" ca="1" si="13"/>
        <v>74.685559584323698</v>
      </c>
      <c r="Q48">
        <f t="shared" ca="1" si="13"/>
        <v>78.176758823562523</v>
      </c>
      <c r="R48">
        <f t="shared" ca="1" si="13"/>
        <v>80.541890085686532</v>
      </c>
      <c r="S48">
        <f t="shared" ca="1" si="13"/>
        <v>83.647461641678603</v>
      </c>
    </row>
    <row r="49" spans="2:20" x14ac:dyDescent="0.45">
      <c r="B49" t="s">
        <v>258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6.7042138621835958</v>
      </c>
      <c r="K49">
        <f t="shared" ca="1" si="14"/>
        <v>10.277892754189693</v>
      </c>
      <c r="L49">
        <f t="shared" ca="1" si="14"/>
        <v>16.068618354890418</v>
      </c>
      <c r="M49">
        <f t="shared" ca="1" si="14"/>
        <v>18.433949835094975</v>
      </c>
      <c r="N49">
        <f t="shared" ca="1" si="14"/>
        <v>19.686447898451501</v>
      </c>
      <c r="O49">
        <f t="shared" ca="1" si="14"/>
        <v>20.686592577786438</v>
      </c>
      <c r="P49">
        <f t="shared" ca="1" si="14"/>
        <v>21.658812279436379</v>
      </c>
      <c r="Q49">
        <f t="shared" ca="1" si="14"/>
        <v>22.671260058944235</v>
      </c>
      <c r="R49">
        <f t="shared" ca="1" si="14"/>
        <v>23.357148124243647</v>
      </c>
      <c r="S49">
        <f t="shared" ca="1" si="14"/>
        <v>24.257763878983731</v>
      </c>
    </row>
    <row r="50" spans="2:20" x14ac:dyDescent="0.45">
      <c r="B50" t="s">
        <v>232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34.6614577073859</v>
      </c>
      <c r="K50">
        <f t="shared" ca="1" si="15"/>
        <v>38.510698994386935</v>
      </c>
      <c r="L50">
        <f t="shared" ca="1" si="15"/>
        <v>43.212747176522342</v>
      </c>
      <c r="M50">
        <f t="shared" ca="1" si="15"/>
        <v>47.553075480322754</v>
      </c>
      <c r="N50">
        <f t="shared" ca="1" si="15"/>
        <v>51.872816717195768</v>
      </c>
      <c r="O50">
        <f t="shared" ca="1" si="15"/>
        <v>56.253530350372955</v>
      </c>
      <c r="P50">
        <f t="shared" ca="1" si="15"/>
        <v>60.793885460262992</v>
      </c>
      <c r="Q50">
        <f t="shared" ca="1" si="15"/>
        <v>65.548026020869557</v>
      </c>
      <c r="R50">
        <f t="shared" ca="1" si="15"/>
        <v>70.52674448792628</v>
      </c>
      <c r="S50">
        <f t="shared" ca="1" si="15"/>
        <v>75.729165124068984</v>
      </c>
    </row>
    <row r="51" spans="2:20" x14ac:dyDescent="0.45">
      <c r="B51" t="s">
        <v>259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262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260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10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263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264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261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126.07291720468535</v>
      </c>
      <c r="K56" s="43">
        <f t="shared" ca="1" si="21"/>
        <v>146.52661128347535</v>
      </c>
      <c r="L56" s="43">
        <f t="shared" ca="1" si="21"/>
        <v>167.17565895115214</v>
      </c>
      <c r="M56" s="43">
        <f t="shared" ca="1" si="21"/>
        <v>180.83162424218384</v>
      </c>
      <c r="N56" s="43">
        <f t="shared" ca="1" si="21"/>
        <v>191.46745664926127</v>
      </c>
      <c r="O56" s="43">
        <f t="shared" ca="1" si="21"/>
        <v>200.71409562366793</v>
      </c>
      <c r="P56" s="43">
        <f t="shared" ca="1" si="21"/>
        <v>209.87116148021073</v>
      </c>
      <c r="Q56" s="43">
        <f t="shared" ca="1" si="21"/>
        <v>219.35319990076465</v>
      </c>
      <c r="R56" s="43">
        <f t="shared" ca="1" si="21"/>
        <v>228.8449092869474</v>
      </c>
      <c r="S56" s="43">
        <f t="shared" ca="1" si="21"/>
        <v>239.64487102751121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0.23946029137596578</v>
      </c>
      <c r="K57" s="78">
        <f t="shared" ca="1" si="22"/>
        <v>0.25114343192525618</v>
      </c>
      <c r="L57" s="78">
        <f t="shared" ca="1" si="22"/>
        <v>0.25586462997254383</v>
      </c>
      <c r="M57" s="78">
        <f t="shared" ca="1" si="22"/>
        <v>0.25582422132035149</v>
      </c>
      <c r="N57" s="78">
        <f t="shared" ca="1" si="22"/>
        <v>0.254774559454788</v>
      </c>
      <c r="O57" s="78">
        <f t="shared" ca="1" si="22"/>
        <v>0.25378206736299547</v>
      </c>
      <c r="P57" s="78">
        <f t="shared" ca="1" si="22"/>
        <v>0.25288032394381699</v>
      </c>
      <c r="Q57" s="78">
        <f t="shared" ca="1" si="22"/>
        <v>0.25207088440089337</v>
      </c>
      <c r="R57" s="78">
        <f t="shared" ca="1" si="22"/>
        <v>0.25093330178340789</v>
      </c>
      <c r="S57" s="78">
        <f t="shared" ca="1" si="22"/>
        <v>0.25029693368027722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-29.267934709042315</v>
      </c>
      <c r="K59" s="7">
        <f t="shared" ref="K59:S59" ca="1" si="23">+K60*K56*-1</f>
        <v>-34.01627714554543</v>
      </c>
      <c r="L59" s="7">
        <f t="shared" ca="1" si="23"/>
        <v>-38.809971083477137</v>
      </c>
      <c r="M59" s="7">
        <f t="shared" ca="1" si="23"/>
        <v>-41.98021501364623</v>
      </c>
      <c r="N59" s="7">
        <f t="shared" ca="1" si="23"/>
        <v>-44.449332532052395</v>
      </c>
      <c r="O59" s="7">
        <f t="shared" ca="1" si="23"/>
        <v>-46.595947616255131</v>
      </c>
      <c r="P59" s="7">
        <f t="shared" ca="1" si="23"/>
        <v>-48.721768225137929</v>
      </c>
      <c r="Q59" s="7">
        <f t="shared" ca="1" si="23"/>
        <v>-50.923031490513445</v>
      </c>
      <c r="R59" s="7">
        <f t="shared" ca="1" si="23"/>
        <v>-53.126539878766053</v>
      </c>
      <c r="S59" s="7">
        <f t="shared" ca="1" si="23"/>
        <v>-55.63376016121407</v>
      </c>
    </row>
    <row r="60" spans="2:20" x14ac:dyDescent="0.45">
      <c r="B60" s="14" t="s">
        <v>274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299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96.804982495643031</v>
      </c>
      <c r="K62" s="85">
        <f t="shared" ca="1" si="25"/>
        <v>112.51033413792992</v>
      </c>
      <c r="L62" s="85">
        <f t="shared" ca="1" si="25"/>
        <v>128.36568786767501</v>
      </c>
      <c r="M62" s="85">
        <f t="shared" ca="1" si="25"/>
        <v>138.85140922853759</v>
      </c>
      <c r="N62" s="85">
        <f t="shared" ca="1" si="25"/>
        <v>147.01812411720886</v>
      </c>
      <c r="O62" s="85">
        <f t="shared" ca="1" si="25"/>
        <v>154.1181480074128</v>
      </c>
      <c r="P62" s="85">
        <f t="shared" ca="1" si="25"/>
        <v>161.14939325507279</v>
      </c>
      <c r="Q62" s="85">
        <f t="shared" ca="1" si="25"/>
        <v>168.43016841025121</v>
      </c>
      <c r="R62" s="85">
        <f t="shared" ca="1" si="25"/>
        <v>175.71836940818133</v>
      </c>
      <c r="S62" s="85">
        <f t="shared" ca="1" si="25"/>
        <v>184.01111086629714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0.18386938153748419</v>
      </c>
      <c r="K63" s="78">
        <f t="shared" ca="1" si="26"/>
        <v>0.1928402710944537</v>
      </c>
      <c r="L63" s="78">
        <f t="shared" ca="1" si="26"/>
        <v>0.19646543900886096</v>
      </c>
      <c r="M63" s="78">
        <f t="shared" ca="1" si="26"/>
        <v>0.19643441125956407</v>
      </c>
      <c r="N63" s="78">
        <f t="shared" ca="1" si="26"/>
        <v>0.19562842928678839</v>
      </c>
      <c r="O63" s="78">
        <f t="shared" ca="1" si="26"/>
        <v>0.19486634507629097</v>
      </c>
      <c r="P63" s="78">
        <f t="shared" ca="1" si="26"/>
        <v>0.19417394215705489</v>
      </c>
      <c r="Q63" s="78">
        <f t="shared" ca="1" si="26"/>
        <v>0.19355241469087608</v>
      </c>
      <c r="R63" s="78">
        <f t="shared" ca="1" si="26"/>
        <v>0.19267892284334279</v>
      </c>
      <c r="S63" s="78">
        <f t="shared" ca="1" si="26"/>
        <v>0.19219028813534811</v>
      </c>
    </row>
    <row r="64" spans="2:20" x14ac:dyDescent="0.45">
      <c r="B64" s="14"/>
    </row>
    <row r="65" spans="2:19" x14ac:dyDescent="0.45">
      <c r="B65" s="75" t="s">
        <v>267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268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269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266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106.07291720468535</v>
      </c>
      <c r="K68" s="43">
        <f t="shared" ca="1" si="30"/>
        <v>134.02661128347535</v>
      </c>
      <c r="L68" s="43">
        <f t="shared" ca="1" si="30"/>
        <v>154.67565895115214</v>
      </c>
      <c r="M68" s="43">
        <f t="shared" ca="1" si="30"/>
        <v>168.33162424218384</v>
      </c>
      <c r="N68" s="43">
        <f t="shared" ca="1" si="30"/>
        <v>178.96745664926127</v>
      </c>
      <c r="O68" s="43">
        <f t="shared" ca="1" si="30"/>
        <v>188.21409562366793</v>
      </c>
      <c r="P68" s="43">
        <f t="shared" ca="1" si="30"/>
        <v>197.37116148021073</v>
      </c>
      <c r="Q68" s="43">
        <f t="shared" ca="1" si="30"/>
        <v>206.85319990076465</v>
      </c>
      <c r="R68" s="43">
        <f t="shared" ca="1" si="30"/>
        <v>216.3449092869474</v>
      </c>
      <c r="S68" s="43">
        <f t="shared" ca="1" si="30"/>
        <v>227.14487102751121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0.20147270503540532</v>
      </c>
      <c r="K69" s="78">
        <f t="shared" ca="1" si="31"/>
        <v>0.22971870319122217</v>
      </c>
      <c r="L69" s="78">
        <f t="shared" ca="1" si="31"/>
        <v>0.23673320919799595</v>
      </c>
      <c r="M69" s="78">
        <f t="shared" ca="1" si="31"/>
        <v>0.23814035225206481</v>
      </c>
      <c r="N69" s="78">
        <f t="shared" ca="1" si="31"/>
        <v>0.23814153967733989</v>
      </c>
      <c r="O69" s="78">
        <f t="shared" ca="1" si="31"/>
        <v>0.23797711937376528</v>
      </c>
      <c r="P69" s="78">
        <f t="shared" ca="1" si="31"/>
        <v>0.23781868313998616</v>
      </c>
      <c r="Q69" s="78">
        <f t="shared" ca="1" si="31"/>
        <v>0.23770644359749216</v>
      </c>
      <c r="R69" s="78">
        <f t="shared" ca="1" si="31"/>
        <v>0.23722678638804223</v>
      </c>
      <c r="S69" s="78">
        <f t="shared" ca="1" si="31"/>
        <v>0.23724131660160297</v>
      </c>
    </row>
    <row r="70" spans="2:19" s="7" customFormat="1" x14ac:dyDescent="0.45"/>
    <row r="71" spans="2:19" s="7" customFormat="1" x14ac:dyDescent="0.45">
      <c r="B71" s="85" t="s">
        <v>273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81.447999466770057</v>
      </c>
      <c r="K71" s="85">
        <f t="shared" ca="1" si="32"/>
        <v>102.9122197448843</v>
      </c>
      <c r="L71" s="85">
        <f t="shared" ca="1" si="32"/>
        <v>118.76757347462939</v>
      </c>
      <c r="M71" s="85">
        <f t="shared" ca="1" si="32"/>
        <v>129.253294835492</v>
      </c>
      <c r="N71" s="85">
        <f t="shared" ca="1" si="32"/>
        <v>137.42000972416326</v>
      </c>
      <c r="O71" s="85">
        <f t="shared" ca="1" si="32"/>
        <v>144.52003361436718</v>
      </c>
      <c r="P71" s="85">
        <f t="shared" ca="1" si="32"/>
        <v>151.55127886202717</v>
      </c>
      <c r="Q71" s="85">
        <f t="shared" ca="1" si="32"/>
        <v>158.83205401720559</v>
      </c>
      <c r="R71" s="85">
        <f t="shared" ca="1" si="32"/>
        <v>166.12025501513571</v>
      </c>
      <c r="S71" s="85">
        <f t="shared" ca="1" si="32"/>
        <v>174.41299647325152</v>
      </c>
    </row>
    <row r="72" spans="2:19" s="1" customFormat="1" x14ac:dyDescent="0.45">
      <c r="B72" s="1" t="s">
        <v>348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0.15470064560049251</v>
      </c>
      <c r="K72" s="78">
        <f t="shared" ca="1" si="33"/>
        <v>0.17638931131611535</v>
      </c>
      <c r="L72" s="78">
        <f t="shared" ca="1" si="33"/>
        <v>0.18177539380121299</v>
      </c>
      <c r="M72" s="78">
        <f t="shared" ca="1" si="33"/>
        <v>0.18285586740123957</v>
      </c>
      <c r="N72" s="78">
        <f t="shared" ca="1" si="33"/>
        <v>0.18285677916472945</v>
      </c>
      <c r="O72" s="78">
        <f t="shared" ca="1" si="33"/>
        <v>0.18273052917414956</v>
      </c>
      <c r="P72" s="78">
        <f t="shared" ca="1" si="33"/>
        <v>0.18260887404648432</v>
      </c>
      <c r="Q72" s="78">
        <f t="shared" ca="1" si="33"/>
        <v>0.18252269100902191</v>
      </c>
      <c r="R72" s="78">
        <f t="shared" ca="1" si="33"/>
        <v>0.18215438662776195</v>
      </c>
      <c r="S72" s="78">
        <f t="shared" ca="1" si="33"/>
        <v>0.18216554363991486</v>
      </c>
    </row>
    <row r="74" spans="2:19" x14ac:dyDescent="0.45">
      <c r="B74" t="s">
        <v>328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327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324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1"/>
  <sheetViews>
    <sheetView showGridLines="0" tabSelected="1" zoomScale="85" zoomScaleNormal="85" zoomScaleSheetLayoutView="85" workbookViewId="0">
      <pane xSplit="4" ySplit="3" topLeftCell="E4" activePane="bottomRight" state="frozen"/>
      <selection activeCell="B6" sqref="B6"/>
      <selection pane="topRight" activeCell="B6" sqref="B6"/>
      <selection pane="bottomLeft" activeCell="B6" sqref="B6"/>
      <selection pane="bottomRight" activeCell="K29" sqref="K29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200.72024708955504</v>
      </c>
      <c r="L10" s="29">
        <f>+'FS Calcs'!L35</f>
        <v>230.37204654657003</v>
      </c>
      <c r="M10" s="29">
        <f>+'FS Calcs'!M35</f>
        <v>258.89098262670564</v>
      </c>
      <c r="N10" s="29">
        <f>+'FS Calcs'!N35</f>
        <v>285.37913147694724</v>
      </c>
      <c r="O10" s="29">
        <f>+'FS Calcs'!O35</f>
        <v>310.56191802534482</v>
      </c>
      <c r="P10" s="29">
        <f>+'FS Calcs'!P35</f>
        <v>334.58461953348291</v>
      </c>
      <c r="Q10" s="29">
        <f>+'FS Calcs'!Q35</f>
        <v>357.40745741889299</v>
      </c>
      <c r="R10" s="29">
        <f>+'FS Calcs'!R35</f>
        <v>378.96553476807412</v>
      </c>
      <c r="S10" s="29">
        <f>+'FS Calcs'!S35</f>
        <v>398.99204112576371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540.31197696579261</v>
      </c>
      <c r="L11" s="7">
        <f t="shared" ca="1" si="2"/>
        <v>604.38765995145059</v>
      </c>
      <c r="M11" s="7">
        <f t="shared" ca="1" si="2"/>
        <v>659.23167072062074</v>
      </c>
      <c r="N11" s="7">
        <f t="shared" ca="1" si="2"/>
        <v>707.70105418382536</v>
      </c>
      <c r="O11" s="7">
        <f t="shared" ca="1" si="2"/>
        <v>752.26429063648311</v>
      </c>
      <c r="P11" s="7">
        <f t="shared" ca="1" si="2"/>
        <v>795.49856909657819</v>
      </c>
      <c r="Q11" s="7">
        <f t="shared" ca="1" si="2"/>
        <v>838.14837972035286</v>
      </c>
      <c r="R11" s="7">
        <f t="shared" ca="1" si="2"/>
        <v>880.26635324281369</v>
      </c>
      <c r="S11" s="7">
        <f t="shared" ca="1" si="2"/>
        <v>922.67227446662628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1261.3460994436327</v>
      </c>
      <c r="L19" s="7">
        <f t="shared" ca="1" si="5"/>
        <v>1333.063269918041</v>
      </c>
      <c r="M19" s="7">
        <f t="shared" ca="1" si="5"/>
        <v>1396.9458362899672</v>
      </c>
      <c r="N19" s="7">
        <f t="shared" ca="1" si="5"/>
        <v>1454.6900836780633</v>
      </c>
      <c r="O19" s="7">
        <f t="shared" ca="1" si="5"/>
        <v>1509.3934861342848</v>
      </c>
      <c r="P19" s="7">
        <f t="shared" ca="1" si="5"/>
        <v>1564.565289686549</v>
      </c>
      <c r="Q19" s="7">
        <f t="shared" ca="1" si="5"/>
        <v>1621.3528627506673</v>
      </c>
      <c r="R19" s="7">
        <f t="shared" ca="1" si="5"/>
        <v>1678.6929278906746</v>
      </c>
      <c r="S19" s="7">
        <f t="shared" ca="1" si="5"/>
        <v>1737.8482341266463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40.509</v>
      </c>
      <c r="S21" s="29">
        <f ca="1">+'Debt Calcs'!S7</f>
        <v>40.509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90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376.92650066401546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558.16160562211405</v>
      </c>
      <c r="S27" s="7">
        <f t="shared" ca="1" si="6"/>
        <v>579.70137648266518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508.43978419235367</v>
      </c>
      <c r="K29" s="29">
        <f ca="1">+'Debt Calcs'!K13</f>
        <v>598.48039417860844</v>
      </c>
      <c r="L29" s="29">
        <f ca="1">+'Debt Calcs'!L13</f>
        <v>676.37007641147522</v>
      </c>
      <c r="M29" s="29">
        <f ca="1">+'Debt Calcs'!M13</f>
        <v>753.49211931433535</v>
      </c>
      <c r="N29" s="29">
        <f ca="1">+'Debt Calcs'!N13</f>
        <v>830.64654915697054</v>
      </c>
      <c r="O29" s="29">
        <f ca="1">+'Debt Calcs'!O13</f>
        <v>909.94617764178361</v>
      </c>
      <c r="P29" s="29">
        <f ca="1">+'Debt Calcs'!P13</f>
        <v>992.8020887983331</v>
      </c>
      <c r="Q29" s="29">
        <f ca="1">+'Debt Calcs'!Q13</f>
        <v>1079.736911933325</v>
      </c>
      <c r="R29" s="29">
        <f ca="1">+'Debt Calcs'!R13</f>
        <v>1170.6134627100332</v>
      </c>
      <c r="S29" s="29">
        <f ca="1">+'Debt Calcs'!S13</f>
        <v>1265.5376485070924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952.60428485636908</v>
      </c>
      <c r="K33" s="7">
        <f t="shared" ca="1" si="9"/>
        <v>1066.7863580294572</v>
      </c>
      <c r="L33" s="7">
        <f t="shared" ca="1" si="9"/>
        <v>1178.0420048973112</v>
      </c>
      <c r="M33" s="7">
        <f t="shared" ca="1" si="9"/>
        <v>1280.7257147911455</v>
      </c>
      <c r="N33" s="7">
        <f t="shared" ca="1" si="9"/>
        <v>1379.2519754115535</v>
      </c>
      <c r="O33" s="7">
        <f t="shared" ca="1" si="9"/>
        <v>1477.4116156902865</v>
      </c>
      <c r="P33" s="7">
        <f t="shared" ca="1" si="9"/>
        <v>1578.956734004076</v>
      </c>
      <c r="Q33" s="7">
        <f t="shared" ca="1" si="9"/>
        <v>1685.1651344464203</v>
      </c>
      <c r="R33" s="7">
        <f t="shared" ca="1" si="9"/>
        <v>1796.0130683321472</v>
      </c>
      <c r="S33" s="7">
        <f t="shared" ca="1" si="9"/>
        <v>1912.4770249897576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68.942507452932233</v>
      </c>
      <c r="K35" s="29">
        <f ca="1">+'FS Calcs'!K78</f>
        <v>66.399388950348367</v>
      </c>
      <c r="L35" s="29">
        <f ca="1">+'FS Calcs'!L78</f>
        <v>77.202377102456921</v>
      </c>
      <c r="M35" s="29">
        <f ca="1">+'FS Calcs'!M78</f>
        <v>92.940226554252718</v>
      </c>
      <c r="N35" s="29">
        <f ca="1">+'FS Calcs'!N78</f>
        <v>110.86273043269661</v>
      </c>
      <c r="O35" s="29">
        <f ca="1">+'FS Calcs'!O78</f>
        <v>130.32560384843217</v>
      </c>
      <c r="P35" s="29">
        <f ca="1">+'FS Calcs'!P78</f>
        <v>151.23323093706165</v>
      </c>
      <c r="Q35" s="29">
        <f ca="1">+'FS Calcs'!Q78</f>
        <v>173.65603587559292</v>
      </c>
      <c r="R35" s="29">
        <f ca="1">+'FS Calcs'!R78</f>
        <v>196.76560321622532</v>
      </c>
      <c r="S35" s="29">
        <f ca="1">+'FS Calcs'!S78</f>
        <v>221.05787101406756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297.53558497293227</v>
      </c>
      <c r="K37" s="7">
        <f t="shared" ca="1" si="10"/>
        <v>287.73189811594841</v>
      </c>
      <c r="L37" s="7">
        <f t="shared" ca="1" si="10"/>
        <v>291.40616889902492</v>
      </c>
      <c r="M37" s="7">
        <f t="shared" ca="1" si="10"/>
        <v>300.15810085743777</v>
      </c>
      <c r="N37" s="7">
        <f t="shared" ca="1" si="10"/>
        <v>311.24890434235164</v>
      </c>
      <c r="O37" s="7">
        <f t="shared" ca="1" si="10"/>
        <v>324.04619686989872</v>
      </c>
      <c r="P37" s="7">
        <f t="shared" ca="1" si="10"/>
        <v>338.46676757118456</v>
      </c>
      <c r="Q37" s="7">
        <f t="shared" ca="1" si="10"/>
        <v>354.59396619679211</v>
      </c>
      <c r="R37" s="7">
        <f t="shared" ca="1" si="10"/>
        <v>371.61284203647415</v>
      </c>
      <c r="S37" s="7">
        <f t="shared" ca="1" si="10"/>
        <v>390.03335624972578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0</v>
      </c>
      <c r="K39" t="b">
        <f t="shared" ca="1" si="11"/>
        <v>0</v>
      </c>
      <c r="L39" t="b">
        <f t="shared" ca="1" si="11"/>
        <v>0</v>
      </c>
      <c r="M39" t="b">
        <f t="shared" ca="1" si="11"/>
        <v>0</v>
      </c>
      <c r="N39" t="b">
        <f t="shared" ca="1" si="11"/>
        <v>0</v>
      </c>
      <c r="O39" t="b">
        <f t="shared" ca="1" si="11"/>
        <v>0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323.44849679757692</v>
      </c>
      <c r="L42" s="7">
        <f t="shared" si="13"/>
        <v>365.8493193875878</v>
      </c>
      <c r="M42" s="7">
        <f t="shared" si="13"/>
        <v>404.07223467456873</v>
      </c>
      <c r="N42" s="7">
        <f t="shared" si="13"/>
        <v>438.63509571068994</v>
      </c>
      <c r="O42" s="7">
        <f t="shared" si="13"/>
        <v>470.92034531287982</v>
      </c>
      <c r="P42" s="7">
        <f t="shared" si="13"/>
        <v>501.99008860867087</v>
      </c>
      <c r="Q42" s="7">
        <f t="shared" si="13"/>
        <v>532.09999579550083</v>
      </c>
      <c r="R42" s="7">
        <f t="shared" si="13"/>
        <v>561.22917691843725</v>
      </c>
      <c r="S42" s="7">
        <f t="shared" si="13"/>
        <v>589.69586636084068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638.94878419235363</v>
      </c>
      <c r="K47" s="7">
        <f t="shared" ca="1" si="16"/>
        <v>728.98939417860845</v>
      </c>
      <c r="L47" s="7">
        <f t="shared" ca="1" si="16"/>
        <v>806.87907641147524</v>
      </c>
      <c r="M47" s="7">
        <f t="shared" ca="1" si="16"/>
        <v>884.00111931433537</v>
      </c>
      <c r="N47" s="7">
        <f t="shared" ca="1" si="16"/>
        <v>961.15554915697055</v>
      </c>
      <c r="O47" s="7">
        <f t="shared" ca="1" si="16"/>
        <v>1040.4551776417836</v>
      </c>
      <c r="P47" s="7">
        <f t="shared" ca="1" si="16"/>
        <v>1123.311088798333</v>
      </c>
      <c r="Q47" s="7">
        <f t="shared" ca="1" si="16"/>
        <v>1210.245911933325</v>
      </c>
      <c r="R47" s="7">
        <f t="shared" ca="1" si="16"/>
        <v>1301.1224627100332</v>
      </c>
      <c r="S47" s="7">
        <f t="shared" ca="1" si="16"/>
        <v>1396.0466485070924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675.18778419235366</v>
      </c>
      <c r="K48" s="7">
        <f t="shared" ca="1" si="17"/>
        <v>765.22839417860848</v>
      </c>
      <c r="L48" s="7">
        <f t="shared" ca="1" si="17"/>
        <v>843.11807641147527</v>
      </c>
      <c r="M48" s="7">
        <f t="shared" ca="1" si="17"/>
        <v>920.2401193143354</v>
      </c>
      <c r="N48" s="7">
        <f t="shared" ca="1" si="17"/>
        <v>997.39454915697058</v>
      </c>
      <c r="O48" s="7">
        <f t="shared" ca="1" si="17"/>
        <v>1076.6941776417837</v>
      </c>
      <c r="P48" s="7">
        <f t="shared" ca="1" si="17"/>
        <v>1159.550088798333</v>
      </c>
      <c r="Q48" s="7">
        <f t="shared" ca="1" si="17"/>
        <v>1246.4849119333251</v>
      </c>
      <c r="R48" s="7">
        <f t="shared" ca="1" si="17"/>
        <v>1337.3614627100333</v>
      </c>
      <c r="S48" s="7">
        <f t="shared" ca="1" si="17"/>
        <v>1432.2856485070924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640.18778419235366</v>
      </c>
      <c r="K50" s="7">
        <f t="shared" ca="1" si="18"/>
        <v>730.22839417860848</v>
      </c>
      <c r="L50" s="7">
        <f t="shared" ca="1" si="18"/>
        <v>808.11807641147527</v>
      </c>
      <c r="M50" s="7">
        <f t="shared" ca="1" si="18"/>
        <v>885.2401193143354</v>
      </c>
      <c r="N50" s="7">
        <f t="shared" ca="1" si="18"/>
        <v>962.39454915697058</v>
      </c>
      <c r="O50" s="7">
        <f t="shared" ca="1" si="18"/>
        <v>1041.6941776417837</v>
      </c>
      <c r="P50" s="7">
        <f t="shared" ca="1" si="18"/>
        <v>1124.550088798333</v>
      </c>
      <c r="Q50" s="7">
        <f t="shared" ca="1" si="18"/>
        <v>1211.4849119333251</v>
      </c>
      <c r="R50" s="7">
        <f t="shared" ca="1" si="18"/>
        <v>1302.3614627100333</v>
      </c>
      <c r="S50" s="7">
        <f t="shared" ca="1" si="18"/>
        <v>1397.2856485070924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257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5.0779167991566219</v>
      </c>
      <c r="K52" s="74">
        <f ca="1">+K50/'P&amp;L'!K56</f>
        <v>4.9835889043109303</v>
      </c>
      <c r="L52" s="74">
        <f ca="1">+L50/'P&amp;L'!L56</f>
        <v>4.8339458117380785</v>
      </c>
      <c r="M52" s="74">
        <f ca="1">+M50/'P&amp;L'!M56</f>
        <v>4.8953833325566602</v>
      </c>
      <c r="N52" s="74">
        <f ca="1">+N50/'P&amp;L'!N56</f>
        <v>5.0264131879075649</v>
      </c>
      <c r="O52" s="74">
        <f ca="1">+O50/'P&amp;L'!O56</f>
        <v>5.1899403198615452</v>
      </c>
      <c r="P52" s="74">
        <f ca="1">+P50/'P&amp;L'!P56</f>
        <v>5.3582878222365578</v>
      </c>
      <c r="Q52" s="74">
        <f ca="1">+Q50/'P&amp;L'!Q56</f>
        <v>5.5229871845186604</v>
      </c>
      <c r="R52" s="74">
        <f ca="1">+R50/'P&amp;L'!R56</f>
        <v>5.6910222156940105</v>
      </c>
      <c r="S52" s="74">
        <f ca="1">+S50/'P&amp;L'!S56</f>
        <v>5.8306511738023055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363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16.413764972932253</v>
      </c>
      <c r="K56" s="29">
        <f ca="1">+'P&amp;L'!K34</f>
        <v>25.163116743016147</v>
      </c>
      <c r="L56" s="29">
        <f ca="1">+'P&amp;L'!L34</f>
        <v>39.340410455076551</v>
      </c>
      <c r="M56" s="29">
        <f ca="1">+'P&amp;L'!M34</f>
        <v>45.131394423853273</v>
      </c>
      <c r="N56" s="29">
        <f ca="1">+'P&amp;L'!N34</f>
        <v>48.197855199656395</v>
      </c>
      <c r="O56" s="29">
        <f ca="1">+'P&amp;L'!O34</f>
        <v>50.646485276656563</v>
      </c>
      <c r="P56" s="29">
        <f ca="1">+'P&amp;L'!P34</f>
        <v>53.026747304775128</v>
      </c>
      <c r="Q56" s="29">
        <f ca="1">+'P&amp;L'!Q34</f>
        <v>55.5054987653197</v>
      </c>
      <c r="R56" s="29">
        <f ca="1">+'P&amp;L'!R34</f>
        <v>57.184741957679677</v>
      </c>
      <c r="S56" s="29">
        <f ca="1">+'P&amp;L'!S34</f>
        <v>59.389697780430915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-10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207</v>
      </c>
      <c r="I63">
        <f>+I64-SUM(I56:I62)</f>
        <v>14.945999999999952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19" x14ac:dyDescent="0.45">
      <c r="B64" s="43" t="s">
        <v>138</v>
      </c>
      <c r="C64" s="43"/>
      <c r="D64" s="43"/>
      <c r="E64" s="43"/>
      <c r="F64" s="43"/>
      <c r="G64" s="43"/>
      <c r="H64" s="43"/>
      <c r="I64" s="68">
        <f>+I100</f>
        <v>33.100000000000009</v>
      </c>
      <c r="J64" s="67">
        <f t="shared" ref="J64:S64" ca="1" si="24">SUM(J56:J63)</f>
        <v>31.512681415032205</v>
      </c>
      <c r="K64" s="67">
        <f t="shared" ca="1" si="24"/>
        <v>15.525980341032152</v>
      </c>
      <c r="L64" s="67">
        <f t="shared" ca="1" si="24"/>
        <v>36.924852474838076</v>
      </c>
      <c r="M64" s="67">
        <f t="shared" ca="1" si="24"/>
        <v>45.687733804690268</v>
      </c>
      <c r="N64" s="67">
        <f t="shared" ca="1" si="24"/>
        <v>53.158883099039727</v>
      </c>
      <c r="O64" s="67">
        <f t="shared" ca="1" si="24"/>
        <v>58.302130515547049</v>
      </c>
      <c r="P64" s="67">
        <f t="shared" ca="1" si="24"/>
        <v>62.189908165171715</v>
      </c>
      <c r="Q64" s="67">
        <f t="shared" ca="1" si="24"/>
        <v>65.852746575878058</v>
      </c>
      <c r="R64" s="67">
        <f t="shared" ca="1" si="24"/>
        <v>69.974687423834226</v>
      </c>
      <c r="S64" s="67">
        <f t="shared" ca="1" si="24"/>
        <v>74.433488720807432</v>
      </c>
    </row>
    <row r="65" spans="2:19" x14ac:dyDescent="0.45">
      <c r="J65" s="29"/>
    </row>
    <row r="66" spans="2:19" x14ac:dyDescent="0.45">
      <c r="B66" t="s">
        <v>256</v>
      </c>
      <c r="I66" s="29">
        <f>+('FS Calcs'!I52*-1)+'Debt Calcs'!I62</f>
        <v>-2.9949999999999997</v>
      </c>
      <c r="J66" s="29">
        <f>+('FS Calcs'!J52*-1)+'Debt Calcs'!J62</f>
        <v>-5.5843166999999987</v>
      </c>
      <c r="K66" s="29">
        <f>+('FS Calcs'!K52*-1)+'Debt Calcs'!K62</f>
        <v>-6.4385693816999989</v>
      </c>
      <c r="L66" s="29">
        <f>+('FS Calcs'!L52*-1)+'Debt Calcs'!L62</f>
        <v>-7.4876312343225013</v>
      </c>
      <c r="M66" s="29">
        <f>+('FS Calcs'!M52*-1)+'Debt Calcs'!M62</f>
        <v>-8.2898832986697837</v>
      </c>
      <c r="N66" s="29">
        <f>+('FS Calcs'!N52*-1)+'Debt Calcs'!N62</f>
        <v>-8.9597575935562865</v>
      </c>
      <c r="O66" s="29">
        <f>+('FS Calcs'!O52*-1)+'Debt Calcs'!O62</f>
        <v>-9.5503734275978935</v>
      </c>
      <c r="P66" s="29">
        <f>+('FS Calcs'!P52*-1)+'Debt Calcs'!P62</f>
        <v>-10.135842887841974</v>
      </c>
      <c r="Q66" s="29">
        <f>+('FS Calcs'!Q52*-1)+'Debt Calcs'!Q62</f>
        <v>-10.740066427452135</v>
      </c>
      <c r="R66" s="29">
        <f>+('FS Calcs'!R52*-1)+'Debt Calcs'!R62</f>
        <v>-11.366625681038979</v>
      </c>
      <c r="S66" s="29">
        <f>+('FS Calcs'!S52*-1)+'Debt Calcs'!S62</f>
        <v>-12.048634449762814</v>
      </c>
    </row>
    <row r="67" spans="2:19" x14ac:dyDescent="0.45">
      <c r="B67" t="s">
        <v>205</v>
      </c>
      <c r="I67" s="29">
        <f>+'FS Calcs'!I63*-1</f>
        <v>-14.308999999999999</v>
      </c>
      <c r="J67" s="29">
        <f>+'FS Calcs'!J63*-1</f>
        <v>-10.5297556</v>
      </c>
      <c r="K67" s="29">
        <f>+'FS Calcs'!K63*-1</f>
        <v>-11.6687591756</v>
      </c>
      <c r="L67" s="29">
        <f>+'FS Calcs'!L63*-1</f>
        <v>-13.067508312430002</v>
      </c>
      <c r="M67" s="29">
        <f>+'FS Calcs'!M63*-1</f>
        <v>-14.137177731559714</v>
      </c>
      <c r="N67" s="29">
        <f>+'FS Calcs'!N63*-1</f>
        <v>-15.03034345807505</v>
      </c>
      <c r="O67" s="29">
        <f>+'FS Calcs'!O63*-1</f>
        <v>-15.817831236797192</v>
      </c>
      <c r="P67" s="29">
        <f>+'FS Calcs'!P63*-1</f>
        <v>-16.5984571837893</v>
      </c>
      <c r="Q67" s="29">
        <f>+'FS Calcs'!Q63*-1</f>
        <v>-17.404088569936182</v>
      </c>
      <c r="R67" s="29">
        <f>+'FS Calcs'!R63*-1</f>
        <v>-18.239500908051973</v>
      </c>
      <c r="S67" s="29">
        <f>+'FS Calcs'!S63*-1</f>
        <v>-19.148845933017089</v>
      </c>
    </row>
    <row r="68" spans="2:19" x14ac:dyDescent="0.45">
      <c r="B68" t="s">
        <v>206</v>
      </c>
      <c r="I68" s="29">
        <f>+'FS Calcs'!I42*-1</f>
        <v>-1</v>
      </c>
      <c r="J68" s="29">
        <f>+'FS Calcs'!J42*-1</f>
        <v>-10.5297556</v>
      </c>
      <c r="K68" s="29">
        <f>+'FS Calcs'!K42*-1</f>
        <v>-11.6687591756</v>
      </c>
      <c r="L68" s="29">
        <f>+'FS Calcs'!L42*-1</f>
        <v>-13.067508312430002</v>
      </c>
      <c r="M68" s="29">
        <f>+'FS Calcs'!M42*-1</f>
        <v>-14.137177731559714</v>
      </c>
      <c r="N68" s="29">
        <f>+'FS Calcs'!N42*-1</f>
        <v>-15.03034345807505</v>
      </c>
      <c r="O68" s="29">
        <f>+'FS Calcs'!O42*-1</f>
        <v>-15.817831236797192</v>
      </c>
      <c r="P68" s="29">
        <f>+'FS Calcs'!P42*-1</f>
        <v>-16.5984571837893</v>
      </c>
      <c r="Q68" s="29">
        <f>+'FS Calcs'!Q42*-1</f>
        <v>-17.404088569936182</v>
      </c>
      <c r="R68" s="29">
        <f>+'FS Calcs'!R42*-1</f>
        <v>-18.239500908051973</v>
      </c>
      <c r="S68" s="29">
        <f>+'FS Calcs'!S42*-1</f>
        <v>-19.148845933017089</v>
      </c>
    </row>
    <row r="69" spans="2:19" x14ac:dyDescent="0.45">
      <c r="B69" t="s">
        <v>207</v>
      </c>
      <c r="I69">
        <f>+I70-SUM(I66:I68)</f>
        <v>7.4649999999999999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2:19" s="7" customFormat="1" x14ac:dyDescent="0.45">
      <c r="B70" s="43" t="s">
        <v>195</v>
      </c>
      <c r="C70" s="43"/>
      <c r="D70" s="43"/>
      <c r="E70" s="43"/>
      <c r="F70" s="43"/>
      <c r="G70" s="43"/>
      <c r="H70" s="43"/>
      <c r="I70" s="68">
        <f>+I105</f>
        <v>-10.838999999999999</v>
      </c>
      <c r="J70" s="67">
        <f>SUM(J67:J69)</f>
        <v>-21.059511199999999</v>
      </c>
      <c r="K70" s="67">
        <f t="shared" ref="K70:S70" si="25">SUM(K67:K69)</f>
        <v>-23.3375183512</v>
      </c>
      <c r="L70" s="67">
        <f t="shared" si="25"/>
        <v>-26.135016624860004</v>
      </c>
      <c r="M70" s="67">
        <f t="shared" si="25"/>
        <v>-28.274355463119427</v>
      </c>
      <c r="N70" s="67">
        <f t="shared" si="25"/>
        <v>-30.0606869161501</v>
      </c>
      <c r="O70" s="67">
        <f t="shared" si="25"/>
        <v>-31.635662473594383</v>
      </c>
      <c r="P70" s="67">
        <f t="shared" si="25"/>
        <v>-33.1969143675786</v>
      </c>
      <c r="Q70" s="67">
        <f t="shared" si="25"/>
        <v>-34.808177139872363</v>
      </c>
      <c r="R70" s="67">
        <f t="shared" si="25"/>
        <v>-36.479001816103946</v>
      </c>
      <c r="S70" s="67">
        <f t="shared" si="25"/>
        <v>-38.297691866034178</v>
      </c>
    </row>
    <row r="71" spans="2:19" s="7" customFormat="1" x14ac:dyDescent="0.45">
      <c r="I71" s="54"/>
      <c r="J71" s="69"/>
      <c r="K71" s="69"/>
      <c r="L71" s="69"/>
      <c r="M71" s="69"/>
      <c r="N71" s="69"/>
      <c r="O71" s="69"/>
      <c r="P71" s="69"/>
      <c r="Q71" s="69"/>
      <c r="R71" s="69"/>
      <c r="S71" s="69"/>
    </row>
    <row r="72" spans="2:19" s="7" customFormat="1" x14ac:dyDescent="0.45">
      <c r="B72" t="s">
        <v>212</v>
      </c>
      <c r="I72" s="54">
        <f>+I111+I112+I116</f>
        <v>24.298999999999999</v>
      </c>
      <c r="J72" s="29">
        <f ca="1">+'Debt Calcs'!J39+'Debt Calcs'!J45+'Debt Calcs'!J51+'Debt Calcs'!J56</f>
        <v>41.487784192353686</v>
      </c>
      <c r="K72" s="29">
        <f ca="1">+'Debt Calcs'!K39+'Debt Calcs'!K45+'Debt Calcs'!K51+'Debt Calcs'!K56</f>
        <v>90.040609986254779</v>
      </c>
      <c r="L72" s="29">
        <f ca="1">+'Debt Calcs'!L39+'Debt Calcs'!L45+'Debt Calcs'!L51+'Debt Calcs'!L56</f>
        <v>77.889682232866747</v>
      </c>
      <c r="M72" s="29">
        <f ca="1">+'Debt Calcs'!M39+'Debt Calcs'!M45+'Debt Calcs'!M51+'Debt Calcs'!M56</f>
        <v>77.122042902862219</v>
      </c>
      <c r="N72" s="29">
        <f ca="1">+'Debt Calcs'!N39+'Debt Calcs'!N45+'Debt Calcs'!N51+'Debt Calcs'!N56</f>
        <v>77.154429842604628</v>
      </c>
      <c r="O72" s="29">
        <f ca="1">+'Debt Calcs'!O39+'Debt Calcs'!O45+'Debt Calcs'!O51+'Debt Calcs'!O56</f>
        <v>79.299628485123819</v>
      </c>
      <c r="P72" s="29">
        <f ca="1">+'Debt Calcs'!P39+'Debt Calcs'!P45+'Debt Calcs'!P51+'Debt Calcs'!P56</f>
        <v>82.855911154086016</v>
      </c>
      <c r="Q72" s="29">
        <f ca="1">+'Debt Calcs'!Q39+'Debt Calcs'!Q45+'Debt Calcs'!Q51+'Debt Calcs'!Q56</f>
        <v>86.934823151138474</v>
      </c>
      <c r="R72" s="29">
        <f ca="1">+'Debt Calcs'!R39+'Debt Calcs'!R45+'Debt Calcs'!R51+'Debt Calcs'!R56</f>
        <v>90.876550685999277</v>
      </c>
      <c r="S72" s="29">
        <f ca="1">+'Debt Calcs'!S39+'Debt Calcs'!S45+'Debt Calcs'!S51+'Debt Calcs'!S56</f>
        <v>94.924186244534511</v>
      </c>
    </row>
    <row r="73" spans="2:19" s="7" customFormat="1" x14ac:dyDescent="0.45">
      <c r="B73" t="s">
        <v>214</v>
      </c>
      <c r="I73" s="29">
        <f>+'Debt Calcs'!I63</f>
        <v>-9.4949999999999992</v>
      </c>
      <c r="J73" s="29">
        <f>+'Debt Calcs'!J63</f>
        <v>-2.3130000000000002</v>
      </c>
      <c r="K73" s="29">
        <f>+'Debt Calcs'!K63</f>
        <v>-2.3130000000000002</v>
      </c>
      <c r="L73" s="29">
        <f>+'Debt Calcs'!L63</f>
        <v>-2.3130000000000002</v>
      </c>
      <c r="M73" s="29">
        <f>+'Debt Calcs'!M63</f>
        <v>-2.3130000000000002</v>
      </c>
      <c r="N73" s="29">
        <f>+'Debt Calcs'!N63</f>
        <v>-2.3130000000000002</v>
      </c>
      <c r="O73" s="29">
        <f>+'Debt Calcs'!O63</f>
        <v>-2.3130000000000002</v>
      </c>
      <c r="P73" s="29">
        <f>+'Debt Calcs'!P63</f>
        <v>-2.3130000000000002</v>
      </c>
      <c r="Q73" s="29">
        <f>+'Debt Calcs'!Q63</f>
        <v>-2.3130000000000002</v>
      </c>
      <c r="R73" s="29">
        <f>+'Debt Calcs'!R63</f>
        <v>-2.3130000000000002</v>
      </c>
      <c r="S73" s="29">
        <f>+'Debt Calcs'!S63</f>
        <v>-2.3130000000000002</v>
      </c>
    </row>
    <row r="74" spans="2:19" s="7" customFormat="1" x14ac:dyDescent="0.45">
      <c r="B74" t="s">
        <v>151</v>
      </c>
      <c r="I74" s="29">
        <f>+'P&amp;L'!I44</f>
        <v>0</v>
      </c>
      <c r="J74" s="29">
        <f>+'P&amp;L'!J44</f>
        <v>0</v>
      </c>
      <c r="K74" s="29">
        <f>+'P&amp;L'!K44</f>
        <v>0</v>
      </c>
      <c r="L74" s="29">
        <f>+'P&amp;L'!L44</f>
        <v>0</v>
      </c>
      <c r="M74" s="29">
        <f>+'P&amp;L'!M44</f>
        <v>0</v>
      </c>
      <c r="N74" s="29">
        <f>+'P&amp;L'!N44</f>
        <v>0</v>
      </c>
      <c r="O74" s="29">
        <f>+'P&amp;L'!O44</f>
        <v>0</v>
      </c>
      <c r="P74" s="29">
        <f>+'P&amp;L'!P44</f>
        <v>0</v>
      </c>
      <c r="Q74" s="29">
        <f>+'P&amp;L'!Q44</f>
        <v>0</v>
      </c>
      <c r="R74" s="29">
        <f>+'P&amp;L'!R44</f>
        <v>0</v>
      </c>
      <c r="S74" s="29">
        <f>+'P&amp;L'!S44</f>
        <v>0</v>
      </c>
    </row>
    <row r="75" spans="2:19" s="7" customFormat="1" x14ac:dyDescent="0.45">
      <c r="B75" t="s">
        <v>213</v>
      </c>
      <c r="I75" s="29">
        <f>+'P&amp;L'!I45</f>
        <v>-33.609000000000002</v>
      </c>
      <c r="J75" s="29">
        <f>+'P&amp;L'!J45</f>
        <v>-34.281179999999999</v>
      </c>
      <c r="K75" s="29">
        <f>+'P&amp;L'!K45</f>
        <v>-34.966803599999999</v>
      </c>
      <c r="L75" s="29">
        <f>+'P&amp;L'!L45</f>
        <v>-35.666139672</v>
      </c>
      <c r="M75" s="29">
        <f>+'P&amp;L'!M45</f>
        <v>-36.37946246544</v>
      </c>
      <c r="N75" s="29">
        <f>+'P&amp;L'!N45</f>
        <v>-37.107051714748799</v>
      </c>
      <c r="O75" s="29">
        <f>+'P&amp;L'!O45</f>
        <v>-37.849192749043773</v>
      </c>
      <c r="P75" s="29">
        <f>+'P&amp;L'!P45</f>
        <v>-38.606176604024647</v>
      </c>
      <c r="Q75" s="29">
        <f>+'P&amp;L'!Q45</f>
        <v>-39.378300136105139</v>
      </c>
      <c r="R75" s="29">
        <f>+'P&amp;L'!R45</f>
        <v>-40.165866138827241</v>
      </c>
      <c r="S75" s="29">
        <f>+'P&amp;L'!S45</f>
        <v>-40.969183461603784</v>
      </c>
    </row>
    <row r="76" spans="2:19" s="7" customFormat="1" x14ac:dyDescent="0.45">
      <c r="B76" t="s">
        <v>216</v>
      </c>
      <c r="I76" s="29">
        <f>+'P&amp;L'!I22</f>
        <v>-30.486000000000001</v>
      </c>
      <c r="J76" s="29">
        <f ca="1">+'P&amp;L'!J22</f>
        <v>-34.6614577073859</v>
      </c>
      <c r="K76" s="29">
        <f ca="1">+'P&amp;L'!K22</f>
        <v>-38.510698994386935</v>
      </c>
      <c r="L76" s="29">
        <f ca="1">+'P&amp;L'!L22</f>
        <v>-43.212747176522342</v>
      </c>
      <c r="M76" s="29">
        <f ca="1">+'P&amp;L'!M22</f>
        <v>-47.553075480322697</v>
      </c>
      <c r="N76" s="29">
        <f ca="1">+'P&amp;L'!N22</f>
        <v>-51.872816717196564</v>
      </c>
      <c r="O76" s="29">
        <f ca="1">+'P&amp;L'!O22</f>
        <v>-56.253530350365111</v>
      </c>
      <c r="P76" s="29">
        <f ca="1">+'P&amp;L'!P22</f>
        <v>-60.793885460323274</v>
      </c>
      <c r="Q76" s="29">
        <f ca="1">+'P&amp;L'!Q22</f>
        <v>-65.548026020486432</v>
      </c>
      <c r="R76" s="29">
        <f ca="1">+'P&amp;L'!R22</f>
        <v>-70.526744490014025</v>
      </c>
      <c r="S76" s="29">
        <f ca="1">+'P&amp;L'!S22</f>
        <v>-75.729165114079521</v>
      </c>
    </row>
    <row r="77" spans="2:19" s="7" customFormat="1" x14ac:dyDescent="0.45">
      <c r="B77" t="s">
        <v>207</v>
      </c>
      <c r="I77" s="51">
        <f>+I78-SUM(I72:I76)</f>
        <v>3.1599999999999895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spans="2:19" s="7" customFormat="1" x14ac:dyDescent="0.45">
      <c r="B78" s="43" t="s">
        <v>194</v>
      </c>
      <c r="C78" s="43"/>
      <c r="D78" s="43"/>
      <c r="E78" s="43"/>
      <c r="F78" s="43"/>
      <c r="G78" s="43"/>
      <c r="H78" s="43"/>
      <c r="I78" s="68">
        <f>+I117</f>
        <v>-46.131000000000007</v>
      </c>
      <c r="J78" s="67">
        <f ca="1">+SUM(J72:J77)</f>
        <v>-29.767853515032215</v>
      </c>
      <c r="K78" s="67">
        <f t="shared" ref="K78:S78" ca="1" si="26">+SUM(K72:K77)</f>
        <v>14.250107391867843</v>
      </c>
      <c r="L78" s="67">
        <f t="shared" ca="1" si="26"/>
        <v>-3.3022046156555973</v>
      </c>
      <c r="M78" s="67">
        <f t="shared" ca="1" si="26"/>
        <v>-9.1234950429004797</v>
      </c>
      <c r="N78" s="67">
        <f t="shared" ca="1" si="26"/>
        <v>-14.138438589340737</v>
      </c>
      <c r="O78" s="67">
        <f t="shared" ca="1" si="26"/>
        <v>-17.116094614285068</v>
      </c>
      <c r="P78" s="67">
        <f t="shared" ca="1" si="26"/>
        <v>-18.857150910261907</v>
      </c>
      <c r="Q78" s="67">
        <f t="shared" ca="1" si="26"/>
        <v>-20.3045030054531</v>
      </c>
      <c r="R78" s="67">
        <f t="shared" ca="1" si="26"/>
        <v>-22.129059942841991</v>
      </c>
      <c r="S78" s="67">
        <f t="shared" ca="1" si="26"/>
        <v>-24.087162331148797</v>
      </c>
    </row>
    <row r="79" spans="2:19" s="7" customFormat="1" x14ac:dyDescent="0.45">
      <c r="I79" s="54"/>
      <c r="J79" s="69"/>
      <c r="K79" s="69"/>
      <c r="L79" s="69"/>
      <c r="M79" s="69"/>
      <c r="N79" s="69"/>
      <c r="O79" s="69"/>
      <c r="P79" s="69"/>
      <c r="Q79" s="69"/>
      <c r="R79" s="69"/>
      <c r="S79" s="69"/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2" spans="1:9" x14ac:dyDescent="0.45">
      <c r="A82" t="s">
        <v>36</v>
      </c>
      <c r="B82" s="20" t="s">
        <v>121</v>
      </c>
    </row>
    <row r="83" spans="1:9" x14ac:dyDescent="0.45">
      <c r="B83" t="s">
        <v>124</v>
      </c>
      <c r="H83" s="4"/>
      <c r="I83" s="4">
        <v>31.762</v>
      </c>
    </row>
    <row r="84" spans="1:9" x14ac:dyDescent="0.45">
      <c r="B84" t="s">
        <v>125</v>
      </c>
      <c r="H84" s="4"/>
      <c r="I84" s="4">
        <v>13.378</v>
      </c>
    </row>
    <row r="85" spans="1:9" x14ac:dyDescent="0.45">
      <c r="B85" t="s">
        <v>126</v>
      </c>
      <c r="H85" s="4"/>
      <c r="I85" s="4">
        <v>10.601000000000001</v>
      </c>
    </row>
    <row r="86" spans="1:9" x14ac:dyDescent="0.45">
      <c r="B86" t="s">
        <v>10</v>
      </c>
      <c r="H86" s="4"/>
      <c r="I86" s="4">
        <v>10.241</v>
      </c>
    </row>
    <row r="87" spans="1:9" x14ac:dyDescent="0.45">
      <c r="B87" t="s">
        <v>127</v>
      </c>
      <c r="H87" s="4"/>
      <c r="I87" s="4">
        <v>12.813000000000001</v>
      </c>
    </row>
    <row r="88" spans="1:9" x14ac:dyDescent="0.45">
      <c r="B88" t="s">
        <v>128</v>
      </c>
      <c r="H88" s="4"/>
      <c r="I88" s="4">
        <v>16.667000000000002</v>
      </c>
    </row>
    <row r="89" spans="1:9" x14ac:dyDescent="0.45">
      <c r="B89" t="s">
        <v>11</v>
      </c>
      <c r="H89" s="4"/>
      <c r="I89" s="4">
        <v>7.4139999999999997</v>
      </c>
    </row>
    <row r="90" spans="1:9" x14ac:dyDescent="0.45">
      <c r="B90" t="s">
        <v>8</v>
      </c>
      <c r="H90" s="4"/>
      <c r="I90" s="4">
        <v>-13.715999999999999</v>
      </c>
    </row>
    <row r="91" spans="1:9" x14ac:dyDescent="0.45">
      <c r="B91" t="s">
        <v>129</v>
      </c>
      <c r="H91" s="4"/>
      <c r="I91" s="4">
        <v>-9.0860000000000003</v>
      </c>
    </row>
    <row r="92" spans="1:9" x14ac:dyDescent="0.45">
      <c r="B92" t="s">
        <v>130</v>
      </c>
      <c r="H92" s="4"/>
      <c r="I92" s="4">
        <v>-3.0409999999999999</v>
      </c>
    </row>
    <row r="93" spans="1:9" x14ac:dyDescent="0.45">
      <c r="B93" t="s">
        <v>131</v>
      </c>
      <c r="H93" s="4"/>
      <c r="I93" s="4">
        <v>29.8</v>
      </c>
    </row>
    <row r="94" spans="1:9" x14ac:dyDescent="0.45">
      <c r="B94" t="s">
        <v>132</v>
      </c>
      <c r="H94" s="4"/>
      <c r="I94" s="4">
        <v>-1.9039999999999999</v>
      </c>
    </row>
    <row r="95" spans="1:9" x14ac:dyDescent="0.45">
      <c r="B95" t="s">
        <v>133</v>
      </c>
      <c r="H95" s="4"/>
      <c r="I95" s="4">
        <v>1.208</v>
      </c>
    </row>
    <row r="96" spans="1:9" x14ac:dyDescent="0.45">
      <c r="B96" t="s">
        <v>134</v>
      </c>
      <c r="H96" s="4"/>
      <c r="I96" s="4">
        <v>0</v>
      </c>
    </row>
    <row r="97" spans="2:19" x14ac:dyDescent="0.45">
      <c r="B97" t="s">
        <v>135</v>
      </c>
      <c r="H97" s="4"/>
      <c r="I97" s="4">
        <v>-0.42</v>
      </c>
    </row>
    <row r="98" spans="2:19" x14ac:dyDescent="0.45">
      <c r="B98" t="s">
        <v>136</v>
      </c>
      <c r="H98" s="4"/>
      <c r="I98" s="4">
        <v>-24.196999999999999</v>
      </c>
    </row>
    <row r="99" spans="2:19" x14ac:dyDescent="0.45">
      <c r="B99" t="s">
        <v>137</v>
      </c>
      <c r="H99" s="4"/>
      <c r="I99" s="4">
        <v>-48.42</v>
      </c>
    </row>
    <row r="100" spans="2:19" s="7" customFormat="1" x14ac:dyDescent="0.45">
      <c r="B100" s="43" t="s">
        <v>138</v>
      </c>
      <c r="C100" s="43"/>
      <c r="D100" s="43"/>
      <c r="E100" s="43"/>
      <c r="F100" s="43"/>
      <c r="G100" s="43"/>
      <c r="H100" s="43"/>
      <c r="I100" s="43">
        <f>SUM(I83:I99)</f>
        <v>33.100000000000009</v>
      </c>
      <c r="J100"/>
      <c r="K100"/>
      <c r="L100"/>
      <c r="M100"/>
      <c r="N100"/>
      <c r="O100"/>
      <c r="P100"/>
      <c r="Q100"/>
      <c r="R100"/>
      <c r="S100"/>
    </row>
    <row r="102" spans="2:19" x14ac:dyDescent="0.45">
      <c r="B102" t="s">
        <v>191</v>
      </c>
      <c r="I102" s="4">
        <v>-0.3</v>
      </c>
    </row>
    <row r="103" spans="2:19" x14ac:dyDescent="0.45">
      <c r="B103" t="s">
        <v>192</v>
      </c>
      <c r="I103" s="4">
        <v>-2.9950000000000001</v>
      </c>
    </row>
    <row r="104" spans="2:19" x14ac:dyDescent="0.45">
      <c r="B104" t="s">
        <v>193</v>
      </c>
      <c r="I104" s="4">
        <v>-7.5439999999999996</v>
      </c>
    </row>
    <row r="105" spans="2:19" x14ac:dyDescent="0.45">
      <c r="B105" s="43" t="s">
        <v>195</v>
      </c>
      <c r="C105" s="43"/>
      <c r="D105" s="43"/>
      <c r="E105" s="43"/>
      <c r="F105" s="43"/>
      <c r="G105" s="43"/>
      <c r="H105" s="43"/>
      <c r="I105" s="43">
        <f>SUM(I102:I104)</f>
        <v>-10.838999999999999</v>
      </c>
    </row>
    <row r="107" spans="2:19" x14ac:dyDescent="0.45">
      <c r="B107" t="s">
        <v>181</v>
      </c>
      <c r="H107" s="4"/>
      <c r="I107" s="4">
        <v>0.41599999999999998</v>
      </c>
    </row>
    <row r="108" spans="2:19" x14ac:dyDescent="0.45">
      <c r="B108" t="s">
        <v>182</v>
      </c>
      <c r="H108" s="4"/>
      <c r="I108" s="4">
        <v>-1.46</v>
      </c>
    </row>
    <row r="109" spans="2:19" x14ac:dyDescent="0.45">
      <c r="B109" t="s">
        <v>183</v>
      </c>
      <c r="H109" s="4"/>
      <c r="I109" s="4">
        <v>-0.06</v>
      </c>
    </row>
    <row r="110" spans="2:19" x14ac:dyDescent="0.45">
      <c r="B110" t="s">
        <v>184</v>
      </c>
      <c r="H110" s="4"/>
      <c r="I110" s="4">
        <v>-33.609000000000002</v>
      </c>
    </row>
    <row r="111" spans="2:19" x14ac:dyDescent="0.45">
      <c r="B111" t="s">
        <v>185</v>
      </c>
      <c r="H111" s="4"/>
      <c r="I111" s="4">
        <v>9.0869999999999997</v>
      </c>
    </row>
    <row r="112" spans="2:19" x14ac:dyDescent="0.45">
      <c r="B112" t="s">
        <v>186</v>
      </c>
      <c r="H112" s="4"/>
      <c r="I112" s="4">
        <v>-3.62</v>
      </c>
    </row>
    <row r="113" spans="2:19" x14ac:dyDescent="0.45">
      <c r="B113" t="s">
        <v>187</v>
      </c>
      <c r="H113" s="4"/>
      <c r="I113" s="4">
        <v>-26.256</v>
      </c>
    </row>
    <row r="114" spans="2:19" x14ac:dyDescent="0.45">
      <c r="B114" t="s">
        <v>188</v>
      </c>
      <c r="H114" s="4"/>
      <c r="I114" s="4">
        <v>3.4000000000000002E-2</v>
      </c>
    </row>
    <row r="115" spans="2:19" x14ac:dyDescent="0.45">
      <c r="B115" t="s">
        <v>189</v>
      </c>
      <c r="H115" s="4"/>
      <c r="I115" s="4">
        <v>-9.4949999999999992</v>
      </c>
    </row>
    <row r="116" spans="2:19" x14ac:dyDescent="0.45">
      <c r="B116" t="s">
        <v>190</v>
      </c>
      <c r="H116" s="4"/>
      <c r="I116" s="4">
        <v>18.832000000000001</v>
      </c>
    </row>
    <row r="117" spans="2:19" s="7" customFormat="1" x14ac:dyDescent="0.45">
      <c r="B117" s="43" t="s">
        <v>194</v>
      </c>
      <c r="C117" s="43"/>
      <c r="D117" s="43"/>
      <c r="E117" s="43"/>
      <c r="F117" s="43"/>
      <c r="G117" s="43"/>
      <c r="H117" s="43"/>
      <c r="I117" s="43">
        <f>SUM(I107:I116)</f>
        <v>-46.131000000000007</v>
      </c>
      <c r="J117"/>
      <c r="K117"/>
      <c r="L117"/>
      <c r="M117"/>
      <c r="N117"/>
      <c r="O117"/>
      <c r="P117"/>
      <c r="Q117"/>
      <c r="R117"/>
      <c r="S117"/>
    </row>
    <row r="119" spans="2:19" x14ac:dyDescent="0.45">
      <c r="B119" t="s">
        <v>196</v>
      </c>
      <c r="H119" s="4"/>
      <c r="I119" s="4">
        <v>0.54500000000000004</v>
      </c>
    </row>
    <row r="121" spans="2:19" x14ac:dyDescent="0.45">
      <c r="B121" t="s">
        <v>197</v>
      </c>
      <c r="I121">
        <f>+I119+I117+I105+I100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320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321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218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32" sqref="K32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23.117978835115849</v>
      </c>
      <c r="K12" s="34">
        <f ca="1">+'P&amp;L'!K27</f>
        <v>35.44100949720584</v>
      </c>
      <c r="L12" s="34">
        <f ca="1">+'P&amp;L'!L27</f>
        <v>55.409028809966969</v>
      </c>
      <c r="M12" s="34">
        <f ca="1">+'P&amp;L'!M27</f>
        <v>63.565344258948187</v>
      </c>
      <c r="N12" s="34">
        <f ca="1">+'P&amp;L'!N27</f>
        <v>67.884303098108632</v>
      </c>
      <c r="O12" s="34">
        <f ca="1">+'P&amp;L'!O27</f>
        <v>71.333077854435999</v>
      </c>
      <c r="P12" s="34">
        <f ca="1">+'P&amp;L'!P27</f>
        <v>74.685559584263387</v>
      </c>
      <c r="Q12" s="34">
        <f ca="1">+'P&amp;L'!Q27</f>
        <v>78.176758823945647</v>
      </c>
      <c r="R12" s="34">
        <f ca="1">+'P&amp;L'!R27</f>
        <v>80.541890083598787</v>
      </c>
      <c r="S12" s="34">
        <f ca="1">+'P&amp;L'!S27</f>
        <v>83.647461651668038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200.72024708955504</v>
      </c>
      <c r="M30">
        <f t="shared" si="10"/>
        <v>230.37204654657003</v>
      </c>
      <c r="N30">
        <f t="shared" si="10"/>
        <v>258.89098262670564</v>
      </c>
      <c r="O30">
        <f t="shared" si="10"/>
        <v>285.37913147694724</v>
      </c>
      <c r="P30">
        <f t="shared" si="10"/>
        <v>310.56191802534482</v>
      </c>
      <c r="Q30">
        <f t="shared" si="10"/>
        <v>334.58461953348291</v>
      </c>
      <c r="R30">
        <f t="shared" si="10"/>
        <v>357.40745741889299</v>
      </c>
      <c r="S30">
        <f t="shared" si="10"/>
        <v>378.96553476807412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v>-10</v>
      </c>
      <c r="L32" s="25">
        <v>0</v>
      </c>
      <c r="M32" s="25">
        <f t="shared" ref="M32:S32" si="12">+L32</f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200.72024708955504</v>
      </c>
      <c r="L35" s="13">
        <f t="shared" si="15"/>
        <v>230.37204654657003</v>
      </c>
      <c r="M35" s="13">
        <f t="shared" si="15"/>
        <v>258.89098262670564</v>
      </c>
      <c r="N35" s="13">
        <f t="shared" si="15"/>
        <v>285.37913147694724</v>
      </c>
      <c r="O35" s="13">
        <f t="shared" si="15"/>
        <v>310.56191802534482</v>
      </c>
      <c r="P35" s="13">
        <f t="shared" si="15"/>
        <v>334.58461953348291</v>
      </c>
      <c r="Q35" s="13">
        <f t="shared" si="15"/>
        <v>357.40745741889299</v>
      </c>
      <c r="R35" s="13">
        <f t="shared" si="15"/>
        <v>378.96553476807412</v>
      </c>
      <c r="S35" s="13">
        <f t="shared" si="15"/>
        <v>398.99204112576371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322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219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68.942507452932233</v>
      </c>
      <c r="L74">
        <f t="shared" ca="1" si="33"/>
        <v>66.399388950348367</v>
      </c>
      <c r="M74">
        <f t="shared" ca="1" si="33"/>
        <v>77.202377102456921</v>
      </c>
      <c r="N74">
        <f t="shared" ca="1" si="33"/>
        <v>92.940226554252718</v>
      </c>
      <c r="O74">
        <f t="shared" ca="1" si="33"/>
        <v>110.86273043269661</v>
      </c>
      <c r="P74">
        <f t="shared" ca="1" si="33"/>
        <v>130.32560384843217</v>
      </c>
      <c r="Q74">
        <f t="shared" ca="1" si="33"/>
        <v>151.23323093706165</v>
      </c>
      <c r="R74">
        <f t="shared" ca="1" si="33"/>
        <v>173.65603587559292</v>
      </c>
      <c r="S74">
        <f t="shared" ca="1" si="33"/>
        <v>196.76560321622532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-10.485492547067757</v>
      </c>
      <c r="K75" s="29">
        <f ca="1">+'P&amp;L'!K36</f>
        <v>-2.5431185025838658</v>
      </c>
      <c r="L75" s="29">
        <f ca="1">+'P&amp;L'!L36</f>
        <v>10.802988152108544</v>
      </c>
      <c r="M75" s="29">
        <f ca="1">+'P&amp;L'!M36</f>
        <v>15.73784945179623</v>
      </c>
      <c r="N75" s="29">
        <f ca="1">+'P&amp;L'!N36</f>
        <v>17.922503878437634</v>
      </c>
      <c r="O75" s="29">
        <f ca="1">+'P&amp;L'!O36</f>
        <v>19.462873415801237</v>
      </c>
      <c r="P75" s="29">
        <f ca="1">+'P&amp;L'!P36</f>
        <v>20.907627088094138</v>
      </c>
      <c r="Q75" s="29">
        <f ca="1">+'P&amp;L'!Q36</f>
        <v>22.422804942138292</v>
      </c>
      <c r="R75" s="29">
        <f ca="1">+'P&amp;L'!R36</f>
        <v>23.109567319802807</v>
      </c>
      <c r="S75" s="29">
        <f ca="1">+'P&amp;L'!S36</f>
        <v>24.292267903417752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68.942507452932233</v>
      </c>
      <c r="K78" s="48">
        <f t="shared" ref="K78:S78" ca="1" si="35">SUM(K74:K77)</f>
        <v>66.399388950348367</v>
      </c>
      <c r="L78" s="48">
        <f t="shared" ca="1" si="35"/>
        <v>77.202377102456907</v>
      </c>
      <c r="M78" s="48">
        <f t="shared" ca="1" si="35"/>
        <v>92.940226554253144</v>
      </c>
      <c r="N78" s="48">
        <f t="shared" ca="1" si="35"/>
        <v>110.86273043269036</v>
      </c>
      <c r="O78" s="48">
        <f t="shared" ca="1" si="35"/>
        <v>130.32560384849785</v>
      </c>
      <c r="P78" s="48">
        <f t="shared" ca="1" si="35"/>
        <v>151.2332309365263</v>
      </c>
      <c r="Q78" s="48">
        <f t="shared" ca="1" si="35"/>
        <v>173.65603587919995</v>
      </c>
      <c r="R78" s="48">
        <f t="shared" ca="1" si="35"/>
        <v>196.76560319539573</v>
      </c>
      <c r="S78" s="48">
        <f t="shared" ca="1" si="35"/>
        <v>221.05787111964307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217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-6.7042138621835958</v>
      </c>
      <c r="K107">
        <f t="shared" ca="1" si="50"/>
        <v>-10.277892754189693</v>
      </c>
      <c r="L107">
        <f t="shared" ca="1" si="50"/>
        <v>-16.068618354890418</v>
      </c>
      <c r="M107">
        <f t="shared" ca="1" si="50"/>
        <v>-18.433949835094975</v>
      </c>
      <c r="N107">
        <f t="shared" ca="1" si="50"/>
        <v>-19.686447898451501</v>
      </c>
      <c r="O107">
        <f t="shared" ca="1" si="50"/>
        <v>-20.686592577786438</v>
      </c>
      <c r="P107">
        <f t="shared" ca="1" si="50"/>
        <v>-21.658812279436379</v>
      </c>
      <c r="Q107">
        <f t="shared" ca="1" si="50"/>
        <v>-22.671260058944235</v>
      </c>
      <c r="R107">
        <f t="shared" ca="1" si="50"/>
        <v>-23.357148124243647</v>
      </c>
      <c r="S107">
        <f t="shared" ca="1" si="50"/>
        <v>-24.257763878983731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F48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40.509</v>
      </c>
      <c r="S7">
        <f t="shared" ca="1" si="1"/>
        <v>40.509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90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508.43978419235367</v>
      </c>
      <c r="K13">
        <f t="shared" ref="K13:S13" ca="1" si="4">+K57</f>
        <v>598.48039417860844</v>
      </c>
      <c r="L13">
        <f t="shared" ca="1" si="4"/>
        <v>676.37007641147522</v>
      </c>
      <c r="M13">
        <f t="shared" ca="1" si="4"/>
        <v>753.4921193143374</v>
      </c>
      <c r="N13">
        <f t="shared" ca="1" si="4"/>
        <v>830.64654915693995</v>
      </c>
      <c r="O13">
        <f t="shared" ca="1" si="4"/>
        <v>909.94617764209431</v>
      </c>
      <c r="P13">
        <f t="shared" ca="1" si="4"/>
        <v>992.80208879586962</v>
      </c>
      <c r="Q13">
        <f t="shared" ca="1" si="4"/>
        <v>1079.7369119494715</v>
      </c>
      <c r="R13">
        <f t="shared" ca="1" si="4"/>
        <v>1170.6134626193243</v>
      </c>
      <c r="S13">
        <f t="shared" ca="1" si="4"/>
        <v>1265.5376489545677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228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235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238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251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250</v>
      </c>
      <c r="J22">
        <f ca="1">+J41+J47+J53+J58+J65+J71</f>
        <v>-34.6614577073859</v>
      </c>
      <c r="K22">
        <f t="shared" ref="K22:S22" ca="1" si="6">+K41+K47+K53+K58+K65+K71</f>
        <v>-38.510698994386935</v>
      </c>
      <c r="L22">
        <f t="shared" ca="1" si="6"/>
        <v>-43.212747176522342</v>
      </c>
      <c r="M22">
        <f t="shared" ca="1" si="6"/>
        <v>-47.553075480322754</v>
      </c>
      <c r="N22">
        <f t="shared" ca="1" si="6"/>
        <v>-51.872816717195768</v>
      </c>
      <c r="O22">
        <f t="shared" ca="1" si="6"/>
        <v>-56.253530350372955</v>
      </c>
      <c r="P22">
        <f t="shared" ca="1" si="6"/>
        <v>-60.793885460262992</v>
      </c>
      <c r="Q22">
        <f t="shared" ca="1" si="6"/>
        <v>-65.548026020869557</v>
      </c>
      <c r="R22">
        <f t="shared" ca="1" si="6"/>
        <v>-70.52674448792628</v>
      </c>
      <c r="S22">
        <f t="shared" ca="1" si="6"/>
        <v>-75.729165124068984</v>
      </c>
    </row>
    <row r="24" spans="1:19" x14ac:dyDescent="0.45">
      <c r="A24" t="s">
        <v>36</v>
      </c>
      <c r="B24" s="20" t="s">
        <v>253</v>
      </c>
    </row>
    <row r="25" spans="1:19" x14ac:dyDescent="0.45">
      <c r="B25" t="s">
        <v>138</v>
      </c>
      <c r="J25" s="29">
        <f ca="1">+'BS &amp; CFS'!J64</f>
        <v>31.512681415032205</v>
      </c>
      <c r="K25" s="29">
        <f ca="1">+'BS &amp; CFS'!K64</f>
        <v>15.525980341032152</v>
      </c>
      <c r="L25" s="29">
        <f ca="1">+'BS &amp; CFS'!L64</f>
        <v>36.924852474838076</v>
      </c>
      <c r="M25" s="29">
        <f ca="1">+'BS &amp; CFS'!M64</f>
        <v>45.687733804690268</v>
      </c>
      <c r="N25" s="29">
        <f ca="1">+'BS &amp; CFS'!N64</f>
        <v>53.158883099039727</v>
      </c>
      <c r="O25" s="29">
        <f ca="1">+'BS &amp; CFS'!O64</f>
        <v>58.302130515547049</v>
      </c>
      <c r="P25" s="29">
        <f ca="1">+'BS &amp; CFS'!P64</f>
        <v>62.189908165171715</v>
      </c>
      <c r="Q25" s="29">
        <f ca="1">+'BS &amp; CFS'!Q64</f>
        <v>65.852746575878058</v>
      </c>
      <c r="R25" s="29">
        <f ca="1">+'BS &amp; CFS'!R64</f>
        <v>69.974687423834226</v>
      </c>
      <c r="S25" s="29">
        <f ca="1">+'BS &amp; CFS'!S64</f>
        <v>74.433488720807432</v>
      </c>
    </row>
    <row r="26" spans="1:19" x14ac:dyDescent="0.45">
      <c r="B26" t="s">
        <v>220</v>
      </c>
      <c r="J26" s="29">
        <f ca="1">+'P&amp;L'!J22</f>
        <v>-34.6614577073859</v>
      </c>
      <c r="K26" s="29">
        <f ca="1">+'P&amp;L'!K22</f>
        <v>-38.510698994386935</v>
      </c>
      <c r="L26" s="29">
        <f ca="1">+'P&amp;L'!L22</f>
        <v>-43.212747176522342</v>
      </c>
      <c r="M26" s="29">
        <f ca="1">+'P&amp;L'!M22</f>
        <v>-47.553075480322697</v>
      </c>
      <c r="N26" s="29">
        <f ca="1">+'P&amp;L'!N22</f>
        <v>-51.872816717196564</v>
      </c>
      <c r="O26" s="29">
        <f ca="1">+'P&amp;L'!O22</f>
        <v>-56.253530350365111</v>
      </c>
      <c r="P26" s="29">
        <f ca="1">+'P&amp;L'!P22</f>
        <v>-60.793885460323274</v>
      </c>
      <c r="Q26" s="29">
        <f ca="1">+'P&amp;L'!Q22</f>
        <v>-65.548026020486432</v>
      </c>
      <c r="R26" s="29">
        <f ca="1">+'P&amp;L'!R22</f>
        <v>-70.526744490014025</v>
      </c>
      <c r="S26" s="29">
        <f ca="1">+'P&amp;L'!S22</f>
        <v>-75.729165114079521</v>
      </c>
    </row>
    <row r="27" spans="1:19" x14ac:dyDescent="0.45">
      <c r="B27" t="s">
        <v>221</v>
      </c>
      <c r="J27" s="29">
        <f>+'BS &amp; CFS'!J66+'BS &amp; CFS'!J67+'BS &amp; CFS'!J68</f>
        <v>-26.643827899999998</v>
      </c>
      <c r="K27" s="29">
        <f>+'BS &amp; CFS'!K66+'BS &amp; CFS'!K67+'BS &amp; CFS'!K68</f>
        <v>-29.776087732900002</v>
      </c>
      <c r="L27" s="29">
        <f>+'BS &amp; CFS'!L66+'BS &amp; CFS'!L67+'BS &amp; CFS'!L68</f>
        <v>-33.622647859182507</v>
      </c>
      <c r="M27" s="29">
        <f>+'BS &amp; CFS'!M66+'BS &amp; CFS'!M67+'BS &amp; CFS'!M68</f>
        <v>-36.564238761789213</v>
      </c>
      <c r="N27" s="29">
        <f>+'BS &amp; CFS'!N66+'BS &amp; CFS'!N67+'BS &amp; CFS'!N68</f>
        <v>-39.020444509706387</v>
      </c>
      <c r="O27" s="29">
        <f>+'BS &amp; CFS'!O66+'BS &amp; CFS'!O67+'BS &amp; CFS'!O68</f>
        <v>-41.186035901192277</v>
      </c>
      <c r="P27" s="29">
        <f>+'BS &amp; CFS'!P66+'BS &amp; CFS'!P67+'BS &amp; CFS'!P68</f>
        <v>-43.332757255420574</v>
      </c>
      <c r="Q27" s="29">
        <f>+'BS &amp; CFS'!Q66+'BS &amp; CFS'!Q67+'BS &amp; CFS'!Q68</f>
        <v>-45.548243567324498</v>
      </c>
      <c r="R27" s="29">
        <f>+'BS &amp; CFS'!R66+'BS &amp; CFS'!R67+'BS &amp; CFS'!R68</f>
        <v>-47.845627497142928</v>
      </c>
      <c r="S27" s="29">
        <f>+'BS &amp; CFS'!S66+'BS &amp; CFS'!S67+'BS &amp; CFS'!S68</f>
        <v>-50.346326315796986</v>
      </c>
    </row>
    <row r="28" spans="1:19" x14ac:dyDescent="0.45">
      <c r="B28" t="s">
        <v>226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252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222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-66.386784192353687</v>
      </c>
      <c r="K30" s="13">
        <f t="shared" ca="1" si="8"/>
        <v>-90.040609986254779</v>
      </c>
      <c r="L30" s="13">
        <f t="shared" ca="1" si="8"/>
        <v>-77.889682232866775</v>
      </c>
      <c r="M30" s="13">
        <f t="shared" ca="1" si="8"/>
        <v>-77.122042902861651</v>
      </c>
      <c r="N30" s="13">
        <f t="shared" ca="1" si="8"/>
        <v>-77.154429842612032</v>
      </c>
      <c r="O30" s="13">
        <f t="shared" ca="1" si="8"/>
        <v>-79.299628485054114</v>
      </c>
      <c r="P30" s="13">
        <f t="shared" ca="1" si="8"/>
        <v>-82.855911154596782</v>
      </c>
      <c r="Q30" s="13">
        <f t="shared" ca="1" si="8"/>
        <v>-86.934823148038006</v>
      </c>
      <c r="R30" s="13">
        <f t="shared" ca="1" si="8"/>
        <v>-90.87655070214997</v>
      </c>
      <c r="S30" s="13">
        <f t="shared" ca="1" si="8"/>
        <v>-94.924186170672854</v>
      </c>
    </row>
    <row r="32" spans="1:19" x14ac:dyDescent="0.45">
      <c r="B32" t="s">
        <v>223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224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225</v>
      </c>
      <c r="J34">
        <f ca="1">+J33+J32+J30</f>
        <v>-41.487784192353686</v>
      </c>
      <c r="K34">
        <f t="shared" ref="K34:S34" ca="1" si="11">+K33+K32+K30</f>
        <v>-90.040609986254779</v>
      </c>
      <c r="L34">
        <f t="shared" ca="1" si="11"/>
        <v>-77.889682232866775</v>
      </c>
      <c r="M34">
        <f t="shared" ca="1" si="11"/>
        <v>-77.122042902861651</v>
      </c>
      <c r="N34">
        <f t="shared" ca="1" si="11"/>
        <v>-77.154429842612032</v>
      </c>
      <c r="O34">
        <f t="shared" ca="1" si="11"/>
        <v>-79.299628485054114</v>
      </c>
      <c r="P34">
        <f t="shared" ca="1" si="11"/>
        <v>-82.855911154596782</v>
      </c>
      <c r="Q34">
        <f t="shared" ca="1" si="11"/>
        <v>-86.934823148038006</v>
      </c>
      <c r="R34">
        <f t="shared" ca="1" si="11"/>
        <v>-90.87655070214997</v>
      </c>
      <c r="S34">
        <f t="shared" ca="1" si="11"/>
        <v>-94.924186170672854</v>
      </c>
    </row>
    <row r="36" spans="2:19" x14ac:dyDescent="0.45">
      <c r="B36" t="s">
        <v>231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227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40.509</v>
      </c>
    </row>
    <row r="39" spans="2:19" x14ac:dyDescent="0.45">
      <c r="B39" t="s">
        <v>233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0</v>
      </c>
      <c r="S39">
        <f t="shared" ca="1" si="14"/>
        <v>0</v>
      </c>
    </row>
    <row r="40" spans="2:19" x14ac:dyDescent="0.45">
      <c r="B40" s="13" t="s">
        <v>230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40.509</v>
      </c>
      <c r="S40" s="13">
        <f t="shared" ca="1" si="15"/>
        <v>40.509</v>
      </c>
    </row>
    <row r="41" spans="2:19" x14ac:dyDescent="0.45">
      <c r="B41" s="1" t="s">
        <v>232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-1.4988329999999999</v>
      </c>
      <c r="S41" s="1">
        <f t="shared" ca="1" si="16"/>
        <v>-1.4988329999999999</v>
      </c>
    </row>
    <row r="42" spans="2:19" x14ac:dyDescent="0.45">
      <c r="B42" t="s">
        <v>234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236</v>
      </c>
      <c r="J44">
        <f>+I46</f>
        <v>84.234999999999999</v>
      </c>
      <c r="K44">
        <f t="shared" ref="K44:S44" ca="1" si="17">+J46</f>
        <v>90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233</v>
      </c>
      <c r="J45">
        <f ca="1">+IF(MIN(J44, J34+J36+J39)*-1&gt;=(J48-J44), J48-J44, MIN(J44, J34+J36+J39)*-1)</f>
        <v>5.7650000000000006</v>
      </c>
      <c r="K45">
        <f t="shared" ref="K45:S45" ca="1" si="18">+IF(MIN(K44, K34+K36+K39)*-1&gt;=(K48-K44), K48-K44, MIN(K44, K34+K36+K39)*-1)</f>
        <v>0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237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90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232</v>
      </c>
      <c r="J47" s="1">
        <f t="shared" ref="J47:S47" ca="1" si="20">+AVERAGE(I46:J46)*J18*-1</f>
        <v>-5.0092562500000009</v>
      </c>
      <c r="K47" s="1">
        <f t="shared" ca="1" si="20"/>
        <v>-5.1749999999999998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234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239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240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241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232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244</v>
      </c>
      <c r="J55">
        <f>+I57</f>
        <v>477.80399999999997</v>
      </c>
      <c r="K55">
        <f t="shared" ref="K55:S55" ca="1" si="25">+J57</f>
        <v>508.43978419235367</v>
      </c>
      <c r="L55">
        <f t="shared" ca="1" si="25"/>
        <v>598.48039417860844</v>
      </c>
      <c r="M55">
        <f t="shared" ca="1" si="25"/>
        <v>676.37007641147522</v>
      </c>
      <c r="N55">
        <f t="shared" ca="1" si="25"/>
        <v>753.4921193143374</v>
      </c>
      <c r="O55">
        <f t="shared" ca="1" si="25"/>
        <v>830.64654915693995</v>
      </c>
      <c r="P55">
        <f t="shared" ca="1" si="25"/>
        <v>909.94617764209431</v>
      </c>
      <c r="Q55">
        <f t="shared" ca="1" si="25"/>
        <v>992.80208879586962</v>
      </c>
      <c r="R55">
        <f t="shared" ca="1" si="25"/>
        <v>1079.7369119494715</v>
      </c>
      <c r="S55">
        <f t="shared" ca="1" si="25"/>
        <v>1170.6134626193243</v>
      </c>
    </row>
    <row r="56" spans="1:19" x14ac:dyDescent="0.45">
      <c r="B56" t="s">
        <v>245</v>
      </c>
      <c r="J56">
        <f t="shared" ref="J56:S56" ca="1" si="26">+MIN(J55, J34+J39+J45+J36)*-1</f>
        <v>30.635784192353686</v>
      </c>
      <c r="K56">
        <f t="shared" ca="1" si="26"/>
        <v>90.040609986254779</v>
      </c>
      <c r="L56">
        <f t="shared" ca="1" si="26"/>
        <v>77.889682232866775</v>
      </c>
      <c r="M56">
        <f t="shared" ca="1" si="26"/>
        <v>77.122042902861651</v>
      </c>
      <c r="N56">
        <f t="shared" ca="1" si="26"/>
        <v>77.154429842612032</v>
      </c>
      <c r="O56">
        <f t="shared" ca="1" si="26"/>
        <v>79.299628485054114</v>
      </c>
      <c r="P56">
        <f t="shared" ca="1" si="26"/>
        <v>82.855911154596782</v>
      </c>
      <c r="Q56">
        <f t="shared" ca="1" si="26"/>
        <v>86.934823148038006</v>
      </c>
      <c r="R56">
        <f t="shared" ca="1" si="26"/>
        <v>90.87655070214997</v>
      </c>
      <c r="S56">
        <f t="shared" ca="1" si="26"/>
        <v>94.924186170672854</v>
      </c>
    </row>
    <row r="57" spans="1:19" x14ac:dyDescent="0.45">
      <c r="B57" s="13" t="s">
        <v>246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508.43978419235367</v>
      </c>
      <c r="K57" s="13">
        <f t="shared" ref="K57:S57" ca="1" si="27">SUM(K55:K56)</f>
        <v>598.48039417860844</v>
      </c>
      <c r="L57" s="13">
        <f t="shared" ca="1" si="27"/>
        <v>676.37007641147522</v>
      </c>
      <c r="M57" s="13">
        <f t="shared" ca="1" si="27"/>
        <v>753.49211931433683</v>
      </c>
      <c r="N57" s="13">
        <f t="shared" ca="1" si="27"/>
        <v>830.64654915694939</v>
      </c>
      <c r="O57" s="13">
        <f t="shared" ca="1" si="27"/>
        <v>909.94617764199404</v>
      </c>
      <c r="P57" s="13">
        <f t="shared" ca="1" si="27"/>
        <v>992.80208879669112</v>
      </c>
      <c r="Q57" s="13">
        <f t="shared" ca="1" si="27"/>
        <v>1079.7369119439077</v>
      </c>
      <c r="R57" s="13">
        <f t="shared" ca="1" si="27"/>
        <v>1170.6134626516214</v>
      </c>
      <c r="S57" s="13">
        <f t="shared" ca="1" si="27"/>
        <v>1265.5376487899971</v>
      </c>
    </row>
    <row r="58" spans="1:19" s="1" customFormat="1" x14ac:dyDescent="0.45">
      <c r="B58" s="1" t="s">
        <v>232</v>
      </c>
      <c r="I58" s="73"/>
      <c r="J58" s="1">
        <f t="shared" ref="J58:S58" ca="1" si="28">+AVERAGE(I57:J57)*J19*-1</f>
        <v>-27.6148259573859</v>
      </c>
      <c r="K58" s="1">
        <f t="shared" ca="1" si="28"/>
        <v>-30.99376499438694</v>
      </c>
      <c r="L58" s="1">
        <f t="shared" ca="1" si="28"/>
        <v>-35.695813176522343</v>
      </c>
      <c r="M58" s="1">
        <f t="shared" ca="1" si="28"/>
        <v>-40.036141480322733</v>
      </c>
      <c r="N58" s="1">
        <f t="shared" ca="1" si="28"/>
        <v>-44.35588271719601</v>
      </c>
      <c r="O58" s="1">
        <f t="shared" ca="1" si="28"/>
        <v>-48.736596350370419</v>
      </c>
      <c r="P58" s="1">
        <f t="shared" ca="1" si="28"/>
        <v>-53.276951460283186</v>
      </c>
      <c r="Q58" s="1">
        <f t="shared" ca="1" si="28"/>
        <v>-58.031092020736764</v>
      </c>
      <c r="R58" s="1">
        <f t="shared" ca="1" si="28"/>
        <v>-63.009810488674816</v>
      </c>
      <c r="S58" s="1">
        <f t="shared" ca="1" si="28"/>
        <v>-68.212231120365317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254</v>
      </c>
      <c r="I60" s="73"/>
    </row>
    <row r="61" spans="1:19" s="1" customFormat="1" x14ac:dyDescent="0.45">
      <c r="B61" t="s">
        <v>248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249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229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247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232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255</v>
      </c>
    </row>
    <row r="68" spans="1:19" x14ac:dyDescent="0.45">
      <c r="B68" t="s">
        <v>223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242</v>
      </c>
      <c r="J69">
        <f t="shared" ref="J69:S69" ca="1" si="35">+J30+J39+J45+J51+J56</f>
        <v>-24.899000000000004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243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232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288</v>
      </c>
      <c r="F4" s="82" t="s">
        <v>301</v>
      </c>
      <c r="G4" s="82" t="s">
        <v>302</v>
      </c>
      <c r="H4" s="82" t="s">
        <v>303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287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280</v>
      </c>
      <c r="E14" s="4">
        <v>6.5540000000000003</v>
      </c>
      <c r="F14" s="6"/>
    </row>
    <row r="15" spans="1:8" s="7" customFormat="1" x14ac:dyDescent="0.45">
      <c r="B15" s="43" t="s">
        <v>289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290</v>
      </c>
      <c r="E16" s="80">
        <f>+E15/E11</f>
        <v>0.43644790449420462</v>
      </c>
    </row>
    <row r="17" spans="2:9" s="1" customFormat="1" x14ac:dyDescent="0.45">
      <c r="B17" s="1" t="s">
        <v>318</v>
      </c>
      <c r="E17" s="80">
        <f>+E13/SUM(E7:E9)</f>
        <v>0.41829857742597376</v>
      </c>
    </row>
    <row r="18" spans="2:9" s="1" customFormat="1" x14ac:dyDescent="0.45">
      <c r="B18" s="1" t="s">
        <v>319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270</v>
      </c>
      <c r="F4" s="8" t="s">
        <v>271</v>
      </c>
      <c r="G4" s="8" t="s">
        <v>314</v>
      </c>
      <c r="H4" s="8" t="s">
        <v>315</v>
      </c>
      <c r="I4" s="8" t="s">
        <v>316</v>
      </c>
      <c r="J4" s="8" t="s">
        <v>317</v>
      </c>
    </row>
    <row r="5" spans="1:10" x14ac:dyDescent="0.45">
      <c r="F5" s="8"/>
    </row>
    <row r="6" spans="1:10" x14ac:dyDescent="0.45">
      <c r="A6" t="s">
        <v>36</v>
      </c>
      <c r="B6" s="20" t="s">
        <v>292</v>
      </c>
    </row>
    <row r="7" spans="1:10" x14ac:dyDescent="0.45">
      <c r="B7" t="s">
        <v>1</v>
      </c>
      <c r="E7" s="83" t="s">
        <v>297</v>
      </c>
      <c r="F7" s="83" t="s">
        <v>293</v>
      </c>
    </row>
    <row r="8" spans="1:10" x14ac:dyDescent="0.45">
      <c r="B8" t="s">
        <v>294</v>
      </c>
      <c r="E8" s="4">
        <v>490</v>
      </c>
      <c r="F8" s="4">
        <v>550</v>
      </c>
    </row>
    <row r="10" spans="1:10" x14ac:dyDescent="0.45">
      <c r="B10" t="s">
        <v>300</v>
      </c>
      <c r="E10" s="83" t="s">
        <v>296</v>
      </c>
      <c r="F10" s="83" t="s">
        <v>295</v>
      </c>
    </row>
    <row r="11" spans="1:10" x14ac:dyDescent="0.45">
      <c r="B11" t="s">
        <v>294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272</v>
      </c>
    </row>
    <row r="14" spans="1:10" x14ac:dyDescent="0.45">
      <c r="B14" s="14" t="s">
        <v>304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305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306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309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310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311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307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308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304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305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306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309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310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311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312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313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298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300</v>
      </c>
      <c r="E34" s="29">
        <f>+'P&amp;L'!I62</f>
        <v>88.750000000000071</v>
      </c>
      <c r="F34" s="29">
        <f ca="1">+'P&amp;L'!J62</f>
        <v>96.804982495643031</v>
      </c>
      <c r="G34" s="29">
        <f ca="1">+'P&amp;L'!K62</f>
        <v>112.51033413792992</v>
      </c>
      <c r="H34" s="29">
        <f ca="1">+'P&amp;L'!L62</f>
        <v>128.36568786767501</v>
      </c>
      <c r="I34" s="29">
        <f ca="1">+'P&amp;L'!M62</f>
        <v>138.85140922853759</v>
      </c>
      <c r="J34" s="29">
        <f ca="1">+'P&amp;L'!N62</f>
        <v>147.01812411720886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2026-01-02T16:11:15Z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