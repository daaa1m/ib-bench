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odel Shell" sheetId="1" state="visible" r:id="rId3"/>
    <sheet name="Marine DCF" sheetId="2" state="visible" r:id="rId4"/>
  </sheets>
  <externalReferences>
    <externalReference r:id="rId5"/>
  </externalReferences>
  <definedNames>
    <definedName function="false" hidden="true" localSheetId="1" name="BBPTAutoColor_Changed" vbProcedure="false">TRUE()</definedName>
    <definedName function="false" hidden="true" localSheetId="1" name="BBPTAutoColor_ShadowWksName" vbProcedure="false">"BBPTACShadowWks0002"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<sst xmlns="http://schemas.openxmlformats.org/spreadsheetml/2006/main" count="224" uniqueCount="169">
  <si>
    <t xml:space="preserve">Kirby Corp</t>
  </si>
  <si>
    <t xml:space="preserve">US$mm unless otherwise specified</t>
  </si>
  <si>
    <t xml:space="preserve">1Q24</t>
  </si>
  <si>
    <t xml:space="preserve">Act.</t>
  </si>
  <si>
    <t xml:space="preserve">Est.</t>
  </si>
  <si>
    <t xml:space="preserve">LQA</t>
  </si>
  <si>
    <t xml:space="preserve">LTM</t>
  </si>
  <si>
    <t xml:space="preserve">1Q18</t>
  </si>
  <si>
    <t xml:space="preserve">2Q18</t>
  </si>
  <si>
    <t xml:space="preserve">3Q18</t>
  </si>
  <si>
    <t xml:space="preserve">4Q18</t>
  </si>
  <si>
    <t xml:space="preserve">1Q19</t>
  </si>
  <si>
    <t xml:space="preserve">2Q19</t>
  </si>
  <si>
    <t xml:space="preserve">3Q19</t>
  </si>
  <si>
    <t xml:space="preserve">4Q19</t>
  </si>
  <si>
    <t xml:space="preserve">1Q20</t>
  </si>
  <si>
    <t xml:space="preserve">2Q20</t>
  </si>
  <si>
    <t xml:space="preserve">3Q20</t>
  </si>
  <si>
    <t xml:space="preserve">4Q20</t>
  </si>
  <si>
    <t xml:space="preserve">1Q21</t>
  </si>
  <si>
    <t xml:space="preserve">2Q21</t>
  </si>
  <si>
    <t xml:space="preserve">3Q21</t>
  </si>
  <si>
    <t xml:space="preserve">4Q21</t>
  </si>
  <si>
    <t xml:space="preserve">1Q22</t>
  </si>
  <si>
    <t xml:space="preserve">2Q22</t>
  </si>
  <si>
    <t xml:space="preserve">3Q22</t>
  </si>
  <si>
    <t xml:space="preserve">4Q22</t>
  </si>
  <si>
    <t xml:space="preserve">1Q23</t>
  </si>
  <si>
    <t xml:space="preserve">2Q23</t>
  </si>
  <si>
    <t xml:space="preserve">3Q23</t>
  </si>
  <si>
    <t xml:space="preserve">4Q23</t>
  </si>
  <si>
    <t xml:space="preserve">2Q24</t>
  </si>
  <si>
    <t xml:space="preserve">3Q24</t>
  </si>
  <si>
    <t xml:space="preserve">4Q24</t>
  </si>
  <si>
    <t xml:space="preserve">1Q25</t>
  </si>
  <si>
    <t xml:space="preserve">2Q25</t>
  </si>
  <si>
    <t xml:space="preserve">3Q25</t>
  </si>
  <si>
    <t xml:space="preserve">4Q25</t>
  </si>
  <si>
    <t xml:space="preserve">x</t>
  </si>
  <si>
    <t xml:space="preserve">Income Statement</t>
  </si>
  <si>
    <t xml:space="preserve">Marine Transport</t>
  </si>
  <si>
    <t xml:space="preserve">Distribution &amp; Services</t>
  </si>
  <si>
    <t xml:space="preserve">Total Revenues</t>
  </si>
  <si>
    <t xml:space="preserve">Y/Y Growth %</t>
  </si>
  <si>
    <t xml:space="preserve">Sequential Growth %</t>
  </si>
  <si>
    <t xml:space="preserve">Cash COGS &amp; OpEX</t>
  </si>
  <si>
    <t xml:space="preserve">Cash Gross Profit</t>
  </si>
  <si>
    <t xml:space="preserve">Gross Margin %</t>
  </si>
  <si>
    <t xml:space="preserve">SG&amp;A</t>
  </si>
  <si>
    <t xml:space="preserve">Taxes other than Income</t>
  </si>
  <si>
    <t xml:space="preserve">D&amp;A</t>
  </si>
  <si>
    <t xml:space="preserve">Core EBIT</t>
  </si>
  <si>
    <t xml:space="preserve">% Margin</t>
  </si>
  <si>
    <t xml:space="preserve">(+) D&amp;A</t>
  </si>
  <si>
    <t xml:space="preserve">Core EBITDA</t>
  </si>
  <si>
    <t xml:space="preserve">Impairments &amp; other charges</t>
  </si>
  <si>
    <t xml:space="preserve">Gains on disposals</t>
  </si>
  <si>
    <t xml:space="preserve">Other Income/Expenses Net</t>
  </si>
  <si>
    <t xml:space="preserve">Other EBIT Components</t>
  </si>
  <si>
    <t xml:space="preserve">As Reported Core EBIT</t>
  </si>
  <si>
    <t xml:space="preserve">Total EBIT</t>
  </si>
  <si>
    <t xml:space="preserve">Interest expense, net</t>
  </si>
  <si>
    <t xml:space="preserve">PBT</t>
  </si>
  <si>
    <t xml:space="preserve">(-) Taxes</t>
  </si>
  <si>
    <t xml:space="preserve">Net Income</t>
  </si>
  <si>
    <t xml:space="preserve">(-) NCI</t>
  </si>
  <si>
    <t xml:space="preserve">Net Income to Shareholders</t>
  </si>
  <si>
    <t xml:space="preserve">Diluted Shares Outstanding</t>
  </si>
  <si>
    <t xml:space="preserve">Fully Diluted EPS</t>
  </si>
  <si>
    <t xml:space="preserve">Balance Sheet</t>
  </si>
  <si>
    <t xml:space="preserve">Cash and cash equivalents</t>
  </si>
  <si>
    <t xml:space="preserve">Trade Receivables</t>
  </si>
  <si>
    <t xml:space="preserve">Other Receivables</t>
  </si>
  <si>
    <t xml:space="preserve">Inventory</t>
  </si>
  <si>
    <t xml:space="preserve">Prepaid Expenses</t>
  </si>
  <si>
    <t xml:space="preserve">Current Assets</t>
  </si>
  <si>
    <t xml:space="preserve">PP&amp;E</t>
  </si>
  <si>
    <t xml:space="preserve">Operating Leases ROU</t>
  </si>
  <si>
    <t xml:space="preserve">Goodwill</t>
  </si>
  <si>
    <t xml:space="preserve">Other Intangibles</t>
  </si>
  <si>
    <t xml:space="preserve">Other assets</t>
  </si>
  <si>
    <t xml:space="preserve">Total Assets</t>
  </si>
  <si>
    <t xml:space="preserve">Current portion of debt</t>
  </si>
  <si>
    <t xml:space="preserve">Income Taxes Payable</t>
  </si>
  <si>
    <t xml:space="preserve">Accounts Payable</t>
  </si>
  <si>
    <t xml:space="preserve">Accrued Liabilities</t>
  </si>
  <si>
    <t xml:space="preserve">Current Op Lease Liabilities</t>
  </si>
  <si>
    <t xml:space="preserve">Deferred Revenues</t>
  </si>
  <si>
    <t xml:space="preserve">Current Liablities</t>
  </si>
  <si>
    <t xml:space="preserve">Total Debt</t>
  </si>
  <si>
    <t xml:space="preserve">Deferred Income Taxes</t>
  </si>
  <si>
    <t xml:space="preserve">Operating Lease Liabilities</t>
  </si>
  <si>
    <t xml:space="preserve">Other LT Liabilities</t>
  </si>
  <si>
    <t xml:space="preserve">Total Liabilities</t>
  </si>
  <si>
    <t xml:space="preserve">Net Debt</t>
  </si>
  <si>
    <t xml:space="preserve">NWC</t>
  </si>
  <si>
    <t xml:space="preserve">Common Equity</t>
  </si>
  <si>
    <t xml:space="preserve">NCI</t>
  </si>
  <si>
    <t xml:space="preserve">Total Equity</t>
  </si>
  <si>
    <t xml:space="preserve">Total L+E</t>
  </si>
  <si>
    <t xml:space="preserve">B/S Check</t>
  </si>
  <si>
    <t xml:space="preserve">Segment</t>
  </si>
  <si>
    <t xml:space="preserve">Segments</t>
  </si>
  <si>
    <t xml:space="preserve">D&amp;S</t>
  </si>
  <si>
    <t xml:space="preserve">Check</t>
  </si>
  <si>
    <t xml:space="preserve">Marine EBIT</t>
  </si>
  <si>
    <t xml:space="preserve">Marine D&amp;A</t>
  </si>
  <si>
    <t xml:space="preserve">Marine Reported EBITDA</t>
  </si>
  <si>
    <t xml:space="preserve">Y/Y %</t>
  </si>
  <si>
    <t xml:space="preserve">D&amp;S EBIT</t>
  </si>
  <si>
    <t xml:space="preserve">D&amp;S D&amp;A</t>
  </si>
  <si>
    <t xml:space="preserve">D&amp;S Reported EBITDA</t>
  </si>
  <si>
    <t xml:space="preserve">Marine EBITDA</t>
  </si>
  <si>
    <t xml:space="preserve">D&amp;S EBITDA</t>
  </si>
  <si>
    <t xml:space="preserve">Implied Overhead</t>
  </si>
  <si>
    <t xml:space="preserve">Total EBITDA</t>
  </si>
  <si>
    <t xml:space="preserve">Ton Miles (mm)</t>
  </si>
  <si>
    <t xml:space="preserve">Revenue/ Ton Mile (cents/tm)</t>
  </si>
  <si>
    <t xml:space="preserve">Inland Revenues</t>
  </si>
  <si>
    <t xml:space="preserve">Coastal Revenues</t>
  </si>
  <si>
    <t xml:space="preserve">CFS</t>
  </si>
  <si>
    <t xml:space="preserve">As Reported EBITDA</t>
  </si>
  <si>
    <t xml:space="preserve">(+) Other Income</t>
  </si>
  <si>
    <t xml:space="preserve">(-) Cash Interest</t>
  </si>
  <si>
    <t xml:space="preserve">(-) Cash Tax</t>
  </si>
  <si>
    <t xml:space="preserve">SBC</t>
  </si>
  <si>
    <t xml:space="preserve">Amortization of maint. Costs</t>
  </si>
  <si>
    <t xml:space="preserve">Working Capital Ex-Tax</t>
  </si>
  <si>
    <t xml:space="preserve">Other</t>
  </si>
  <si>
    <t xml:space="preserve">Plug</t>
  </si>
  <si>
    <t xml:space="preserve">CFO</t>
  </si>
  <si>
    <t xml:space="preserve">CAPEX</t>
  </si>
  <si>
    <t xml:space="preserve">Acquisitions</t>
  </si>
  <si>
    <t xml:space="preserve">Disposals</t>
  </si>
  <si>
    <t xml:space="preserve">CFI</t>
  </si>
  <si>
    <t xml:space="preserve">Change in debt</t>
  </si>
  <si>
    <t xml:space="preserve">Proceeds from exercise of SBC</t>
  </si>
  <si>
    <t xml:space="preserve">Equity issuance/repurchase</t>
  </si>
  <si>
    <t xml:space="preserve">SBC Tax Withholding</t>
  </si>
  <si>
    <t xml:space="preserve">Debt issuance cost</t>
  </si>
  <si>
    <t xml:space="preserve">CFF</t>
  </si>
  <si>
    <t xml:space="preserve">Total Change in Cash</t>
  </si>
  <si>
    <t xml:space="preserve">Cash Check</t>
  </si>
  <si>
    <t xml:space="preserve">(+) Interest</t>
  </si>
  <si>
    <t xml:space="preserve">(-) Required CAPEX</t>
  </si>
  <si>
    <t xml:space="preserve">FCFF</t>
  </si>
  <si>
    <t xml:space="preserve">)</t>
  </si>
  <si>
    <t xml:space="preserve">Marine Transport DCF</t>
  </si>
  <si>
    <t xml:space="preserve">LT Normalized</t>
  </si>
  <si>
    <t xml:space="preserve">Ton Miles</t>
  </si>
  <si>
    <t xml:space="preserve">% Growth</t>
  </si>
  <si>
    <t xml:space="preserve">Pricing</t>
  </si>
  <si>
    <t xml:space="preserve">Inland Revenue</t>
  </si>
  <si>
    <t xml:space="preserve">(+) Coastal Revenue</t>
  </si>
  <si>
    <t xml:space="preserve">Total Revenue</t>
  </si>
  <si>
    <t xml:space="preserve">EBIT</t>
  </si>
  <si>
    <t xml:space="preserve">EBIT Margin %</t>
  </si>
  <si>
    <t xml:space="preserve">Step-up $mm</t>
  </si>
  <si>
    <t xml:space="preserve">EBITDA</t>
  </si>
  <si>
    <t xml:space="preserve">Tax on EBITDA</t>
  </si>
  <si>
    <t xml:space="preserve">(-) Tax</t>
  </si>
  <si>
    <t xml:space="preserve">(-) mCAPEX</t>
  </si>
  <si>
    <t xml:space="preserve">Conversion %</t>
  </si>
  <si>
    <t xml:space="preserve">Disc Rate</t>
  </si>
  <si>
    <t xml:space="preserve">PV Factor</t>
  </si>
  <si>
    <t xml:space="preserve">PV</t>
  </si>
  <si>
    <t xml:space="preserve">Terminal G</t>
  </si>
  <si>
    <t xml:space="preserve">TEV</t>
  </si>
  <si>
    <t xml:space="preserve">Impl FCF Yield</t>
  </si>
</sst>
</file>

<file path=xl/styles.xml><?xml version="1.0" encoding="utf-8"?>
<styleSheet xmlns="http://schemas.openxmlformats.org/spreadsheetml/2006/main">
  <numFmts count="79">
    <numFmt numFmtId="164" formatCode="General"/>
    <numFmt numFmtId="165" formatCode="\$#,##0;&quot;($&quot;#,##0\)"/>
    <numFmt numFmtId="166" formatCode="\$#,##0.0"/>
    <numFmt numFmtId="167" formatCode="\$#,##0.00;&quot;($&quot;#,##0.00\)"/>
    <numFmt numFmtId="168" formatCode="0%"/>
    <numFmt numFmtId="169" formatCode="0.0%"/>
    <numFmt numFmtId="170" formatCode="0.00"/>
    <numFmt numFmtId="171" formatCode="0.00%"/>
    <numFmt numFmtId="172" formatCode="0.0"/>
    <numFmt numFmtId="173" formatCode="#,##0;[RED]\-#,##0"/>
    <numFmt numFmtId="174" formatCode="0_)"/>
    <numFmt numFmtId="175" formatCode="0"/>
    <numFmt numFmtId="176" formatCode="#,##0;\-#,##0"/>
    <numFmt numFmtId="177" formatCode="#,##0.00;[RED]\-#,##0.00"/>
    <numFmt numFmtId="178" formatCode="0.0_)\%;\(0.0&quot;)%&quot;;0.0_)\%;@_)_%"/>
    <numFmt numFmtId="179" formatCode="#,##0.0_)_%;\(#,##0.0\)_%;0.0_)_%;@_)_%"/>
    <numFmt numFmtId="180" formatCode="#,##0.0_);\(#,##0.0\);#,##0.0_);@_)"/>
    <numFmt numFmtId="181" formatCode="#,##0.0_);\(#,##0.0\)"/>
    <numFmt numFmtId="182" formatCode="\$_(#,##0.00_);&quot;$(&quot;#,##0.00\);\$_(0.00_);@_)"/>
    <numFmt numFmtId="183" formatCode="\$_(#,##0.00_);&quot;$(&quot;#,##0.00\)"/>
    <numFmt numFmtId="184" formatCode="#,##0.00_);\(#,##0.00\);0.00_);@_)"/>
    <numFmt numFmtId="185" formatCode="#,##0.00;\-#,##0.00"/>
    <numFmt numFmtId="186" formatCode="\€_(#,##0.00_);&quot;€(&quot;#,##0.00\);\€_(0.00_);@_)"/>
    <numFmt numFmtId="187" formatCode="#,##0_)\x;\(#,##0&quot;)x&quot;;0_)\x;@_)_x"/>
    <numFmt numFmtId="188" formatCode="#,##0.0_)\x;\(#,##0.0&quot;)x&quot;"/>
    <numFmt numFmtId="189" formatCode="#,##0_)_x;\(#,##0\)_x;0_)_x;@_)_x"/>
    <numFmt numFmtId="190" formatCode="#,##0.0_)_x;\(#,##0.0\)_x"/>
    <numFmt numFmtId="191" formatCode="#,##0.0_)_x;\(#,##0.0\)_x;0.0_)_x;@_)_x"/>
    <numFmt numFmtId="192" formatCode="0.0_)\%;\(0.0&quot;)%&quot;"/>
    <numFmt numFmtId="193" formatCode="#,##0.0_)_%;\(#,##0.0\)_%"/>
    <numFmt numFmtId="194" formatCode="m\-d\-yy"/>
    <numFmt numFmtId="195" formatCode="#,##0.0_);[RED]\(#,##0.0\)"/>
    <numFmt numFmtId="196" formatCode="#,##0.0000_);\(#,##0.0000\)"/>
    <numFmt numFmtId="197" formatCode="\$#,##0.00;&quot;-$&quot;#,##0.00"/>
    <numFmt numFmtId="198" formatCode="\$#,##0;&quot;-$&quot;#,##0"/>
    <numFmt numFmtId="199" formatCode="\$#.;&quot;($&quot;#,\)"/>
    <numFmt numFmtId="200" formatCode="\$#,##0.00;[RED]&quot;-$&quot;#,##0.00"/>
    <numFmt numFmtId="201" formatCode="#,##0"/>
    <numFmt numFmtId="202" formatCode="#,##0_%_);\(#,##0\)_%;#,##0_%_);@_%_)"/>
    <numFmt numFmtId="203" formatCode="_-* #,##0.00_-;\-* #,##0.00_-;_-* \-??_-;_-@_-"/>
    <numFmt numFmtId="204" formatCode="0.0_);\(0.0\)"/>
    <numFmt numFmtId="205" formatCode="_-* #,##0_-;\-* #,##0_-;_-* \-_-;_-@_-"/>
    <numFmt numFmtId="206" formatCode="#,##0.00"/>
    <numFmt numFmtId="207" formatCode="\$#,##0;[RED]&quot;-$&quot;#,##0"/>
    <numFmt numFmtId="208" formatCode="yyyy"/>
    <numFmt numFmtId="209" formatCode="mm/dd/yyyy"/>
    <numFmt numFmtId="210" formatCode="mmm\ d&quot;, &quot;yy"/>
    <numFmt numFmtId="211" formatCode="mm/yy"/>
    <numFmt numFmtId="212" formatCode="m/d/yy_%_)"/>
    <numFmt numFmtId="213" formatCode="m/yy"/>
    <numFmt numFmtId="214" formatCode="#,##0;\(#,##0\)"/>
    <numFmt numFmtId="215" formatCode="#,##0.0;\(#,##0.0\)"/>
    <numFmt numFmtId="216" formatCode="#,##0.00;\(#,##0.00\)"/>
    <numFmt numFmtId="217" formatCode="&quot;D$&quot;#,##0.00_);[RED]&quot;(D$&quot;#,##0.00\)"/>
    <numFmt numFmtId="218" formatCode="&quot;C$&quot;#,##0.00_);[RED]&quot;(C$&quot;#,##0.00\)"/>
    <numFmt numFmtId="219" formatCode="0_%_);\(0\)_%;0_%_);@_%_)"/>
    <numFmt numFmtId="220" formatCode="&quot;EBITDA&quot;0.0"/>
    <numFmt numFmtId="221" formatCode="0.0\x"/>
    <numFmt numFmtId="222" formatCode="\$#,##0.00"/>
    <numFmt numFmtId="223" formatCode="0.00%_);\(0.00%\)"/>
    <numFmt numFmtId="224" formatCode="#,##0.00&quot; $&quot;;\-#,##0.00&quot; $&quot;"/>
    <numFmt numFmtId="225" formatCode="\$#,##0.0;&quot;($&quot;#,##0.0\)"/>
    <numFmt numFmtId="226" formatCode="&quot;L$&quot;#,##0_);[RED]&quot;(L$&quot;#,##0\)"/>
    <numFmt numFmtId="227" formatCode="\$#,\);&quot;($&quot;#,\)"/>
    <numFmt numFmtId="228" formatCode="\$#,\);&quot;($&quot;#,##0\)"/>
    <numFmt numFmtId="229" formatCode="\$#,;&quot;($&quot;#,\)"/>
    <numFmt numFmtId="230" formatCode="mm/dd/yy"/>
    <numFmt numFmtId="231" formatCode="_ &quot;SFr.&quot;* #,##0.00_ ;_ &quot;SFr.&quot;* \-#,##0.00_ ;_ &quot;SFr.&quot;* \-??_ ;_ @_ "/>
    <numFmt numFmtId="232" formatCode="0.00_)"/>
    <numFmt numFmtId="233" formatCode="mm/dd/yy_)"/>
    <numFmt numFmtId="234" formatCode="#,##0.00;[RED]\(#,##0.00\)"/>
    <numFmt numFmtId="235" formatCode="0.00&quot; x&quot;_);\(0.00&quot; x)&quot;"/>
    <numFmt numFmtId="236" formatCode="mm/dd/yy&quot;   &quot;h:mm\ AM/PM"/>
    <numFmt numFmtId="237" formatCode="_(#,##0.0_)_%;\(#,##0.0\)_%;_(\–_)_%;_(@_)_%"/>
    <numFmt numFmtId="238" formatCode="_(#,##0_)_%;\(#,##0\)_%;_(\–_)_%;_(@_)_%"/>
    <numFmt numFmtId="239" formatCode="_(#,##0.0%_);\(#,##0.0%\);_(\–_)_%;_(@_)_%"/>
    <numFmt numFmtId="240" formatCode="_([$$]#,##0.00_)_%;\([$$]#,##0.00\)_%;_(\–_)_%;_(@_)_%"/>
    <numFmt numFmtId="241" formatCode="#,##0.000000_);\(#,##0.000000\)"/>
    <numFmt numFmtId="242" formatCode="_(#,##0.00_)_%;\(#,##0.00\)_%;_(\–_)_%;_(@_)_%"/>
  </numFmts>
  <fonts count="15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Times New Roman"/>
      <family val="0"/>
      <charset val="1"/>
    </font>
    <font>
      <sz val="8"/>
      <name val="Times New Roman"/>
      <family val="1"/>
      <charset val="1"/>
    </font>
    <font>
      <sz val="10"/>
      <name val="Arial"/>
      <family val="2"/>
      <charset val="1"/>
    </font>
    <font>
      <sz val="8"/>
      <name val="MS Serif"/>
      <family val="1"/>
      <charset val="1"/>
    </font>
    <font>
      <sz val="10"/>
      <name val="MS Sans Serif"/>
      <family val="2"/>
      <charset val="1"/>
    </font>
    <font>
      <sz val="10"/>
      <name val="Times New Roman"/>
      <family val="1"/>
      <charset val="1"/>
    </font>
    <font>
      <u val="single"/>
      <sz val="10"/>
      <name val="Arial"/>
      <family val="2"/>
      <charset val="1"/>
    </font>
    <font>
      <sz val="12"/>
      <color rgb="FF0000FF"/>
      <name val="Book Antiqua"/>
      <family val="1"/>
      <charset val="1"/>
    </font>
    <font>
      <sz val="8"/>
      <color theme="1"/>
      <name val="Expert Sans Regular"/>
      <family val="2"/>
      <charset val="1"/>
    </font>
    <font>
      <sz val="8"/>
      <color theme="0"/>
      <name val="Expert Sans Regular"/>
      <family val="2"/>
      <charset val="1"/>
    </font>
    <font>
      <sz val="12"/>
      <name val="Arial MT"/>
      <family val="0"/>
      <charset val="1"/>
    </font>
    <font>
      <sz val="8"/>
      <name val="Arial"/>
      <family val="2"/>
      <charset val="1"/>
    </font>
    <font>
      <b val="true"/>
      <sz val="22"/>
      <color rgb="FF000080"/>
      <name val="Arial"/>
      <family val="2"/>
      <charset val="1"/>
    </font>
    <font>
      <b val="true"/>
      <sz val="14"/>
      <color rgb="FF00008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10"/>
      <color rgb="FF000080"/>
      <name val="Arial"/>
      <family val="2"/>
      <charset val="1"/>
    </font>
    <font>
      <b val="true"/>
      <u val="single"/>
      <sz val="10"/>
      <color rgb="FF000080"/>
      <name val="Arial"/>
      <family val="2"/>
      <charset val="1"/>
    </font>
    <font>
      <b val="true"/>
      <sz val="10"/>
      <name val="Arial"/>
      <family val="2"/>
      <charset val="1"/>
    </font>
    <font>
      <sz val="12"/>
      <name val="Arial"/>
      <family val="2"/>
      <charset val="1"/>
    </font>
    <font>
      <b val="true"/>
      <sz val="8"/>
      <name val="arial"/>
      <family val="2"/>
      <charset val="1"/>
    </font>
    <font>
      <i val="true"/>
      <sz val="8"/>
      <name val="Arial"/>
      <family val="2"/>
      <charset val="1"/>
    </font>
    <font>
      <sz val="8"/>
      <color rgb="FF0000FF"/>
      <name val="Arial"/>
      <family val="0"/>
      <charset val="1"/>
    </font>
    <font>
      <sz val="10"/>
      <name val="Geneva"/>
      <family val="2"/>
      <charset val="1"/>
    </font>
    <font>
      <sz val="8"/>
      <color rgb="FF9C0006"/>
      <name val="Expert Sans Regular"/>
      <family val="2"/>
      <charset val="1"/>
    </font>
    <font>
      <sz val="8"/>
      <name val="Palatino"/>
      <family val="1"/>
      <charset val="1"/>
    </font>
    <font>
      <sz val="10"/>
      <color rgb="FF000000"/>
      <name val="Arial"/>
      <family val="2"/>
      <charset val="1"/>
    </font>
    <font>
      <sz val="10"/>
      <color rgb="FF000000"/>
      <name val="Times New Roman"/>
      <family val="1"/>
      <charset val="1"/>
    </font>
    <font>
      <strike val="true"/>
      <sz val="8"/>
      <name val="Arial"/>
      <family val="2"/>
      <charset val="1"/>
    </font>
    <font>
      <sz val="8"/>
      <color rgb="FF000000"/>
      <name val="Arial"/>
      <family val="2"/>
      <charset val="1"/>
    </font>
    <font>
      <sz val="8"/>
      <color rgb="FF0000FF"/>
      <name val="Times New Roman"/>
      <family val="0"/>
      <charset val="1"/>
    </font>
    <font>
      <sz val="10"/>
      <color rgb="FF0000FF"/>
      <name val="Times New Roman"/>
      <family val="1"/>
      <charset val="1"/>
    </font>
    <font>
      <sz val="10"/>
      <color rgb="FF0000FF"/>
      <name val="Arial"/>
      <family val="2"/>
      <charset val="1"/>
    </font>
    <font>
      <sz val="8"/>
      <name val="Arial"/>
      <family val="0"/>
      <charset val="1"/>
    </font>
    <font>
      <sz val="12"/>
      <name val="Times New Roman"/>
      <family val="0"/>
      <charset val="1"/>
    </font>
    <font>
      <b val="true"/>
      <sz val="8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8"/>
      <color rgb="FF000000"/>
      <name val="Arial"/>
      <family val="2"/>
      <charset val="1"/>
    </font>
    <font>
      <b val="true"/>
      <sz val="10"/>
      <name val="MS Sans Serif"/>
      <family val="2"/>
      <charset val="1"/>
    </font>
    <font>
      <sz val="12"/>
      <name val="Times New Roman"/>
      <family val="1"/>
      <charset val="1"/>
    </font>
    <font>
      <b val="true"/>
      <sz val="8"/>
      <color rgb="FFFA7D00"/>
      <name val="Expert Sans Regular"/>
      <family val="2"/>
      <charset val="1"/>
    </font>
    <font>
      <b val="true"/>
      <i val="true"/>
      <sz val="10"/>
      <name val="Times New Roman"/>
      <family val="1"/>
      <charset val="1"/>
    </font>
    <font>
      <b val="true"/>
      <sz val="10"/>
      <name val="MS Serif"/>
      <family val="1"/>
      <charset val="1"/>
    </font>
    <font>
      <b val="true"/>
      <sz val="11"/>
      <name val="Arial"/>
      <family val="2"/>
      <charset val="1"/>
    </font>
    <font>
      <sz val="10"/>
      <color rgb="FF000080"/>
      <name val="Times New Roman"/>
      <family val="1"/>
      <charset val="1"/>
    </font>
    <font>
      <sz val="6"/>
      <name val="Arial Narrow"/>
      <family val="2"/>
      <charset val="1"/>
    </font>
    <font>
      <b val="true"/>
      <sz val="8"/>
      <color theme="0"/>
      <name val="Expert Sans Regular"/>
      <family val="2"/>
      <charset val="1"/>
    </font>
    <font>
      <b val="true"/>
      <sz val="7"/>
      <name val="Helvetica-Narrow"/>
      <family val="2"/>
      <charset val="1"/>
    </font>
    <font>
      <b val="true"/>
      <sz val="7"/>
      <name val="GillSans"/>
      <family val="2"/>
      <charset val="1"/>
    </font>
    <font>
      <sz val="8"/>
      <color rgb="FF008000"/>
      <name val="Times New Roman"/>
      <family val="1"/>
      <charset val="1"/>
    </font>
    <font>
      <b val="true"/>
      <u val="single"/>
      <sz val="8"/>
      <name val="Arial"/>
      <family val="2"/>
      <charset val="1"/>
    </font>
    <font>
      <sz val="11"/>
      <name val="Times New Roman"/>
      <family val="1"/>
      <charset val="1"/>
    </font>
    <font>
      <sz val="10.5"/>
      <name val="Frutiger 45 Light"/>
      <family val="2"/>
      <charset val="1"/>
    </font>
    <font>
      <sz val="10"/>
      <name val="Arial Narrow"/>
      <family val="2"/>
      <charset val="1"/>
    </font>
    <font>
      <sz val="10"/>
      <name val="BERNHARD"/>
      <family val="0"/>
      <charset val="1"/>
    </font>
    <font>
      <sz val="10"/>
      <name val="Arial"/>
      <family val="0"/>
      <charset val="1"/>
    </font>
    <font>
      <sz val="10"/>
      <color rgb="FF0000FF"/>
      <name val="Geneva"/>
      <family val="2"/>
      <charset val="1"/>
    </font>
    <font>
      <b val="true"/>
      <sz val="14"/>
      <name val="Arial"/>
      <family val="2"/>
      <charset val="1"/>
    </font>
    <font>
      <b val="true"/>
      <sz val="11"/>
      <name val="Times New Roman"/>
      <family val="1"/>
      <charset val="1"/>
    </font>
    <font>
      <sz val="10"/>
      <name val="MS Serif"/>
      <family val="1"/>
      <charset val="1"/>
    </font>
    <font>
      <sz val="14"/>
      <name val="Palatino"/>
      <family val="1"/>
      <charset val="1"/>
    </font>
    <font>
      <sz val="16"/>
      <name val="Palatino"/>
      <family val="1"/>
      <charset val="1"/>
    </font>
    <font>
      <sz val="32"/>
      <name val="Helvetica-Black"/>
      <family val="0"/>
      <charset val="1"/>
    </font>
    <font>
      <sz val="8"/>
      <color rgb="FF800000"/>
      <name val="Palatino"/>
      <family val="1"/>
      <charset val="1"/>
    </font>
    <font>
      <sz val="11"/>
      <color rgb="FF0000FF"/>
      <name val="Book Antiqua"/>
      <family val="1"/>
      <charset val="1"/>
    </font>
    <font>
      <sz val="8"/>
      <color rgb="FF0000FF"/>
      <name val="Times New Roman"/>
      <family val="1"/>
      <charset val="1"/>
    </font>
    <font>
      <sz val="8"/>
      <name val="Univers 47 CondensedLight"/>
      <family val="2"/>
      <charset val="1"/>
    </font>
    <font>
      <sz val="9"/>
      <name val="Arial"/>
      <family val="2"/>
      <charset val="1"/>
    </font>
    <font>
      <sz val="8"/>
      <color rgb="FF0000FF"/>
      <name val="Arial"/>
      <family val="2"/>
      <charset val="1"/>
    </font>
    <font>
      <u val="single"/>
      <sz val="8"/>
      <color rgb="FF0000FF"/>
      <name val="Times New Roman"/>
      <family val="1"/>
      <charset val="1"/>
    </font>
    <font>
      <sz val="7"/>
      <name val="Times New Roman"/>
      <family val="1"/>
      <charset val="1"/>
    </font>
    <font>
      <sz val="1"/>
      <color rgb="FF000000"/>
      <name val="Courier New"/>
      <family val="3"/>
      <charset val="1"/>
    </font>
    <font>
      <u val="double"/>
      <sz val="10"/>
      <name val="Arial"/>
      <family val="2"/>
      <charset val="1"/>
    </font>
    <font>
      <b val="true"/>
      <i val="true"/>
      <sz val="8"/>
      <color rgb="FF0000FF"/>
      <name val="Helvetica-Narrow"/>
      <family val="2"/>
      <charset val="1"/>
    </font>
    <font>
      <b val="true"/>
      <sz val="1"/>
      <color rgb="FF000000"/>
      <name val="Courier New"/>
      <family val="3"/>
      <charset val="1"/>
    </font>
    <font>
      <sz val="10"/>
      <color rgb="FF800000"/>
      <name val="MS Serif"/>
      <family val="1"/>
      <charset val="1"/>
    </font>
    <font>
      <b val="true"/>
      <u val="single"/>
      <sz val="12"/>
      <name val="Arial Narrow"/>
      <family val="2"/>
      <charset val="1"/>
    </font>
    <font>
      <i val="true"/>
      <sz val="8"/>
      <color rgb="FF7F7F7F"/>
      <name val="Expert Sans Regular"/>
      <family val="2"/>
      <charset val="1"/>
    </font>
    <font>
      <b val="true"/>
      <sz val="7"/>
      <color rgb="FF0000FF"/>
      <name val="Arial"/>
      <family val="2"/>
      <charset val="1"/>
    </font>
    <font>
      <sz val="6"/>
      <color rgb="FF808080"/>
      <name val="Helvetica-Black"/>
      <family val="0"/>
      <charset val="1"/>
    </font>
    <font>
      <sz val="9.5"/>
      <color rgb="FF808080"/>
      <name val="Helvetica-Black"/>
      <family val="0"/>
      <charset val="1"/>
    </font>
    <font>
      <sz val="7"/>
      <name val="Palatino"/>
      <family val="1"/>
      <charset val="1"/>
    </font>
    <font>
      <sz val="8"/>
      <color rgb="FF000000"/>
      <name val="Trebuchet MS"/>
      <family val="2"/>
      <charset val="1"/>
    </font>
    <font>
      <sz val="8"/>
      <color rgb="FF006100"/>
      <name val="Expert Sans Regular"/>
      <family val="2"/>
      <charset val="1"/>
    </font>
    <font>
      <b val="true"/>
      <sz val="12"/>
      <color rgb="FFFFFFFF"/>
      <name val="Times New Roman"/>
      <family val="0"/>
      <charset val="1"/>
    </font>
    <font>
      <b val="true"/>
      <sz val="10"/>
      <color rgb="FFFFFFFF"/>
      <name val="GillSans"/>
      <family val="2"/>
      <charset val="1"/>
    </font>
    <font>
      <b val="true"/>
      <sz val="10"/>
      <color rgb="FF000000"/>
      <name val="GillSans"/>
      <family val="2"/>
      <charset val="1"/>
    </font>
    <font>
      <sz val="6"/>
      <color rgb="FF800000"/>
      <name val="Palatino"/>
      <family val="1"/>
      <charset val="1"/>
    </font>
    <font>
      <sz val="6"/>
      <name val="Palatino"/>
      <family val="1"/>
      <charset val="1"/>
    </font>
    <font>
      <b val="true"/>
      <sz val="12"/>
      <name val="Arial"/>
      <family val="2"/>
      <charset val="1"/>
    </font>
    <font>
      <b val="true"/>
      <sz val="15"/>
      <color theme="3"/>
      <name val="Expert Sans Regular"/>
      <family val="2"/>
      <charset val="1"/>
    </font>
    <font>
      <sz val="10"/>
      <name val="Helvetica-Black"/>
      <family val="0"/>
      <charset val="1"/>
    </font>
    <font>
      <sz val="28"/>
      <name val="Helvetica-Black"/>
      <family val="0"/>
      <charset val="1"/>
    </font>
    <font>
      <b val="true"/>
      <sz val="13"/>
      <color theme="3"/>
      <name val="Expert Sans Regular"/>
      <family val="2"/>
      <charset val="1"/>
    </font>
    <font>
      <sz val="10"/>
      <name val="Palatino"/>
      <family val="1"/>
      <charset val="1"/>
    </font>
    <font>
      <sz val="18"/>
      <name val="Palatino"/>
      <family val="1"/>
      <charset val="1"/>
    </font>
    <font>
      <b val="true"/>
      <i val="true"/>
      <sz val="8"/>
      <name val="Arial"/>
      <family val="0"/>
      <charset val="1"/>
    </font>
    <font>
      <b val="true"/>
      <sz val="11"/>
      <color theme="3"/>
      <name val="Expert Sans Regular"/>
      <family val="2"/>
      <charset val="1"/>
    </font>
    <font>
      <i val="true"/>
      <sz val="14"/>
      <name val="Palatino"/>
      <family val="1"/>
      <charset val="1"/>
    </font>
    <font>
      <b val="true"/>
      <sz val="8"/>
      <name val="MS Sans Serif"/>
      <family val="2"/>
      <charset val="1"/>
    </font>
    <font>
      <u val="single"/>
      <sz val="7.5"/>
      <color rgb="FF0000FF"/>
      <name val="Arial"/>
      <family val="2"/>
      <charset val="1"/>
    </font>
    <font>
      <u val="single"/>
      <sz val="10"/>
      <color theme="10"/>
      <name val="Arial Narrow"/>
      <family val="2"/>
      <charset val="1"/>
    </font>
    <font>
      <u val="single"/>
      <sz val="8"/>
      <color theme="10"/>
      <name val="Arial"/>
      <family val="2"/>
      <charset val="1"/>
    </font>
    <font>
      <sz val="8"/>
      <color rgb="FF3F3F76"/>
      <name val="Expert Sans Regular"/>
      <family val="2"/>
      <charset val="1"/>
    </font>
    <font>
      <sz val="8"/>
      <color rgb="FF0000FF"/>
      <name val="Palatino"/>
      <family val="1"/>
      <charset val="1"/>
    </font>
    <font>
      <sz val="8"/>
      <color rgb="FFFF0000"/>
      <name val="Arial"/>
      <family val="0"/>
      <charset val="1"/>
    </font>
    <font>
      <sz val="10"/>
      <name val="GillSans Light"/>
      <family val="2"/>
      <charset val="1"/>
    </font>
    <font>
      <i val="true"/>
      <sz val="16"/>
      <name val="Times New Roman"/>
      <family val="1"/>
      <charset val="1"/>
    </font>
    <font>
      <sz val="10"/>
      <color rgb="FF800000"/>
      <name val="MS Sans Serif"/>
      <family val="2"/>
      <charset val="1"/>
    </font>
    <font>
      <sz val="8"/>
      <color rgb="FFFA7D00"/>
      <name val="Expert Sans Regular"/>
      <family val="2"/>
      <charset val="1"/>
    </font>
    <font>
      <sz val="8"/>
      <color rgb="FF000000"/>
      <name val="Arial"/>
      <family val="0"/>
      <charset val="1"/>
    </font>
    <font>
      <sz val="10"/>
      <color rgb="FF800080"/>
      <name val="Times New Roman"/>
      <family val="1"/>
      <charset val="1"/>
    </font>
    <font>
      <sz val="8"/>
      <color rgb="FF9C6500"/>
      <name val="Expert Sans Regular"/>
      <family val="2"/>
      <charset val="1"/>
    </font>
    <font>
      <sz val="7"/>
      <name val="Small Fonts"/>
      <family val="2"/>
      <charset val="1"/>
    </font>
    <font>
      <sz val="10"/>
      <name val="Times New Roman"/>
      <family val="0"/>
      <charset val="1"/>
    </font>
    <font>
      <b val="true"/>
      <i val="true"/>
      <sz val="16"/>
      <name val="Arial"/>
      <family val="0"/>
      <charset val="1"/>
    </font>
    <font>
      <sz val="10"/>
      <color rgb="FF000000"/>
      <name val="MS Sans Serif"/>
      <family val="2"/>
      <charset val="1"/>
    </font>
    <font>
      <sz val="7"/>
      <color rgb="FF0000FF"/>
      <name val="Arial"/>
      <family val="2"/>
      <charset val="1"/>
    </font>
    <font>
      <i val="true"/>
      <sz val="10"/>
      <name val="Arial"/>
      <family val="0"/>
      <charset val="1"/>
    </font>
    <font>
      <i val="true"/>
      <sz val="8"/>
      <color rgb="FF0000FF"/>
      <name val="Arial"/>
      <family val="2"/>
      <charset val="1"/>
    </font>
    <font>
      <b val="true"/>
      <sz val="13.5"/>
      <name val="MS Sans Serif"/>
      <family val="2"/>
      <charset val="1"/>
    </font>
    <font>
      <b val="true"/>
      <sz val="8"/>
      <color rgb="FF3F3F3F"/>
      <name val="Expert Sans Regular"/>
      <family val="2"/>
      <charset val="1"/>
    </font>
    <font>
      <u val="single"/>
      <sz val="10"/>
      <name val="Times New Roman"/>
      <family val="1"/>
      <charset val="1"/>
    </font>
    <font>
      <b val="true"/>
      <sz val="26"/>
      <name val="Times New Roman"/>
      <family val="1"/>
      <charset val="1"/>
    </font>
    <font>
      <sz val="10"/>
      <color rgb="FF800000"/>
      <name val="Helvetica-Black"/>
      <family val="0"/>
      <charset val="1"/>
    </font>
    <font>
      <b val="true"/>
      <sz val="10"/>
      <name val="Times New Roman"/>
      <family val="1"/>
      <charset val="1"/>
    </font>
    <font>
      <sz val="9"/>
      <name val="Times New Roman"/>
      <family val="1"/>
      <charset val="1"/>
    </font>
    <font>
      <b val="true"/>
      <sz val="11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i val="true"/>
      <sz val="11"/>
      <color rgb="FF0000FF"/>
      <name val="Calibri"/>
      <family val="2"/>
      <charset val="1"/>
    </font>
    <font>
      <b val="true"/>
      <sz val="11"/>
      <color rgb="FF0000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name val="Calibri"/>
      <family val="2"/>
      <charset val="1"/>
    </font>
    <font>
      <i val="true"/>
      <sz val="11"/>
      <color rgb="FF000000"/>
      <name val="Calibri"/>
      <family val="0"/>
      <charset val="1"/>
    </font>
    <font>
      <i val="true"/>
      <sz val="11"/>
      <color rgb="FF000000"/>
      <name val="Calibri"/>
      <family val="2"/>
      <charset val="1"/>
    </font>
    <font>
      <i val="true"/>
      <sz val="11"/>
      <color rgb="FF008000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sz val="11"/>
      <color theme="0" tint="-0.05"/>
      <name val="Calibri"/>
      <family val="2"/>
      <charset val="1"/>
    </font>
    <font>
      <sz val="11"/>
      <color rgb="FF008000"/>
      <name val="Calibri"/>
      <family val="0"/>
      <charset val="1"/>
    </font>
    <font>
      <b val="true"/>
      <sz val="11"/>
      <color rgb="FF0000FF"/>
      <name val="Calibri"/>
      <family val="2"/>
      <charset val="1"/>
    </font>
    <font>
      <b val="true"/>
      <i val="true"/>
      <sz val="11"/>
      <color rgb="FF000000"/>
      <name val="Calibri"/>
      <family val="0"/>
      <charset val="1"/>
    </font>
    <font>
      <b val="true"/>
      <u val="single"/>
      <sz val="11"/>
      <color theme="1"/>
      <name val="Calibri"/>
      <family val="2"/>
      <charset val="1"/>
    </font>
    <font>
      <i val="true"/>
      <sz val="11"/>
      <color rgb="FF0000FF"/>
      <name val="Calibri"/>
      <family val="0"/>
      <charset val="1"/>
    </font>
    <font>
      <b val="true"/>
      <sz val="11"/>
      <color rgb="FF008000"/>
      <name val="Calibri"/>
      <family val="0"/>
      <charset val="1"/>
    </font>
    <font>
      <i val="true"/>
      <sz val="11"/>
      <color rgb="FF008000"/>
      <name val="Calibri"/>
      <family val="0"/>
      <charset val="1"/>
    </font>
  </fonts>
  <fills count="46">
    <fill>
      <patternFill patternType="none"/>
    </fill>
    <fill>
      <patternFill patternType="gray125"/>
    </fill>
    <fill>
      <patternFill patternType="solid">
        <fgColor rgb="FFC0C0C0"/>
        <bgColor rgb="FFC9C9C9"/>
      </patternFill>
    </fill>
    <fill>
      <patternFill patternType="solid">
        <fgColor theme="4" tint="0.7999"/>
        <bgColor rgb="FFDEEBF7"/>
      </patternFill>
    </fill>
    <fill>
      <patternFill patternType="solid">
        <fgColor theme="5" tint="0.7999"/>
        <bgColor rgb="FFFFF2CC"/>
      </patternFill>
    </fill>
    <fill>
      <patternFill patternType="solid">
        <fgColor theme="6" tint="0.7999"/>
        <bgColor rgb="FFF0F0F0"/>
      </patternFill>
    </fill>
    <fill>
      <patternFill patternType="solid">
        <fgColor theme="7" tint="0.7999"/>
        <bgColor rgb="FFFFFFCC"/>
      </patternFill>
    </fill>
    <fill>
      <patternFill patternType="solid">
        <fgColor theme="8" tint="0.7999"/>
        <bgColor rgb="FFDAE3F3"/>
      </patternFill>
    </fill>
    <fill>
      <patternFill patternType="solid">
        <fgColor theme="9" tint="0.7999"/>
        <bgColor rgb="FFEDEDED"/>
      </patternFill>
    </fill>
    <fill>
      <patternFill patternType="solid">
        <fgColor theme="4" tint="0.5999"/>
        <bgColor rgb="FFC2D4E6"/>
      </patternFill>
    </fill>
    <fill>
      <patternFill patternType="solid">
        <fgColor theme="5" tint="0.5999"/>
        <bgColor rgb="FFFFCC99"/>
      </patternFill>
    </fill>
    <fill>
      <patternFill patternType="solid">
        <fgColor theme="6" tint="0.5999"/>
        <bgColor rgb="FFE0E0E0"/>
      </patternFill>
    </fill>
    <fill>
      <patternFill patternType="solid">
        <fgColor theme="7" tint="0.5999"/>
        <bgColor rgb="FFFFEB9C"/>
      </patternFill>
    </fill>
    <fill>
      <patternFill patternType="solid">
        <fgColor theme="8" tint="0.5999"/>
        <bgColor rgb="FFC8DAF8"/>
      </patternFill>
    </fill>
    <fill>
      <patternFill patternType="solid">
        <fgColor theme="9" tint="0.5999"/>
        <bgColor rgb="FFD0CECE"/>
      </patternFill>
    </fill>
    <fill>
      <patternFill patternType="darkGray">
        <fgColor theme="4" tint="0.3999"/>
        <bgColor rgb="FFA8A8A8"/>
      </patternFill>
    </fill>
    <fill>
      <patternFill patternType="darkGray">
        <fgColor theme="5" tint="0.3999"/>
        <bgColor rgb="FFFFCC99"/>
      </patternFill>
    </fill>
    <fill>
      <patternFill patternType="solid">
        <fgColor theme="6" tint="0.3999"/>
        <bgColor rgb="FFD0CECE"/>
      </patternFill>
    </fill>
    <fill>
      <patternFill patternType="solid">
        <fgColor theme="7" tint="0.3999"/>
        <bgColor rgb="FFFFCC99"/>
      </patternFill>
    </fill>
    <fill>
      <patternFill patternType="solid">
        <fgColor theme="8" tint="0.3999"/>
        <bgColor rgb="FF99CCFF"/>
      </patternFill>
    </fill>
    <fill>
      <patternFill patternType="solid">
        <fgColor theme="9" tint="0.3999"/>
        <bgColor rgb="FFC0C0C0"/>
      </patternFill>
    </fill>
    <fill>
      <patternFill patternType="solid">
        <fgColor rgb="FFFFFF99"/>
        <bgColor rgb="FFFFEB9C"/>
      </patternFill>
    </fill>
    <fill>
      <patternFill patternType="solid">
        <fgColor theme="4"/>
        <bgColor rgb="FF5590D0"/>
      </patternFill>
    </fill>
    <fill>
      <patternFill patternType="solid">
        <fgColor theme="5"/>
        <bgColor rgb="FFFA7D00"/>
      </patternFill>
    </fill>
    <fill>
      <patternFill patternType="solid">
        <fgColor theme="6"/>
        <bgColor rgb="FFA8A8A8"/>
      </patternFill>
    </fill>
    <fill>
      <patternFill patternType="solid">
        <fgColor theme="7"/>
        <bgColor rgb="FFFFD966"/>
      </patternFill>
    </fill>
    <fill>
      <patternFill patternType="solid">
        <fgColor theme="8"/>
        <bgColor rgb="FF4472C4"/>
      </patternFill>
    </fill>
    <fill>
      <patternFill patternType="solid">
        <fgColor theme="9"/>
        <bgColor rgb="FF858124"/>
      </patternFill>
    </fill>
    <fill>
      <patternFill patternType="solid">
        <fgColor rgb="FF99CCFF"/>
        <bgColor rgb="FF9CC5ED"/>
      </patternFill>
    </fill>
    <fill>
      <patternFill patternType="solid">
        <fgColor rgb="FFFFC7CE"/>
        <bgColor rgb="FFF8CBAD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0F0F0"/>
      </patternFill>
    </fill>
    <fill>
      <patternFill patternType="solid">
        <fgColor rgb="FFCAFFFF"/>
        <bgColor rgb="FFCBFDCD"/>
      </patternFill>
    </fill>
    <fill>
      <patternFill patternType="solid">
        <fgColor rgb="FFF0F0F0"/>
        <bgColor rgb="FFF2F2F2"/>
      </patternFill>
    </fill>
    <fill>
      <patternFill patternType="solid">
        <fgColor rgb="FFCBFDCD"/>
        <bgColor rgb="FFD1F9D0"/>
      </patternFill>
    </fill>
    <fill>
      <patternFill patternType="solid">
        <fgColor rgb="FFFFFFCC"/>
        <bgColor rgb="FFFFF2CC"/>
      </patternFill>
    </fill>
    <fill>
      <patternFill patternType="solid">
        <fgColor rgb="FFD1F9D0"/>
        <bgColor rgb="FFCBFDCD"/>
      </patternFill>
    </fill>
    <fill>
      <patternFill patternType="solid">
        <fgColor rgb="FF808080"/>
        <bgColor rgb="FF858124"/>
      </patternFill>
    </fill>
    <fill>
      <patternFill patternType="solid">
        <fgColor rgb="FFE0E0E0"/>
        <bgColor rgb="FFDBDBDB"/>
      </patternFill>
    </fill>
    <fill>
      <patternFill patternType="solid">
        <fgColor rgb="FF36368A"/>
        <bgColor rgb="FF1C4587"/>
      </patternFill>
    </fill>
    <fill>
      <patternFill patternType="solid">
        <fgColor rgb="FFFFCC99"/>
        <bgColor rgb="FFF8CBAD"/>
      </patternFill>
    </fill>
    <fill>
      <patternFill patternType="solid">
        <fgColor rgb="FFFFEB9C"/>
        <bgColor rgb="FFFFE699"/>
      </patternFill>
    </fill>
    <fill>
      <patternFill patternType="solid">
        <fgColor rgb="FF1C4587"/>
        <bgColor rgb="FF36368A"/>
      </patternFill>
    </fill>
    <fill>
      <patternFill patternType="solid">
        <fgColor rgb="FF002060"/>
        <bgColor rgb="FF000080"/>
      </patternFill>
    </fill>
    <fill>
      <patternFill patternType="solid">
        <fgColor rgb="FFC8DAF8"/>
        <bgColor rgb="FFC2D4E6"/>
      </patternFill>
    </fill>
    <fill>
      <patternFill patternType="solid">
        <fgColor theme="2" tint="-0.1"/>
        <bgColor rgb="FFC9C9C9"/>
      </patternFill>
    </fill>
  </fills>
  <borders count="4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medium">
        <color rgb="FF000080"/>
      </bottom>
      <diagonal/>
    </border>
    <border diagonalUp="false" diagonalDown="false">
      <left style="double"/>
      <right/>
      <top/>
      <bottom style="hair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99CCFF"/>
      </bottom>
      <diagonal/>
    </border>
    <border diagonalUp="false" diagonalDown="false">
      <left style="thin">
        <color rgb="FF858124"/>
      </left>
      <right style="thin">
        <color rgb="FF858124"/>
      </right>
      <top style="thin">
        <color rgb="FF858124"/>
      </top>
      <bottom style="thin">
        <color rgb="FF85812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/>
      <right/>
      <top/>
      <bottom style="hair"/>
      <diagonal/>
    </border>
    <border diagonalUp="false" diagonalDown="false">
      <left/>
      <right style="thin"/>
      <top style="thin"/>
      <bottom/>
      <diagonal/>
    </border>
    <border diagonalUp="false" diagonalDown="false">
      <left style="hair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dotted"/>
      <diagonal/>
    </border>
    <border diagonalUp="false" diagonalDown="false">
      <left style="dotted">
        <color rgb="FF0000FF"/>
      </left>
      <right style="dotted">
        <color rgb="FF0000FF"/>
      </right>
      <top style="dotted">
        <color rgb="FF0000FF"/>
      </top>
      <bottom style="dotted">
        <color rgb="FF0000FF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ck">
        <color theme="4" tint="0.4999"/>
      </bottom>
      <diagonal/>
    </border>
    <border diagonalUp="false" diagonalDown="false">
      <left/>
      <right/>
      <top/>
      <bottom style="medium">
        <color theme="4" tint="0.3999"/>
      </bottom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/>
      <right/>
      <top/>
      <bottom style="double">
        <color rgb="FFFA7D00"/>
      </bottom>
      <diagonal/>
    </border>
    <border diagonalUp="false" diagonalDown="false">
      <left style="thin">
        <color rgb="FFA8A8A8"/>
      </left>
      <right style="thin">
        <color rgb="FFA8A8A8"/>
      </right>
      <top style="thin">
        <color rgb="FFA8A8A8"/>
      </top>
      <bottom style="thin">
        <color rgb="FFA8A8A8"/>
      </bottom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/>
      <right/>
      <top/>
      <bottom style="medium">
        <color rgb="FFF9B490"/>
      </bottom>
      <diagonal/>
    </border>
    <border diagonalUp="false" diagonalDown="false">
      <left/>
      <right/>
      <top/>
      <bottom style="thin">
        <color rgb="FFF9B490"/>
      </bottom>
      <diagonal/>
    </border>
    <border diagonalUp="false" diagonalDown="false">
      <left/>
      <right/>
      <top style="medium">
        <color rgb="FFF9B490"/>
      </top>
      <bottom/>
      <diagonal/>
    </border>
    <border diagonalUp="false" diagonalDown="false">
      <left/>
      <right/>
      <top/>
      <bottom style="double">
        <color rgb="FFF9B490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1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9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8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21" fillId="28" borderId="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9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26" fillId="2" borderId="9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2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3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4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3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3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3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0" fillId="30" borderId="1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0" fillId="30" borderId="1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0" fillId="30" borderId="1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8" fontId="41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41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32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9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33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200" fontId="6" fillId="0" borderId="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4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8" fillId="3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9" fillId="24" border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1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1" fillId="0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52" fillId="0" borderId="1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28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0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4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03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6" fontId="59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1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3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07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03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67" fillId="0" borderId="19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0" border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8" fontId="70" fillId="30" borderId="0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209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09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09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09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10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35" border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3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1" fontId="23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12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9" fontId="6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3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09" fontId="72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9" fontId="21" fillId="0" borderId="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09" fontId="6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1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1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4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15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16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17" fontId="7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5" fillId="3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2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9" fontId="28" fillId="0" border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5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30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76" fillId="2" border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8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2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1" fontId="81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5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2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3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30" border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21" fontId="6" fillId="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21" fontId="6" fillId="0" border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5" fillId="30" borderId="2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5" fontId="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6" fillId="3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1" fillId="0" border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3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22" fontId="28" fillId="0" border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223" fontId="73" fillId="3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8" fillId="37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9" fillId="38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0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1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2" fillId="0" borderId="2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2" fillId="0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1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224" fontId="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93" fillId="0" border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5" fillId="0" borderId="29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5" fillId="0" borderId="29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5" fillId="0" borderId="29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5" fillId="0" borderId="29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6" fillId="0" borderId="3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7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8" fillId="0" borderId="29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8" fillId="0" borderId="29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8" fillId="0" borderId="29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8" fillId="0" borderId="29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9" fillId="0" borderId="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0" fillId="0" borderId="3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1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6" fillId="0" borderId="3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24" fontId="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2" fillId="0" borderId="1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2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39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applyFont="true" applyBorder="true" applyAlignment="true" applyProtection="true">
      <alignment horizontal="justify" vertical="top" textRotation="0" wrapText="true" indent="0" shrinkToFit="false"/>
      <protection locked="true" hidden="false"/>
    </xf>
    <xf numFmtId="164" fontId="35" fillId="0" border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3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04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0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25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6" fillId="40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6" fillId="40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6" fillId="40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6" fillId="40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5" fillId="35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9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5" border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5" fillId="35" borderId="3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3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08" fillId="38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9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21" fillId="0" border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111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2" fillId="0" borderId="3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26" fontId="7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3" fillId="0" borderId="9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7" fontId="5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2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2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29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5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0" fontId="1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5" fillId="4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1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1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2" fontId="1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5" borderId="3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5" borderId="3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1" fillId="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1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3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4" fillId="31" borderId="3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4" fontId="29" fillId="3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5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5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5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5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5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5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5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5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6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6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6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6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5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5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5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5" fontId="1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6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6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6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6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6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6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6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6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6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6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6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6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6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5" fontId="127" fillId="0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8" fillId="0" borderId="3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32" borderId="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32" borderId="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28" borderId="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28" borderId="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8" fillId="0" borderId="3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9" fontId="5" fillId="0" border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9" fontId="1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0" fillId="4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1" fillId="4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0" fillId="43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0" fillId="43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1" fillId="4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5" fillId="4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6" fillId="4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0" fillId="4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7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7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8" fillId="4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9" fillId="4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37" fontId="139" fillId="4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9" fillId="44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7" fontId="139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238" fontId="141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8" fontId="141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8" fontId="1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38" fontId="1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0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238" fontId="141" fillId="0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8" fontId="141" fillId="0" borderId="4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8" fontId="141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238" fontId="14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38" fontId="136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8" fontId="136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8" fontId="1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39" fontId="14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9" fontId="144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9" fontId="1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39" fontId="1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238" fontId="14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238" fontId="0" fillId="6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238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8" fontId="1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38" fontId="1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3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37" fontId="141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7" fontId="141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7" fontId="1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37" fontId="13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37" fontId="1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40" fontId="141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40" fontId="141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40" fontId="1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40" fontId="139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40" fontId="1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0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38" fontId="1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39" fontId="1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38" fontId="138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8" fontId="138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8" fontId="1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38" fontId="14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8" fontId="144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8" fontId="1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0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238" fontId="136" fillId="0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7" fontId="141" fillId="0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7" fontId="141" fillId="0" borderId="4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7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237" fontId="141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7" fontId="0" fillId="6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237" fontId="14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8" fontId="148" fillId="4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38" fontId="1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4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4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38" fontId="14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8" fontId="15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38" fontId="151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8" fontId="151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38" fontId="14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8" fontId="145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33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01" fontId="1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238" fontId="14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39" fontId="15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37" fontId="14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39" fontId="14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9" fontId="153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8" fontId="15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39" fontId="15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38" fontId="14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8" fontId="153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38" fontId="13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2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2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7" fillId="0" borderId="4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238" fontId="136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239" fontId="144" fillId="0" borderId="4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$ 0 decimal" xfId="20"/>
    <cellStyle name="$ 1 decimal" xfId="21"/>
    <cellStyle name="$ 1 decimal 2" xfId="22"/>
    <cellStyle name="$ 2 decimals" xfId="23"/>
    <cellStyle name="%" xfId="24"/>
    <cellStyle name="% Input" xfId="25"/>
    <cellStyle name="% Presentation" xfId="26"/>
    <cellStyle name="0" xfId="27"/>
    <cellStyle name="0%" xfId="28"/>
    <cellStyle name="0.0" xfId="29"/>
    <cellStyle name="0.0%" xfId="30"/>
    <cellStyle name="0.00" xfId="31"/>
    <cellStyle name="0.00%" xfId="32"/>
    <cellStyle name="0.0_5401007_6" xfId="33"/>
    <cellStyle name="000" xfId="34"/>
    <cellStyle name="0_300615_12" xfId="35"/>
    <cellStyle name="0_5401007_6" xfId="36"/>
    <cellStyle name="0_5894860_1" xfId="37"/>
    <cellStyle name="0_5963478_1" xfId="38"/>
    <cellStyle name="0_Affiliates-Public Valuation" xfId="39"/>
    <cellStyle name="0_BP2" xfId="40"/>
    <cellStyle name="0_FON" xfId="41"/>
    <cellStyle name="0_Put Analysis" xfId="42"/>
    <cellStyle name="0_Put Analysis.v2" xfId="43"/>
    <cellStyle name="0_Sheet1" xfId="44"/>
    <cellStyle name="0_Spin Model v.2" xfId="45"/>
    <cellStyle name="12" xfId="46"/>
    <cellStyle name="1Decimal" xfId="47"/>
    <cellStyle name="20% - Accent1 2" xfId="48"/>
    <cellStyle name="20% - Accent2 2" xfId="49"/>
    <cellStyle name="20% - Accent3 2" xfId="50"/>
    <cellStyle name="20% - Accent4 2" xfId="51"/>
    <cellStyle name="20% - Accent5 2" xfId="52"/>
    <cellStyle name="20% - Accent6 2" xfId="53"/>
    <cellStyle name="2DecimalPercent" xfId="54"/>
    <cellStyle name="2Decimals" xfId="55"/>
    <cellStyle name="40% - Accent1 2" xfId="56"/>
    <cellStyle name="40% - Accent2 2" xfId="57"/>
    <cellStyle name="40% - Accent3 2" xfId="58"/>
    <cellStyle name="40% - Accent4 2" xfId="59"/>
    <cellStyle name="40% - Accent5 2" xfId="60"/>
    <cellStyle name="40% - Accent6 2" xfId="61"/>
    <cellStyle name="60% - Accent1 2" xfId="62"/>
    <cellStyle name="60% - Accent2 2" xfId="63"/>
    <cellStyle name="60% - Accent3 2" xfId="64"/>
    <cellStyle name="60% - Accent4 2" xfId="65"/>
    <cellStyle name="60% - Accent5 2" xfId="66"/>
    <cellStyle name="60% - Accent6 2" xfId="67"/>
    <cellStyle name="752131" xfId="68"/>
    <cellStyle name="=C:\WINNT35\SYSTEM32\COMMAND.COM" xfId="69"/>
    <cellStyle name="=C:\WINNT35\SYSTEM32\COMMAND.COM 2" xfId="70"/>
    <cellStyle name="=C:\WINNT35\SYSTEM32\COMMAND.COM 3" xfId="71"/>
    <cellStyle name="_%(SignOnly)" xfId="72"/>
    <cellStyle name="_%(SignOnly)_5515616_3" xfId="73"/>
    <cellStyle name="_%(SignOnly)_5515616_3_5401007_6" xfId="74"/>
    <cellStyle name="_%(SignOnly)_5515616_3_5401007_6_Project Kentucky Derby Model v75" xfId="75"/>
    <cellStyle name="_%(SignOnly)_5515616_3_5401007_6_Project Kentucky Derby Model v76" xfId="76"/>
    <cellStyle name="_%(SignOnly)_5515616_3_5401007_6_SBSAModel116(Company)" xfId="77"/>
    <cellStyle name="_%(SignOnly)_5515616_3_5963478_1" xfId="78"/>
    <cellStyle name="_%(SignOnly)_5515616_3_FON" xfId="79"/>
    <cellStyle name="_%(SignOnly)_5515616_3_Put Analysis" xfId="80"/>
    <cellStyle name="_%(SignOnly)_5515616_3_Put Analysis.v2" xfId="81"/>
    <cellStyle name="_%(SignOnly)_5515616_3_Put Analysis.v2_Project Kentucky Derby Model v75" xfId="82"/>
    <cellStyle name="_%(SignOnly)_5515616_3_Put Analysis.v2_Project Kentucky Derby Model v76" xfId="83"/>
    <cellStyle name="_%(SignOnly)_5515616_3_Put Analysis.v2_SBSAModel116(Company)" xfId="84"/>
    <cellStyle name="_%(SignOnly)_5515616_3_Put Analysis_Project Kentucky Derby Model v75" xfId="85"/>
    <cellStyle name="_%(SignOnly)_5515616_3_Put Analysis_Project Kentucky Derby Model v76" xfId="86"/>
    <cellStyle name="_%(SignOnly)_5515616_3_Put Analysis_SBSAModel116(Company)" xfId="87"/>
    <cellStyle name="_%(SignOnly)_5515616_3_Spin Model v.2" xfId="88"/>
    <cellStyle name="_%(SignOnly)_5515616_3_Spin Model v.2_Project Kentucky Derby Model v75" xfId="89"/>
    <cellStyle name="_%(SignOnly)_5515616_3_Spin Model v.2_Project Kentucky Derby Model v76" xfId="90"/>
    <cellStyle name="_%(SignOnly)_5515616_3_Spin Model v.2_SBSAModel116(Company)" xfId="91"/>
    <cellStyle name="_%(SignOnly)_5517854_3" xfId="92"/>
    <cellStyle name="_%(SignOnly)_5517854_3_5401007_6" xfId="93"/>
    <cellStyle name="_%(SignOnly)_5517854_3_5401007_6_Project Kentucky Derby Model v75" xfId="94"/>
    <cellStyle name="_%(SignOnly)_5517854_3_5401007_6_Project Kentucky Derby Model v76" xfId="95"/>
    <cellStyle name="_%(SignOnly)_5517854_3_5401007_6_SBSAModel116(Company)" xfId="96"/>
    <cellStyle name="_%(SignOnly)_5517854_3_5963478_1" xfId="97"/>
    <cellStyle name="_%(SignOnly)_5517854_3_FON" xfId="98"/>
    <cellStyle name="_%(SignOnly)_5517854_3_Put Analysis" xfId="99"/>
    <cellStyle name="_%(SignOnly)_5517854_3_Put Analysis.v2" xfId="100"/>
    <cellStyle name="_%(SignOnly)_5517854_3_Put Analysis.v2_Project Kentucky Derby Model v75" xfId="101"/>
    <cellStyle name="_%(SignOnly)_5517854_3_Put Analysis.v2_Project Kentucky Derby Model v76" xfId="102"/>
    <cellStyle name="_%(SignOnly)_5517854_3_Put Analysis.v2_SBSAModel116(Company)" xfId="103"/>
    <cellStyle name="_%(SignOnly)_5517854_3_Put Analysis_Project Kentucky Derby Model v75" xfId="104"/>
    <cellStyle name="_%(SignOnly)_5517854_3_Put Analysis_Project Kentucky Derby Model v76" xfId="105"/>
    <cellStyle name="_%(SignOnly)_5517854_3_Put Analysis_SBSAModel116(Company)" xfId="106"/>
    <cellStyle name="_%(SignOnly)_5517854_3_Spin Model v.2" xfId="107"/>
    <cellStyle name="_%(SignOnly)_5517854_3_Spin Model v.2_Project Kentucky Derby Model v75" xfId="108"/>
    <cellStyle name="_%(SignOnly)_5517854_3_Spin Model v.2_Project Kentucky Derby Model v76" xfId="109"/>
    <cellStyle name="_%(SignOnly)_5517854_3_Spin Model v.2_SBSAModel116(Company)" xfId="110"/>
    <cellStyle name="_%(SignOnly)_Book3" xfId="111"/>
    <cellStyle name="_%(SignOnly)_Book3_5401007_6" xfId="112"/>
    <cellStyle name="_%(SignOnly)_Book3_5401007_6_Project Kentucky Derby Model v75" xfId="113"/>
    <cellStyle name="_%(SignOnly)_Book3_5401007_6_Project Kentucky Derby Model v76" xfId="114"/>
    <cellStyle name="_%(SignOnly)_Book3_5401007_6_SBSAModel116(Company)" xfId="115"/>
    <cellStyle name="_%(SignOnly)_Book3_5963478_1" xfId="116"/>
    <cellStyle name="_%(SignOnly)_Book3_FON" xfId="117"/>
    <cellStyle name="_%(SignOnly)_Book3_Put Analysis" xfId="118"/>
    <cellStyle name="_%(SignOnly)_Book3_Put Analysis.v2" xfId="119"/>
    <cellStyle name="_%(SignOnly)_Book3_Put Analysis.v2_Project Kentucky Derby Model v75" xfId="120"/>
    <cellStyle name="_%(SignOnly)_Book3_Put Analysis.v2_Project Kentucky Derby Model v76" xfId="121"/>
    <cellStyle name="_%(SignOnly)_Book3_Put Analysis.v2_SBSAModel116(Company)" xfId="122"/>
    <cellStyle name="_%(SignOnly)_Book3_Put Analysis_Project Kentucky Derby Model v75" xfId="123"/>
    <cellStyle name="_%(SignOnly)_Book3_Put Analysis_Project Kentucky Derby Model v76" xfId="124"/>
    <cellStyle name="_%(SignOnly)_Book3_Put Analysis_SBSAModel116(Company)" xfId="125"/>
    <cellStyle name="_%(SignOnly)_Book3_Spin Model v.2" xfId="126"/>
    <cellStyle name="_%(SignOnly)_Book3_Spin Model v.2_Project Kentucky Derby Model v75" xfId="127"/>
    <cellStyle name="_%(SignOnly)_Book3_Spin Model v.2_Project Kentucky Derby Model v76" xfId="128"/>
    <cellStyle name="_%(SignOnly)_Book3_Spin Model v.2_SBSAModel116(Company)" xfId="129"/>
    <cellStyle name="_%(SignSpaceOnly)" xfId="130"/>
    <cellStyle name="_%(SignSpaceOnly)_5515616_3" xfId="131"/>
    <cellStyle name="_%(SignSpaceOnly)_5515616_3_5401007_6" xfId="132"/>
    <cellStyle name="_%(SignSpaceOnly)_5515616_3_5963478_1" xfId="133"/>
    <cellStyle name="_%(SignSpaceOnly)_5515616_3_FON" xfId="134"/>
    <cellStyle name="_%(SignSpaceOnly)_5515616_3_Put Analysis" xfId="135"/>
    <cellStyle name="_%(SignSpaceOnly)_5515616_3_Put Analysis.v2" xfId="136"/>
    <cellStyle name="_%(SignSpaceOnly)_5515616_3_Spin Model v.2" xfId="137"/>
    <cellStyle name="_%(SignSpaceOnly)_5517854_3" xfId="138"/>
    <cellStyle name="_%(SignSpaceOnly)_5517854_3_5401007_6" xfId="139"/>
    <cellStyle name="_%(SignSpaceOnly)_5517854_3_5963478_1" xfId="140"/>
    <cellStyle name="_%(SignSpaceOnly)_5517854_3_FON" xfId="141"/>
    <cellStyle name="_%(SignSpaceOnly)_5517854_3_Put Analysis" xfId="142"/>
    <cellStyle name="_%(SignSpaceOnly)_5517854_3_Put Analysis.v2" xfId="143"/>
    <cellStyle name="_%(SignSpaceOnly)_5517854_3_Spin Model v.2" xfId="144"/>
    <cellStyle name="_%(SignSpaceOnly)_Book3" xfId="145"/>
    <cellStyle name="_%(SignSpaceOnly)_Book3_5401007_6" xfId="146"/>
    <cellStyle name="_%(SignSpaceOnly)_Book3_5963478_1" xfId="147"/>
    <cellStyle name="_%(SignSpaceOnly)_Book3_FON" xfId="148"/>
    <cellStyle name="_%(SignSpaceOnly)_Book3_Put Analysis" xfId="149"/>
    <cellStyle name="_%(SignSpaceOnly)_Book3_Put Analysis.v2" xfId="150"/>
    <cellStyle name="_%(SignSpaceOnly)_Book3_Spin Model v.2" xfId="151"/>
    <cellStyle name="_AMB_Model2" xfId="152"/>
    <cellStyle name="_Comma" xfId="153"/>
    <cellStyle name="_Comma_5515616_3" xfId="154"/>
    <cellStyle name="_Comma_5515616_3_5401007_6" xfId="155"/>
    <cellStyle name="_Comma_5515616_3_5963478_1" xfId="156"/>
    <cellStyle name="_Comma_5515616_3_FON" xfId="157"/>
    <cellStyle name="_Comma_5515616_3_Put Analysis" xfId="158"/>
    <cellStyle name="_Comma_5515616_3_Put Analysis.v2" xfId="159"/>
    <cellStyle name="_Comma_5515616_3_Spin Model v.2" xfId="160"/>
    <cellStyle name="_Comma_5517854_3" xfId="161"/>
    <cellStyle name="_Comma_5517854_3_5401007_6" xfId="162"/>
    <cellStyle name="_Comma_5517854_3_5963478_1" xfId="163"/>
    <cellStyle name="_Comma_5517854_3_FON" xfId="164"/>
    <cellStyle name="_Comma_5517854_3_Put Analysis" xfId="165"/>
    <cellStyle name="_Comma_5517854_3_Put Analysis.v2" xfId="166"/>
    <cellStyle name="_Comma_5517854_3_Spin Model v.2" xfId="167"/>
    <cellStyle name="_Comma_Book3" xfId="168"/>
    <cellStyle name="_Comma_Book3_5401007_6" xfId="169"/>
    <cellStyle name="_Comma_Book3_5963478_1" xfId="170"/>
    <cellStyle name="_Comma_Book3_FON" xfId="171"/>
    <cellStyle name="_Comma_Book3_Put Analysis" xfId="172"/>
    <cellStyle name="_Comma_Book3_Put Analysis.v2" xfId="173"/>
    <cellStyle name="_Comma_Book3_Spin Model v.2" xfId="174"/>
    <cellStyle name="_Comma_Combined Synergy Presentation" xfId="175"/>
    <cellStyle name="_Comma_Combined Synergy Presentation_5515616_3" xfId="176"/>
    <cellStyle name="_Comma_Combined Synergy Presentation_5515616_3_5401007_6" xfId="177"/>
    <cellStyle name="_Comma_Combined Synergy Presentation_5515616_3_5963478_1" xfId="178"/>
    <cellStyle name="_Comma_Combined Synergy Presentation_5515616_3_FON" xfId="179"/>
    <cellStyle name="_Comma_Combined Synergy Presentation_5515616_3_Put Analysis" xfId="180"/>
    <cellStyle name="_Comma_Combined Synergy Presentation_5515616_3_Put Analysis.v2" xfId="181"/>
    <cellStyle name="_Comma_Combined Synergy Presentation_5515616_3_Spin Model v.2" xfId="182"/>
    <cellStyle name="_Comma_Combined Synergy Presentation_5517854_3" xfId="183"/>
    <cellStyle name="_Comma_Combined Synergy Presentation_5517854_3_5401007_6" xfId="184"/>
    <cellStyle name="_Comma_Combined Synergy Presentation_5517854_3_5963478_1" xfId="185"/>
    <cellStyle name="_Comma_Combined Synergy Presentation_5517854_3_FON" xfId="186"/>
    <cellStyle name="_Comma_Combined Synergy Presentation_5517854_3_Put Analysis" xfId="187"/>
    <cellStyle name="_Comma_Combined Synergy Presentation_5517854_3_Put Analysis.v2" xfId="188"/>
    <cellStyle name="_Comma_Combined Synergy Presentation_5517854_3_Spin Model v.2" xfId="189"/>
    <cellStyle name="_Comma_Combined Synergy Presentation_Book3" xfId="190"/>
    <cellStyle name="_Comma_Combined Synergy Presentation_Book3_5401007_6" xfId="191"/>
    <cellStyle name="_Comma_Combined Synergy Presentation_Book3_5963478_1" xfId="192"/>
    <cellStyle name="_Comma_Combined Synergy Presentation_Book3_FON" xfId="193"/>
    <cellStyle name="_Comma_Combined Synergy Presentation_Book3_Put Analysis" xfId="194"/>
    <cellStyle name="_Comma_Combined Synergy Presentation_Book3_Put Analysis.v2" xfId="195"/>
    <cellStyle name="_Comma_Combined Synergy Presentation_Book3_Spin Model v.2" xfId="196"/>
    <cellStyle name="_Comma_Synergy Analysis" xfId="197"/>
    <cellStyle name="_Comma_Synergy Analysis_co-advisors" xfId="198"/>
    <cellStyle name="_Comma_Synergy Analysis_co-advisors_Project Kentucky Derby Model v75" xfId="199"/>
    <cellStyle name="_Comma_Synergy Analysis_co-advisors_Project Kentucky Derby Model v76" xfId="200"/>
    <cellStyle name="_Comma_Synergy Analysis_co-advisors_SBSAModel116(Company)" xfId="201"/>
    <cellStyle name="_Comma_Synergy Analysis_Project Kentucky Derby Model v75" xfId="202"/>
    <cellStyle name="_Comma_Synergy Analysis_Project Kentucky Derby Model v76" xfId="203"/>
    <cellStyle name="_Comma_Synergy Analysis_SBSAModel116(Company)" xfId="204"/>
    <cellStyle name="_Comma_Synergy Calc 1.1 rev 5-yr aug high1_bpace" xfId="205"/>
    <cellStyle name="_Comma_Synergy Calc 1.1 rev 5-yr aug high1_bpace_5515616_3" xfId="206"/>
    <cellStyle name="_Comma_Synergy Calc 1.1 rev 5-yr aug high1_bpace_5515616_3_5401007_6" xfId="207"/>
    <cellStyle name="_Comma_Synergy Calc 1.1 rev 5-yr aug high1_bpace_5515616_3_5963478_1" xfId="208"/>
    <cellStyle name="_Comma_Synergy Calc 1.1 rev 5-yr aug high1_bpace_5515616_3_FON" xfId="209"/>
    <cellStyle name="_Comma_Synergy Calc 1.1 rev 5-yr aug high1_bpace_5515616_3_Put Analysis" xfId="210"/>
    <cellStyle name="_Comma_Synergy Calc 1.1 rev 5-yr aug high1_bpace_5515616_3_Put Analysis.v2" xfId="211"/>
    <cellStyle name="_Comma_Synergy Calc 1.1 rev 5-yr aug high1_bpace_5515616_3_Spin Model v.2" xfId="212"/>
    <cellStyle name="_Comma_Synergy Calc 1.1 rev 5-yr aug high1_bpace_5517854_3" xfId="213"/>
    <cellStyle name="_Comma_Synergy Calc 1.1 rev 5-yr aug high1_bpace_5517854_3_5401007_6" xfId="214"/>
    <cellStyle name="_Comma_Synergy Calc 1.1 rev 5-yr aug high1_bpace_5517854_3_5963478_1" xfId="215"/>
    <cellStyle name="_Comma_Synergy Calc 1.1 rev 5-yr aug high1_bpace_5517854_3_FON" xfId="216"/>
    <cellStyle name="_Comma_Synergy Calc 1.1 rev 5-yr aug high1_bpace_5517854_3_Put Analysis" xfId="217"/>
    <cellStyle name="_Comma_Synergy Calc 1.1 rev 5-yr aug high1_bpace_5517854_3_Put Analysis.v2" xfId="218"/>
    <cellStyle name="_Comma_Synergy Calc 1.1 rev 5-yr aug high1_bpace_5517854_3_Spin Model v.2" xfId="219"/>
    <cellStyle name="_Comma_Synergy Calc 1.1 rev 5-yr aug high1_bpace_Book3" xfId="220"/>
    <cellStyle name="_Comma_Synergy Calc 1.1 rev 5-yr aug high1_bpace_Book3_5401007_6" xfId="221"/>
    <cellStyle name="_Comma_Synergy Calc 1.1 rev 5-yr aug high1_bpace_Book3_5963478_1" xfId="222"/>
    <cellStyle name="_Comma_Synergy Calc 1.1 rev 5-yr aug high1_bpace_Book3_FON" xfId="223"/>
    <cellStyle name="_Comma_Synergy Calc 1.1 rev 5-yr aug high1_bpace_Book3_Put Analysis" xfId="224"/>
    <cellStyle name="_Comma_Synergy Calc 1.1 rev 5-yr aug high1_bpace_Book3_Put Analysis.v2" xfId="225"/>
    <cellStyle name="_Comma_Synergy Calc 1.1 rev 5-yr aug high1_bpace_Book3_Spin Model v.2" xfId="226"/>
    <cellStyle name="_Comma_Synergy Detail _gs" xfId="227"/>
    <cellStyle name="_Comma_Synergy Detail _gs_5515616_3" xfId="228"/>
    <cellStyle name="_Comma_Synergy Detail _gs_5515616_3_5401007_6" xfId="229"/>
    <cellStyle name="_Comma_Synergy Detail _gs_5515616_3_5963478_1" xfId="230"/>
    <cellStyle name="_Comma_Synergy Detail _gs_5515616_3_FON" xfId="231"/>
    <cellStyle name="_Comma_Synergy Detail _gs_5515616_3_Put Analysis" xfId="232"/>
    <cellStyle name="_Comma_Synergy Detail _gs_5515616_3_Put Analysis.v2" xfId="233"/>
    <cellStyle name="_Comma_Synergy Detail _gs_5515616_3_Spin Model v.2" xfId="234"/>
    <cellStyle name="_Comma_Synergy Detail _gs_5517854_3" xfId="235"/>
    <cellStyle name="_Comma_Synergy Detail _gs_5517854_3_5401007_6" xfId="236"/>
    <cellStyle name="_Comma_Synergy Detail _gs_5517854_3_5963478_1" xfId="237"/>
    <cellStyle name="_Comma_Synergy Detail _gs_5517854_3_FON" xfId="238"/>
    <cellStyle name="_Comma_Synergy Detail _gs_5517854_3_Put Analysis" xfId="239"/>
    <cellStyle name="_Comma_Synergy Detail _gs_5517854_3_Put Analysis.v2" xfId="240"/>
    <cellStyle name="_Comma_Synergy Detail _gs_5517854_3_Spin Model v.2" xfId="241"/>
    <cellStyle name="_Comma_Synergy Detail _gs_Book3" xfId="242"/>
    <cellStyle name="_Comma_Synergy Detail _gs_Book3_5401007_6" xfId="243"/>
    <cellStyle name="_Comma_Synergy Detail _gs_Book3_5963478_1" xfId="244"/>
    <cellStyle name="_Comma_Synergy Detail _gs_Book3_FON" xfId="245"/>
    <cellStyle name="_Comma_Synergy Detail _gs_Book3_Put Analysis" xfId="246"/>
    <cellStyle name="_Comma_Synergy Detail _gs_Book3_Put Analysis.v2" xfId="247"/>
    <cellStyle name="_Comma_Synergy Detail _gs_Book3_Spin Model v.2" xfId="248"/>
    <cellStyle name="_Currency" xfId="249"/>
    <cellStyle name="_Currency_5515616_3" xfId="250"/>
    <cellStyle name="_Currency_5515616_3_5401007_6" xfId="251"/>
    <cellStyle name="_Currency_5515616_3_5963478_1" xfId="252"/>
    <cellStyle name="_Currency_5515616_3_FON" xfId="253"/>
    <cellStyle name="_Currency_5515616_3_Put Analysis" xfId="254"/>
    <cellStyle name="_Currency_5515616_3_Put Analysis.v2" xfId="255"/>
    <cellStyle name="_Currency_5515616_3_Spin Model v.2" xfId="256"/>
    <cellStyle name="_Currency_5517854_3" xfId="257"/>
    <cellStyle name="_Currency_5517854_3_5401007_6" xfId="258"/>
    <cellStyle name="_Currency_5517854_3_5963478_1" xfId="259"/>
    <cellStyle name="_Currency_5517854_3_FON" xfId="260"/>
    <cellStyle name="_Currency_5517854_3_Put Analysis" xfId="261"/>
    <cellStyle name="_Currency_5517854_3_Put Analysis.v2" xfId="262"/>
    <cellStyle name="_Currency_5517854_3_Spin Model v.2" xfId="263"/>
    <cellStyle name="_Currency_Book3" xfId="264"/>
    <cellStyle name="_Currency_Book3_5401007_6" xfId="265"/>
    <cellStyle name="_Currency_Book3_5963478_1" xfId="266"/>
    <cellStyle name="_Currency_Book3_FON" xfId="267"/>
    <cellStyle name="_Currency_Book3_Put Analysis" xfId="268"/>
    <cellStyle name="_Currency_Book3_Put Analysis.v2" xfId="269"/>
    <cellStyle name="_Currency_Book3_Spin Model v.2" xfId="270"/>
    <cellStyle name="_Currency_Combined Synergy Presentation" xfId="271"/>
    <cellStyle name="_Currency_Combined Synergy Presentation_5515616_3" xfId="272"/>
    <cellStyle name="_Currency_Combined Synergy Presentation_5515616_3_5401007_6" xfId="273"/>
    <cellStyle name="_Currency_Combined Synergy Presentation_5515616_3_5963478_1" xfId="274"/>
    <cellStyle name="_Currency_Combined Synergy Presentation_5515616_3_FON" xfId="275"/>
    <cellStyle name="_Currency_Combined Synergy Presentation_5515616_3_Put Analysis" xfId="276"/>
    <cellStyle name="_Currency_Combined Synergy Presentation_5515616_3_Put Analysis.v2" xfId="277"/>
    <cellStyle name="_Currency_Combined Synergy Presentation_5515616_3_Spin Model v.2" xfId="278"/>
    <cellStyle name="_Currency_Combined Synergy Presentation_5517854_3" xfId="279"/>
    <cellStyle name="_Currency_Combined Synergy Presentation_5517854_3_5401007_6" xfId="280"/>
    <cellStyle name="_Currency_Combined Synergy Presentation_5517854_3_5963478_1" xfId="281"/>
    <cellStyle name="_Currency_Combined Synergy Presentation_5517854_3_FON" xfId="282"/>
    <cellStyle name="_Currency_Combined Synergy Presentation_5517854_3_Put Analysis" xfId="283"/>
    <cellStyle name="_Currency_Combined Synergy Presentation_5517854_3_Put Analysis.v2" xfId="284"/>
    <cellStyle name="_Currency_Combined Synergy Presentation_5517854_3_Spin Model v.2" xfId="285"/>
    <cellStyle name="_Currency_Combined Synergy Presentation_Book3" xfId="286"/>
    <cellStyle name="_Currency_Combined Synergy Presentation_Book3_5401007_6" xfId="287"/>
    <cellStyle name="_Currency_Combined Synergy Presentation_Book3_5963478_1" xfId="288"/>
    <cellStyle name="_Currency_Combined Synergy Presentation_Book3_FON" xfId="289"/>
    <cellStyle name="_Currency_Combined Synergy Presentation_Book3_Put Analysis" xfId="290"/>
    <cellStyle name="_Currency_Combined Synergy Presentation_Book3_Put Analysis.v2" xfId="291"/>
    <cellStyle name="_Currency_Combined Synergy Presentation_Book3_Spin Model v.2" xfId="292"/>
    <cellStyle name="_Currency_Synergy Analysis" xfId="293"/>
    <cellStyle name="_Currency_Synergy Analysis_5515616_3" xfId="294"/>
    <cellStyle name="_Currency_Synergy Analysis_5515616_3_5401007_6" xfId="295"/>
    <cellStyle name="_Currency_Synergy Analysis_5515616_3_5963478_1" xfId="296"/>
    <cellStyle name="_Currency_Synergy Analysis_5515616_3_FON" xfId="297"/>
    <cellStyle name="_Currency_Synergy Analysis_5515616_3_Put Analysis" xfId="298"/>
    <cellStyle name="_Currency_Synergy Analysis_5515616_3_Put Analysis.v2" xfId="299"/>
    <cellStyle name="_Currency_Synergy Analysis_5515616_3_Spin Model v.2" xfId="300"/>
    <cellStyle name="_Currency_Synergy Analysis_5517854_3" xfId="301"/>
    <cellStyle name="_Currency_Synergy Analysis_5517854_3_5401007_6" xfId="302"/>
    <cellStyle name="_Currency_Synergy Analysis_5517854_3_5963478_1" xfId="303"/>
    <cellStyle name="_Currency_Synergy Analysis_5517854_3_FON" xfId="304"/>
    <cellStyle name="_Currency_Synergy Analysis_5517854_3_Put Analysis" xfId="305"/>
    <cellStyle name="_Currency_Synergy Analysis_5517854_3_Put Analysis.v2" xfId="306"/>
    <cellStyle name="_Currency_Synergy Analysis_5517854_3_Spin Model v.2" xfId="307"/>
    <cellStyle name="_Currency_Synergy Analysis_Book3" xfId="308"/>
    <cellStyle name="_Currency_Synergy Analysis_Book3_5401007_6" xfId="309"/>
    <cellStyle name="_Currency_Synergy Analysis_Book3_5963478_1" xfId="310"/>
    <cellStyle name="_Currency_Synergy Analysis_Book3_FON" xfId="311"/>
    <cellStyle name="_Currency_Synergy Analysis_Book3_Put Analysis" xfId="312"/>
    <cellStyle name="_Currency_Synergy Analysis_Book3_Put Analysis.v2" xfId="313"/>
    <cellStyle name="_Currency_Synergy Analysis_Book3_Spin Model v.2" xfId="314"/>
    <cellStyle name="_Currency_Synergy Analysis_co-advisors" xfId="315"/>
    <cellStyle name="_Currency_Synergy Analysis_co-advisors_5515616_3" xfId="316"/>
    <cellStyle name="_Currency_Synergy Analysis_co-advisors_5515616_3_5401007_6" xfId="317"/>
    <cellStyle name="_Currency_Synergy Analysis_co-advisors_5515616_3_5963478_1" xfId="318"/>
    <cellStyle name="_Currency_Synergy Analysis_co-advisors_5515616_3_FON" xfId="319"/>
    <cellStyle name="_Currency_Synergy Analysis_co-advisors_5515616_3_Put Analysis" xfId="320"/>
    <cellStyle name="_Currency_Synergy Analysis_co-advisors_5515616_3_Put Analysis.v2" xfId="321"/>
    <cellStyle name="_Currency_Synergy Analysis_co-advisors_5515616_3_Spin Model v.2" xfId="322"/>
    <cellStyle name="_Currency_Synergy Analysis_co-advisors_5517854_3" xfId="323"/>
    <cellStyle name="_Currency_Synergy Analysis_co-advisors_5517854_3_5401007_6" xfId="324"/>
    <cellStyle name="_Currency_Synergy Analysis_co-advisors_5517854_3_5963478_1" xfId="325"/>
    <cellStyle name="_Currency_Synergy Analysis_co-advisors_5517854_3_FON" xfId="326"/>
    <cellStyle name="_Currency_Synergy Analysis_co-advisors_5517854_3_Put Analysis" xfId="327"/>
    <cellStyle name="_Currency_Synergy Analysis_co-advisors_5517854_3_Put Analysis.v2" xfId="328"/>
    <cellStyle name="_Currency_Synergy Analysis_co-advisors_5517854_3_Spin Model v.2" xfId="329"/>
    <cellStyle name="_Currency_Synergy Analysis_co-advisors_Book3" xfId="330"/>
    <cellStyle name="_Currency_Synergy Analysis_co-advisors_Book3_5401007_6" xfId="331"/>
    <cellStyle name="_Currency_Synergy Analysis_co-advisors_Book3_5963478_1" xfId="332"/>
    <cellStyle name="_Currency_Synergy Analysis_co-advisors_Book3_FON" xfId="333"/>
    <cellStyle name="_Currency_Synergy Analysis_co-advisors_Book3_Put Analysis" xfId="334"/>
    <cellStyle name="_Currency_Synergy Analysis_co-advisors_Book3_Put Analysis.v2" xfId="335"/>
    <cellStyle name="_Currency_Synergy Analysis_co-advisors_Book3_Spin Model v.2" xfId="336"/>
    <cellStyle name="_Currency_Synergy Calc 1.1 rev 5-yr aug high1_bpace" xfId="337"/>
    <cellStyle name="_Currency_Synergy Calc 1.1 rev 5-yr aug high1_bpace_5515616_3" xfId="338"/>
    <cellStyle name="_Currency_Synergy Calc 1.1 rev 5-yr aug high1_bpace_5515616_3_5401007_6" xfId="339"/>
    <cellStyle name="_Currency_Synergy Calc 1.1 rev 5-yr aug high1_bpace_5515616_3_5963478_1" xfId="340"/>
    <cellStyle name="_Currency_Synergy Calc 1.1 rev 5-yr aug high1_bpace_5515616_3_FON" xfId="341"/>
    <cellStyle name="_Currency_Synergy Calc 1.1 rev 5-yr aug high1_bpace_5515616_3_Put Analysis" xfId="342"/>
    <cellStyle name="_Currency_Synergy Calc 1.1 rev 5-yr aug high1_bpace_5515616_3_Put Analysis.v2" xfId="343"/>
    <cellStyle name="_Currency_Synergy Calc 1.1 rev 5-yr aug high1_bpace_5515616_3_Spin Model v.2" xfId="344"/>
    <cellStyle name="_Currency_Synergy Calc 1.1 rev 5-yr aug high1_bpace_5517854_3" xfId="345"/>
    <cellStyle name="_Currency_Synergy Calc 1.1 rev 5-yr aug high1_bpace_5517854_3_5401007_6" xfId="346"/>
    <cellStyle name="_Currency_Synergy Calc 1.1 rev 5-yr aug high1_bpace_5517854_3_5963478_1" xfId="347"/>
    <cellStyle name="_Currency_Synergy Calc 1.1 rev 5-yr aug high1_bpace_5517854_3_FON" xfId="348"/>
    <cellStyle name="_Currency_Synergy Calc 1.1 rev 5-yr aug high1_bpace_5517854_3_Put Analysis" xfId="349"/>
    <cellStyle name="_Currency_Synergy Calc 1.1 rev 5-yr aug high1_bpace_5517854_3_Put Analysis.v2" xfId="350"/>
    <cellStyle name="_Currency_Synergy Calc 1.1 rev 5-yr aug high1_bpace_5517854_3_Spin Model v.2" xfId="351"/>
    <cellStyle name="_Currency_Synergy Calc 1.1 rev 5-yr aug high1_bpace_Book3" xfId="352"/>
    <cellStyle name="_Currency_Synergy Calc 1.1 rev 5-yr aug high1_bpace_Book3_5401007_6" xfId="353"/>
    <cellStyle name="_Currency_Synergy Calc 1.1 rev 5-yr aug high1_bpace_Book3_5963478_1" xfId="354"/>
    <cellStyle name="_Currency_Synergy Calc 1.1 rev 5-yr aug high1_bpace_Book3_FON" xfId="355"/>
    <cellStyle name="_Currency_Synergy Calc 1.1 rev 5-yr aug high1_bpace_Book3_Put Analysis" xfId="356"/>
    <cellStyle name="_Currency_Synergy Calc 1.1 rev 5-yr aug high1_bpace_Book3_Put Analysis.v2" xfId="357"/>
    <cellStyle name="_Currency_Synergy Calc 1.1 rev 5-yr aug high1_bpace_Book3_Spin Model v.2" xfId="358"/>
    <cellStyle name="_Currency_Synergy Detail _gs" xfId="359"/>
    <cellStyle name="_Currency_Synergy Detail _gs_5515616_3" xfId="360"/>
    <cellStyle name="_Currency_Synergy Detail _gs_5515616_3_5401007_6" xfId="361"/>
    <cellStyle name="_Currency_Synergy Detail _gs_5515616_3_5963478_1" xfId="362"/>
    <cellStyle name="_Currency_Synergy Detail _gs_5515616_3_FON" xfId="363"/>
    <cellStyle name="_Currency_Synergy Detail _gs_5515616_3_Put Analysis" xfId="364"/>
    <cellStyle name="_Currency_Synergy Detail _gs_5515616_3_Put Analysis.v2" xfId="365"/>
    <cellStyle name="_Currency_Synergy Detail _gs_5515616_3_Spin Model v.2" xfId="366"/>
    <cellStyle name="_Currency_Synergy Detail _gs_5517854_3" xfId="367"/>
    <cellStyle name="_Currency_Synergy Detail _gs_5517854_3_5401007_6" xfId="368"/>
    <cellStyle name="_Currency_Synergy Detail _gs_5517854_3_5963478_1" xfId="369"/>
    <cellStyle name="_Currency_Synergy Detail _gs_5517854_3_FON" xfId="370"/>
    <cellStyle name="_Currency_Synergy Detail _gs_5517854_3_Put Analysis" xfId="371"/>
    <cellStyle name="_Currency_Synergy Detail _gs_5517854_3_Put Analysis.v2" xfId="372"/>
    <cellStyle name="_Currency_Synergy Detail _gs_5517854_3_Spin Model v.2" xfId="373"/>
    <cellStyle name="_Currency_Synergy Detail _gs_Book3" xfId="374"/>
    <cellStyle name="_Currency_Synergy Detail _gs_Book3_5401007_6" xfId="375"/>
    <cellStyle name="_Currency_Synergy Detail _gs_Book3_5963478_1" xfId="376"/>
    <cellStyle name="_Currency_Synergy Detail _gs_Book3_FON" xfId="377"/>
    <cellStyle name="_Currency_Synergy Detail _gs_Book3_Put Analysis" xfId="378"/>
    <cellStyle name="_Currency_Synergy Detail _gs_Book3_Put Analysis.v2" xfId="379"/>
    <cellStyle name="_Currency_Synergy Detail _gs_Book3_Spin Model v.2" xfId="380"/>
    <cellStyle name="_CurrencySpace" xfId="381"/>
    <cellStyle name="_CurrencySpace_5515616_3" xfId="382"/>
    <cellStyle name="_CurrencySpace_5517854_3" xfId="383"/>
    <cellStyle name="_CurrencySpace_Book3" xfId="384"/>
    <cellStyle name="_CurrencySpace_Combined Synergy Presentation" xfId="385"/>
    <cellStyle name="_CurrencySpace_Combined Synergy Presentation_5515616_3" xfId="386"/>
    <cellStyle name="_CurrencySpace_Combined Synergy Presentation_5517854_3" xfId="387"/>
    <cellStyle name="_CurrencySpace_Combined Synergy Presentation_Book3" xfId="388"/>
    <cellStyle name="_CurrencySpace_Synergy Analysis" xfId="389"/>
    <cellStyle name="_CurrencySpace_Synergy Analysis_co-advisors" xfId="390"/>
    <cellStyle name="_CurrencySpace_Synergy Calc 1.1 rev 5-yr aug high1_bpace" xfId="391"/>
    <cellStyle name="_CurrencySpace_Synergy Calc 1.1 rev 5-yr aug high1_bpace_5515616_3" xfId="392"/>
    <cellStyle name="_CurrencySpace_Synergy Calc 1.1 rev 5-yr aug high1_bpace_5517854_3" xfId="393"/>
    <cellStyle name="_CurrencySpace_Synergy Calc 1.1 rev 5-yr aug high1_bpace_Book3" xfId="394"/>
    <cellStyle name="_CurrencySpace_Synergy Detail _gs" xfId="395"/>
    <cellStyle name="_CurrencySpace_Synergy Detail _gs_5515616_3" xfId="396"/>
    <cellStyle name="_CurrencySpace_Synergy Detail _gs_5517854_3" xfId="397"/>
    <cellStyle name="_CurrencySpace_Synergy Detail _gs_Book3" xfId="398"/>
    <cellStyle name="_DRE_Model" xfId="399"/>
    <cellStyle name="_Euro" xfId="400"/>
    <cellStyle name="_Euro_5515616_3" xfId="401"/>
    <cellStyle name="_Euro_5515616_3_5401007_6" xfId="402"/>
    <cellStyle name="_Euro_5515616_3_5963478_1" xfId="403"/>
    <cellStyle name="_Euro_5515616_3_FON" xfId="404"/>
    <cellStyle name="_Euro_5515616_3_Put Analysis" xfId="405"/>
    <cellStyle name="_Euro_5515616_3_Put Analysis.v2" xfId="406"/>
    <cellStyle name="_Euro_5515616_3_Spin Model v.2" xfId="407"/>
    <cellStyle name="_Euro_5517854_3" xfId="408"/>
    <cellStyle name="_Euro_5517854_3_5401007_6" xfId="409"/>
    <cellStyle name="_Euro_5517854_3_5963478_1" xfId="410"/>
    <cellStyle name="_Euro_5517854_3_FON" xfId="411"/>
    <cellStyle name="_Euro_5517854_3_Put Analysis" xfId="412"/>
    <cellStyle name="_Euro_5517854_3_Put Analysis.v2" xfId="413"/>
    <cellStyle name="_Euro_5517854_3_Spin Model v.2" xfId="414"/>
    <cellStyle name="_Euro_Book3" xfId="415"/>
    <cellStyle name="_Euro_Book3_5401007_6" xfId="416"/>
    <cellStyle name="_Euro_Book3_5963478_1" xfId="417"/>
    <cellStyle name="_Euro_Book3_FON" xfId="418"/>
    <cellStyle name="_Euro_Book3_Put Analysis" xfId="419"/>
    <cellStyle name="_Euro_Book3_Put Analysis.v2" xfId="420"/>
    <cellStyle name="_Euro_Book3_Spin Model v.2" xfId="421"/>
    <cellStyle name="_Heading" xfId="422"/>
    <cellStyle name="_Highlight" xfId="423"/>
    <cellStyle name="_Multiple" xfId="424"/>
    <cellStyle name="_Multiple_5515616_3" xfId="425"/>
    <cellStyle name="_Multiple_5515616_3_5401007_6" xfId="426"/>
    <cellStyle name="_Multiple_5515616_3_5963478_1" xfId="427"/>
    <cellStyle name="_Multiple_5515616_3_FON" xfId="428"/>
    <cellStyle name="_Multiple_5515616_3_Put Analysis" xfId="429"/>
    <cellStyle name="_Multiple_5515616_3_Put Analysis.v2" xfId="430"/>
    <cellStyle name="_Multiple_5515616_3_Spin Model v.2" xfId="431"/>
    <cellStyle name="_Multiple_5517854_3" xfId="432"/>
    <cellStyle name="_Multiple_5517854_3_5401007_6" xfId="433"/>
    <cellStyle name="_Multiple_5517854_3_5963478_1" xfId="434"/>
    <cellStyle name="_Multiple_5517854_3_FON" xfId="435"/>
    <cellStyle name="_Multiple_5517854_3_Put Analysis" xfId="436"/>
    <cellStyle name="_Multiple_5517854_3_Put Analysis.v2" xfId="437"/>
    <cellStyle name="_Multiple_5517854_3_Spin Model v.2" xfId="438"/>
    <cellStyle name="_Multiple_Book3" xfId="439"/>
    <cellStyle name="_Multiple_Book3_5401007_6" xfId="440"/>
    <cellStyle name="_Multiple_Book3_5963478_1" xfId="441"/>
    <cellStyle name="_Multiple_Book3_FON" xfId="442"/>
    <cellStyle name="_Multiple_Book3_Put Analysis" xfId="443"/>
    <cellStyle name="_Multiple_Book3_Put Analysis.v2" xfId="444"/>
    <cellStyle name="_Multiple_Book3_Spin Model v.2" xfId="445"/>
    <cellStyle name="_Multiple_Combined Synergy Presentation" xfId="446"/>
    <cellStyle name="_Multiple_Combined Synergy Presentation_5515616_3" xfId="447"/>
    <cellStyle name="_Multiple_Combined Synergy Presentation_5515616_3_5401007_6" xfId="448"/>
    <cellStyle name="_Multiple_Combined Synergy Presentation_5515616_3_5963478_1" xfId="449"/>
    <cellStyle name="_Multiple_Combined Synergy Presentation_5515616_3_FON" xfId="450"/>
    <cellStyle name="_Multiple_Combined Synergy Presentation_5515616_3_Put Analysis" xfId="451"/>
    <cellStyle name="_Multiple_Combined Synergy Presentation_5515616_3_Put Analysis.v2" xfId="452"/>
    <cellStyle name="_Multiple_Combined Synergy Presentation_5515616_3_Spin Model v.2" xfId="453"/>
    <cellStyle name="_Multiple_Combined Synergy Presentation_5517854_3" xfId="454"/>
    <cellStyle name="_Multiple_Combined Synergy Presentation_5517854_3_5401007_6" xfId="455"/>
    <cellStyle name="_Multiple_Combined Synergy Presentation_5517854_3_5963478_1" xfId="456"/>
    <cellStyle name="_Multiple_Combined Synergy Presentation_5517854_3_FON" xfId="457"/>
    <cellStyle name="_Multiple_Combined Synergy Presentation_5517854_3_Put Analysis" xfId="458"/>
    <cellStyle name="_Multiple_Combined Synergy Presentation_5517854_3_Put Analysis.v2" xfId="459"/>
    <cellStyle name="_Multiple_Combined Synergy Presentation_5517854_3_Spin Model v.2" xfId="460"/>
    <cellStyle name="_Multiple_Combined Synergy Presentation_Book3" xfId="461"/>
    <cellStyle name="_Multiple_Combined Synergy Presentation_Book3_5401007_6" xfId="462"/>
    <cellStyle name="_Multiple_Combined Synergy Presentation_Book3_5963478_1" xfId="463"/>
    <cellStyle name="_Multiple_Combined Synergy Presentation_Book3_FON" xfId="464"/>
    <cellStyle name="_Multiple_Combined Synergy Presentation_Book3_Put Analysis" xfId="465"/>
    <cellStyle name="_Multiple_Combined Synergy Presentation_Book3_Put Analysis.v2" xfId="466"/>
    <cellStyle name="_Multiple_Combined Synergy Presentation_Book3_Spin Model v.2" xfId="467"/>
    <cellStyle name="_Multiple_Synergy Analysis_co-advisors" xfId="468"/>
    <cellStyle name="_Multiple_Synergy Analysis_co-advisors_5515616_3" xfId="469"/>
    <cellStyle name="_Multiple_Synergy Analysis_co-advisors_5515616_3_5401007_6" xfId="470"/>
    <cellStyle name="_Multiple_Synergy Analysis_co-advisors_5515616_3_5401007_6_Project Kentucky Derby Model v75" xfId="471"/>
    <cellStyle name="_Multiple_Synergy Analysis_co-advisors_5515616_3_5401007_6_Project Kentucky Derby Model v76" xfId="472"/>
    <cellStyle name="_Multiple_Synergy Analysis_co-advisors_5515616_3_5401007_6_SBSAModel116(Company)" xfId="473"/>
    <cellStyle name="_Multiple_Synergy Analysis_co-advisors_5515616_3_5963478_1" xfId="474"/>
    <cellStyle name="_Multiple_Synergy Analysis_co-advisors_5515616_3_FON" xfId="475"/>
    <cellStyle name="_Multiple_Synergy Analysis_co-advisors_5515616_3_Put Analysis" xfId="476"/>
    <cellStyle name="_Multiple_Synergy Analysis_co-advisors_5515616_3_Put Analysis.v2" xfId="477"/>
    <cellStyle name="_Multiple_Synergy Analysis_co-advisors_5515616_3_Put Analysis.v2_Project Kentucky Derby Model v75" xfId="478"/>
    <cellStyle name="_Multiple_Synergy Analysis_co-advisors_5515616_3_Put Analysis.v2_Project Kentucky Derby Model v76" xfId="479"/>
    <cellStyle name="_Multiple_Synergy Analysis_co-advisors_5515616_3_Put Analysis.v2_SBSAModel116(Company)" xfId="480"/>
    <cellStyle name="_Multiple_Synergy Analysis_co-advisors_5515616_3_Put Analysis_Project Kentucky Derby Model v75" xfId="481"/>
    <cellStyle name="_Multiple_Synergy Analysis_co-advisors_5515616_3_Put Analysis_Project Kentucky Derby Model v76" xfId="482"/>
    <cellStyle name="_Multiple_Synergy Analysis_co-advisors_5515616_3_Put Analysis_SBSAModel116(Company)" xfId="483"/>
    <cellStyle name="_Multiple_Synergy Analysis_co-advisors_5515616_3_Spin Model v.2" xfId="484"/>
    <cellStyle name="_Multiple_Synergy Analysis_co-advisors_5515616_3_Spin Model v.2_Project Kentucky Derby Model v75" xfId="485"/>
    <cellStyle name="_Multiple_Synergy Analysis_co-advisors_5515616_3_Spin Model v.2_Project Kentucky Derby Model v76" xfId="486"/>
    <cellStyle name="_Multiple_Synergy Analysis_co-advisors_5515616_3_Spin Model v.2_SBSAModel116(Company)" xfId="487"/>
    <cellStyle name="_Multiple_Synergy Analysis_co-advisors_5517854_3" xfId="488"/>
    <cellStyle name="_Multiple_Synergy Analysis_co-advisors_5517854_3_5401007_6" xfId="489"/>
    <cellStyle name="_Multiple_Synergy Analysis_co-advisors_5517854_3_5401007_6_Project Kentucky Derby Model v75" xfId="490"/>
    <cellStyle name="_Multiple_Synergy Analysis_co-advisors_5517854_3_5401007_6_Project Kentucky Derby Model v76" xfId="491"/>
    <cellStyle name="_Multiple_Synergy Analysis_co-advisors_5517854_3_5401007_6_SBSAModel116(Company)" xfId="492"/>
    <cellStyle name="_Multiple_Synergy Analysis_co-advisors_5517854_3_5963478_1" xfId="493"/>
    <cellStyle name="_Multiple_Synergy Analysis_co-advisors_5517854_3_FON" xfId="494"/>
    <cellStyle name="_Multiple_Synergy Analysis_co-advisors_5517854_3_Put Analysis" xfId="495"/>
    <cellStyle name="_Multiple_Synergy Analysis_co-advisors_5517854_3_Put Analysis.v2" xfId="496"/>
    <cellStyle name="_Multiple_Synergy Analysis_co-advisors_5517854_3_Put Analysis.v2_Project Kentucky Derby Model v75" xfId="497"/>
    <cellStyle name="_Multiple_Synergy Analysis_co-advisors_5517854_3_Put Analysis.v2_Project Kentucky Derby Model v76" xfId="498"/>
    <cellStyle name="_Multiple_Synergy Analysis_co-advisors_5517854_3_Put Analysis.v2_SBSAModel116(Company)" xfId="499"/>
    <cellStyle name="_Multiple_Synergy Analysis_co-advisors_5517854_3_Put Analysis_Project Kentucky Derby Model v75" xfId="500"/>
    <cellStyle name="_Multiple_Synergy Analysis_co-advisors_5517854_3_Put Analysis_Project Kentucky Derby Model v76" xfId="501"/>
    <cellStyle name="_Multiple_Synergy Analysis_co-advisors_5517854_3_Put Analysis_SBSAModel116(Company)" xfId="502"/>
    <cellStyle name="_Multiple_Synergy Analysis_co-advisors_5517854_3_Spin Model v.2" xfId="503"/>
    <cellStyle name="_Multiple_Synergy Analysis_co-advisors_5517854_3_Spin Model v.2_Project Kentucky Derby Model v75" xfId="504"/>
    <cellStyle name="_Multiple_Synergy Analysis_co-advisors_5517854_3_Spin Model v.2_Project Kentucky Derby Model v76" xfId="505"/>
    <cellStyle name="_Multiple_Synergy Analysis_co-advisors_5517854_3_Spin Model v.2_SBSAModel116(Company)" xfId="506"/>
    <cellStyle name="_Multiple_Synergy Analysis_co-advisors_Book3" xfId="507"/>
    <cellStyle name="_Multiple_Synergy Analysis_co-advisors_Book3_5401007_6" xfId="508"/>
    <cellStyle name="_Multiple_Synergy Analysis_co-advisors_Book3_5401007_6_Project Kentucky Derby Model v75" xfId="509"/>
    <cellStyle name="_Multiple_Synergy Analysis_co-advisors_Book3_5401007_6_Project Kentucky Derby Model v76" xfId="510"/>
    <cellStyle name="_Multiple_Synergy Analysis_co-advisors_Book3_5401007_6_SBSAModel116(Company)" xfId="511"/>
    <cellStyle name="_Multiple_Synergy Analysis_co-advisors_Book3_5963478_1" xfId="512"/>
    <cellStyle name="_Multiple_Synergy Analysis_co-advisors_Book3_FON" xfId="513"/>
    <cellStyle name="_Multiple_Synergy Analysis_co-advisors_Book3_Put Analysis" xfId="514"/>
    <cellStyle name="_Multiple_Synergy Analysis_co-advisors_Book3_Put Analysis.v2" xfId="515"/>
    <cellStyle name="_Multiple_Synergy Analysis_co-advisors_Book3_Put Analysis.v2_Project Kentucky Derby Model v75" xfId="516"/>
    <cellStyle name="_Multiple_Synergy Analysis_co-advisors_Book3_Put Analysis.v2_Project Kentucky Derby Model v76" xfId="517"/>
    <cellStyle name="_Multiple_Synergy Analysis_co-advisors_Book3_Put Analysis.v2_SBSAModel116(Company)" xfId="518"/>
    <cellStyle name="_Multiple_Synergy Analysis_co-advisors_Book3_Put Analysis_Project Kentucky Derby Model v75" xfId="519"/>
    <cellStyle name="_Multiple_Synergy Analysis_co-advisors_Book3_Put Analysis_Project Kentucky Derby Model v76" xfId="520"/>
    <cellStyle name="_Multiple_Synergy Analysis_co-advisors_Book3_Put Analysis_SBSAModel116(Company)" xfId="521"/>
    <cellStyle name="_Multiple_Synergy Analysis_co-advisors_Book3_Spin Model v.2" xfId="522"/>
    <cellStyle name="_Multiple_Synergy Analysis_co-advisors_Book3_Spin Model v.2_Project Kentucky Derby Model v75" xfId="523"/>
    <cellStyle name="_Multiple_Synergy Analysis_co-advisors_Book3_Spin Model v.2_Project Kentucky Derby Model v76" xfId="524"/>
    <cellStyle name="_Multiple_Synergy Analysis_co-advisors_Book3_Spin Model v.2_SBSAModel116(Company)" xfId="525"/>
    <cellStyle name="_MultipleSpace" xfId="526"/>
    <cellStyle name="_MultipleSpace_5515616_3" xfId="527"/>
    <cellStyle name="_MultipleSpace_5515616_3_5401007_6" xfId="528"/>
    <cellStyle name="_MultipleSpace_5515616_3_5963478_1" xfId="529"/>
    <cellStyle name="_MultipleSpace_5515616_3_FON" xfId="530"/>
    <cellStyle name="_MultipleSpace_5515616_3_Put Analysis" xfId="531"/>
    <cellStyle name="_MultipleSpace_5515616_3_Put Analysis.v2" xfId="532"/>
    <cellStyle name="_MultipleSpace_5515616_3_Spin Model v.2" xfId="533"/>
    <cellStyle name="_MultipleSpace_5517854_3" xfId="534"/>
    <cellStyle name="_MultipleSpace_5517854_3_5401007_6" xfId="535"/>
    <cellStyle name="_MultipleSpace_5517854_3_5963478_1" xfId="536"/>
    <cellStyle name="_MultipleSpace_5517854_3_FON" xfId="537"/>
    <cellStyle name="_MultipleSpace_5517854_3_Put Analysis" xfId="538"/>
    <cellStyle name="_MultipleSpace_5517854_3_Put Analysis.v2" xfId="539"/>
    <cellStyle name="_MultipleSpace_5517854_3_Spin Model v.2" xfId="540"/>
    <cellStyle name="_MultipleSpace_Book3" xfId="541"/>
    <cellStyle name="_MultipleSpace_Book3_5401007_6" xfId="542"/>
    <cellStyle name="_MultipleSpace_Book3_5963478_1" xfId="543"/>
    <cellStyle name="_MultipleSpace_Book3_FON" xfId="544"/>
    <cellStyle name="_MultipleSpace_Book3_Put Analysis" xfId="545"/>
    <cellStyle name="_MultipleSpace_Book3_Put Analysis.v2" xfId="546"/>
    <cellStyle name="_MultipleSpace_Book3_Spin Model v.2" xfId="547"/>
    <cellStyle name="_MultipleSpace_Combined Synergy Presentation" xfId="548"/>
    <cellStyle name="_MultipleSpace_Combined Synergy Presentation_5515616_3" xfId="549"/>
    <cellStyle name="_MultipleSpace_Combined Synergy Presentation_5515616_3_5401007_6" xfId="550"/>
    <cellStyle name="_MultipleSpace_Combined Synergy Presentation_5515616_3_5963478_1" xfId="551"/>
    <cellStyle name="_MultipleSpace_Combined Synergy Presentation_5515616_3_FON" xfId="552"/>
    <cellStyle name="_MultipleSpace_Combined Synergy Presentation_5515616_3_Put Analysis" xfId="553"/>
    <cellStyle name="_MultipleSpace_Combined Synergy Presentation_5515616_3_Put Analysis.v2" xfId="554"/>
    <cellStyle name="_MultipleSpace_Combined Synergy Presentation_5515616_3_Spin Model v.2" xfId="555"/>
    <cellStyle name="_MultipleSpace_Combined Synergy Presentation_5517854_3" xfId="556"/>
    <cellStyle name="_MultipleSpace_Combined Synergy Presentation_5517854_3_5401007_6" xfId="557"/>
    <cellStyle name="_MultipleSpace_Combined Synergy Presentation_5517854_3_5963478_1" xfId="558"/>
    <cellStyle name="_MultipleSpace_Combined Synergy Presentation_5517854_3_FON" xfId="559"/>
    <cellStyle name="_MultipleSpace_Combined Synergy Presentation_5517854_3_Put Analysis" xfId="560"/>
    <cellStyle name="_MultipleSpace_Combined Synergy Presentation_5517854_3_Put Analysis.v2" xfId="561"/>
    <cellStyle name="_MultipleSpace_Combined Synergy Presentation_5517854_3_Spin Model v.2" xfId="562"/>
    <cellStyle name="_MultipleSpace_Combined Synergy Presentation_Book3" xfId="563"/>
    <cellStyle name="_MultipleSpace_Combined Synergy Presentation_Book3_5401007_6" xfId="564"/>
    <cellStyle name="_MultipleSpace_Combined Synergy Presentation_Book3_5963478_1" xfId="565"/>
    <cellStyle name="_MultipleSpace_Combined Synergy Presentation_Book3_FON" xfId="566"/>
    <cellStyle name="_MultipleSpace_Combined Synergy Presentation_Book3_Put Analysis" xfId="567"/>
    <cellStyle name="_MultipleSpace_Combined Synergy Presentation_Book3_Put Analysis.v2" xfId="568"/>
    <cellStyle name="_MultipleSpace_Combined Synergy Presentation_Book3_Spin Model v.2" xfId="569"/>
    <cellStyle name="_MultipleSpace_Synergy Analysis" xfId="570"/>
    <cellStyle name="_MultipleSpace_Synergy Analysis_5515616_3" xfId="571"/>
    <cellStyle name="_MultipleSpace_Synergy Analysis_5515616_3_5401007_6" xfId="572"/>
    <cellStyle name="_MultipleSpace_Synergy Analysis_5515616_3_5401007_6_Project Kentucky Derby Model v75" xfId="573"/>
    <cellStyle name="_MultipleSpace_Synergy Analysis_5515616_3_5401007_6_Project Kentucky Derby Model v76" xfId="574"/>
    <cellStyle name="_MultipleSpace_Synergy Analysis_5515616_3_5401007_6_SBSAModel116(Company)" xfId="575"/>
    <cellStyle name="_MultipleSpace_Synergy Analysis_5515616_3_5963478_1" xfId="576"/>
    <cellStyle name="_MultipleSpace_Synergy Analysis_5515616_3_FON" xfId="577"/>
    <cellStyle name="_MultipleSpace_Synergy Analysis_5515616_3_Put Analysis" xfId="578"/>
    <cellStyle name="_MultipleSpace_Synergy Analysis_5515616_3_Put Analysis.v2" xfId="579"/>
    <cellStyle name="_MultipleSpace_Synergy Analysis_5515616_3_Put Analysis.v2_Project Kentucky Derby Model v75" xfId="580"/>
    <cellStyle name="_MultipleSpace_Synergy Analysis_5515616_3_Put Analysis.v2_Project Kentucky Derby Model v76" xfId="581"/>
    <cellStyle name="_MultipleSpace_Synergy Analysis_5515616_3_Put Analysis.v2_SBSAModel116(Company)" xfId="582"/>
    <cellStyle name="_MultipleSpace_Synergy Analysis_5515616_3_Put Analysis_Project Kentucky Derby Model v75" xfId="583"/>
    <cellStyle name="_MultipleSpace_Synergy Analysis_5515616_3_Put Analysis_Project Kentucky Derby Model v76" xfId="584"/>
    <cellStyle name="_MultipleSpace_Synergy Analysis_5515616_3_Put Analysis_SBSAModel116(Company)" xfId="585"/>
    <cellStyle name="_MultipleSpace_Synergy Analysis_5515616_3_Spin Model v.2" xfId="586"/>
    <cellStyle name="_MultipleSpace_Synergy Analysis_5515616_3_Spin Model v.2_Project Kentucky Derby Model v75" xfId="587"/>
    <cellStyle name="_MultipleSpace_Synergy Analysis_5515616_3_Spin Model v.2_Project Kentucky Derby Model v76" xfId="588"/>
    <cellStyle name="_MultipleSpace_Synergy Analysis_5515616_3_Spin Model v.2_SBSAModel116(Company)" xfId="589"/>
    <cellStyle name="_MultipleSpace_Synergy Analysis_5517854_3" xfId="590"/>
    <cellStyle name="_MultipleSpace_Synergy Analysis_5517854_3_5401007_6" xfId="591"/>
    <cellStyle name="_MultipleSpace_Synergy Analysis_5517854_3_5401007_6_Project Kentucky Derby Model v75" xfId="592"/>
    <cellStyle name="_MultipleSpace_Synergy Analysis_5517854_3_5401007_6_Project Kentucky Derby Model v76" xfId="593"/>
    <cellStyle name="_MultipleSpace_Synergy Analysis_5517854_3_5401007_6_SBSAModel116(Company)" xfId="594"/>
    <cellStyle name="_MultipleSpace_Synergy Analysis_5517854_3_5963478_1" xfId="595"/>
    <cellStyle name="_MultipleSpace_Synergy Analysis_5517854_3_FON" xfId="596"/>
    <cellStyle name="_MultipleSpace_Synergy Analysis_5517854_3_Put Analysis" xfId="597"/>
    <cellStyle name="_MultipleSpace_Synergy Analysis_5517854_3_Put Analysis.v2" xfId="598"/>
    <cellStyle name="_MultipleSpace_Synergy Analysis_5517854_3_Put Analysis.v2_Project Kentucky Derby Model v75" xfId="599"/>
    <cellStyle name="_MultipleSpace_Synergy Analysis_5517854_3_Put Analysis.v2_Project Kentucky Derby Model v76" xfId="600"/>
    <cellStyle name="_MultipleSpace_Synergy Analysis_5517854_3_Put Analysis.v2_SBSAModel116(Company)" xfId="601"/>
    <cellStyle name="_MultipleSpace_Synergy Analysis_5517854_3_Put Analysis_Project Kentucky Derby Model v75" xfId="602"/>
    <cellStyle name="_MultipleSpace_Synergy Analysis_5517854_3_Put Analysis_Project Kentucky Derby Model v76" xfId="603"/>
    <cellStyle name="_MultipleSpace_Synergy Analysis_5517854_3_Put Analysis_SBSAModel116(Company)" xfId="604"/>
    <cellStyle name="_MultipleSpace_Synergy Analysis_5517854_3_Spin Model v.2" xfId="605"/>
    <cellStyle name="_MultipleSpace_Synergy Analysis_5517854_3_Spin Model v.2_Project Kentucky Derby Model v75" xfId="606"/>
    <cellStyle name="_MultipleSpace_Synergy Analysis_5517854_3_Spin Model v.2_Project Kentucky Derby Model v76" xfId="607"/>
    <cellStyle name="_MultipleSpace_Synergy Analysis_5517854_3_Spin Model v.2_SBSAModel116(Company)" xfId="608"/>
    <cellStyle name="_MultipleSpace_Synergy Analysis_Book3" xfId="609"/>
    <cellStyle name="_MultipleSpace_Synergy Analysis_Book3_5401007_6" xfId="610"/>
    <cellStyle name="_MultipleSpace_Synergy Analysis_Book3_5401007_6_Project Kentucky Derby Model v75" xfId="611"/>
    <cellStyle name="_MultipleSpace_Synergy Analysis_Book3_5401007_6_Project Kentucky Derby Model v76" xfId="612"/>
    <cellStyle name="_MultipleSpace_Synergy Analysis_Book3_5401007_6_SBSAModel116(Company)" xfId="613"/>
    <cellStyle name="_MultipleSpace_Synergy Analysis_Book3_5963478_1" xfId="614"/>
    <cellStyle name="_MultipleSpace_Synergy Analysis_Book3_FON" xfId="615"/>
    <cellStyle name="_MultipleSpace_Synergy Analysis_Book3_Put Analysis" xfId="616"/>
    <cellStyle name="_MultipleSpace_Synergy Analysis_Book3_Put Analysis.v2" xfId="617"/>
    <cellStyle name="_MultipleSpace_Synergy Analysis_Book3_Put Analysis.v2_Project Kentucky Derby Model v75" xfId="618"/>
    <cellStyle name="_MultipleSpace_Synergy Analysis_Book3_Put Analysis.v2_Project Kentucky Derby Model v76" xfId="619"/>
    <cellStyle name="_MultipleSpace_Synergy Analysis_Book3_Put Analysis.v2_SBSAModel116(Company)" xfId="620"/>
    <cellStyle name="_MultipleSpace_Synergy Analysis_Book3_Put Analysis_Project Kentucky Derby Model v75" xfId="621"/>
    <cellStyle name="_MultipleSpace_Synergy Analysis_Book3_Put Analysis_Project Kentucky Derby Model v76" xfId="622"/>
    <cellStyle name="_MultipleSpace_Synergy Analysis_Book3_Put Analysis_SBSAModel116(Company)" xfId="623"/>
    <cellStyle name="_MultipleSpace_Synergy Analysis_Book3_Spin Model v.2" xfId="624"/>
    <cellStyle name="_MultipleSpace_Synergy Analysis_Book3_Spin Model v.2_Project Kentucky Derby Model v75" xfId="625"/>
    <cellStyle name="_MultipleSpace_Synergy Analysis_Book3_Spin Model v.2_Project Kentucky Derby Model v76" xfId="626"/>
    <cellStyle name="_MultipleSpace_Synergy Analysis_Book3_Spin Model v.2_SBSAModel116(Company)" xfId="627"/>
    <cellStyle name="_MultipleSpace_Synergy Analysis_co-advisors" xfId="628"/>
    <cellStyle name="_MultipleSpace_Synergy Analysis_co-advisors_5515616_3" xfId="629"/>
    <cellStyle name="_MultipleSpace_Synergy Analysis_co-advisors_5515616_3_5401007_6" xfId="630"/>
    <cellStyle name="_MultipleSpace_Synergy Analysis_co-advisors_5515616_3_5401007_6_Project Kentucky Derby Model v75" xfId="631"/>
    <cellStyle name="_MultipleSpace_Synergy Analysis_co-advisors_5515616_3_5401007_6_Project Kentucky Derby Model v76" xfId="632"/>
    <cellStyle name="_MultipleSpace_Synergy Analysis_co-advisors_5515616_3_5401007_6_SBSAModel116(Company)" xfId="633"/>
    <cellStyle name="_MultipleSpace_Synergy Analysis_co-advisors_5515616_3_5963478_1" xfId="634"/>
    <cellStyle name="_MultipleSpace_Synergy Analysis_co-advisors_5515616_3_FON" xfId="635"/>
    <cellStyle name="_MultipleSpace_Synergy Analysis_co-advisors_5515616_3_Put Analysis" xfId="636"/>
    <cellStyle name="_MultipleSpace_Synergy Analysis_co-advisors_5515616_3_Put Analysis.v2" xfId="637"/>
    <cellStyle name="_MultipleSpace_Synergy Analysis_co-advisors_5515616_3_Put Analysis.v2_Project Kentucky Derby Model v75" xfId="638"/>
    <cellStyle name="_MultipleSpace_Synergy Analysis_co-advisors_5515616_3_Put Analysis.v2_Project Kentucky Derby Model v76" xfId="639"/>
    <cellStyle name="_MultipleSpace_Synergy Analysis_co-advisors_5515616_3_Put Analysis.v2_SBSAModel116(Company)" xfId="640"/>
    <cellStyle name="_MultipleSpace_Synergy Analysis_co-advisors_5515616_3_Put Analysis_Project Kentucky Derby Model v75" xfId="641"/>
    <cellStyle name="_MultipleSpace_Synergy Analysis_co-advisors_5515616_3_Put Analysis_Project Kentucky Derby Model v76" xfId="642"/>
    <cellStyle name="_MultipleSpace_Synergy Analysis_co-advisors_5515616_3_Put Analysis_SBSAModel116(Company)" xfId="643"/>
    <cellStyle name="_MultipleSpace_Synergy Analysis_co-advisors_5515616_3_Spin Model v.2" xfId="644"/>
    <cellStyle name="_MultipleSpace_Synergy Analysis_co-advisors_5515616_3_Spin Model v.2_Project Kentucky Derby Model v75" xfId="645"/>
    <cellStyle name="_MultipleSpace_Synergy Analysis_co-advisors_5515616_3_Spin Model v.2_Project Kentucky Derby Model v76" xfId="646"/>
    <cellStyle name="_MultipleSpace_Synergy Analysis_co-advisors_5515616_3_Spin Model v.2_SBSAModel116(Company)" xfId="647"/>
    <cellStyle name="_MultipleSpace_Synergy Analysis_co-advisors_5517854_3" xfId="648"/>
    <cellStyle name="_MultipleSpace_Synergy Analysis_co-advisors_5517854_3_5401007_6" xfId="649"/>
    <cellStyle name="_MultipleSpace_Synergy Analysis_co-advisors_5517854_3_5401007_6_Project Kentucky Derby Model v75" xfId="650"/>
    <cellStyle name="_MultipleSpace_Synergy Analysis_co-advisors_5517854_3_5401007_6_Project Kentucky Derby Model v76" xfId="651"/>
    <cellStyle name="_MultipleSpace_Synergy Analysis_co-advisors_5517854_3_5401007_6_SBSAModel116(Company)" xfId="652"/>
    <cellStyle name="_MultipleSpace_Synergy Analysis_co-advisors_5517854_3_5963478_1" xfId="653"/>
    <cellStyle name="_MultipleSpace_Synergy Analysis_co-advisors_5517854_3_FON" xfId="654"/>
    <cellStyle name="_MultipleSpace_Synergy Analysis_co-advisors_5517854_3_Put Analysis" xfId="655"/>
    <cellStyle name="_MultipleSpace_Synergy Analysis_co-advisors_5517854_3_Put Analysis.v2" xfId="656"/>
    <cellStyle name="_MultipleSpace_Synergy Analysis_co-advisors_5517854_3_Put Analysis.v2_Project Kentucky Derby Model v75" xfId="657"/>
    <cellStyle name="_MultipleSpace_Synergy Analysis_co-advisors_5517854_3_Put Analysis.v2_Project Kentucky Derby Model v76" xfId="658"/>
    <cellStyle name="_MultipleSpace_Synergy Analysis_co-advisors_5517854_3_Put Analysis.v2_SBSAModel116(Company)" xfId="659"/>
    <cellStyle name="_MultipleSpace_Synergy Analysis_co-advisors_5517854_3_Put Analysis_Project Kentucky Derby Model v75" xfId="660"/>
    <cellStyle name="_MultipleSpace_Synergy Analysis_co-advisors_5517854_3_Put Analysis_Project Kentucky Derby Model v76" xfId="661"/>
    <cellStyle name="_MultipleSpace_Synergy Analysis_co-advisors_5517854_3_Put Analysis_SBSAModel116(Company)" xfId="662"/>
    <cellStyle name="_MultipleSpace_Synergy Analysis_co-advisors_5517854_3_Spin Model v.2" xfId="663"/>
    <cellStyle name="_MultipleSpace_Synergy Analysis_co-advisors_5517854_3_Spin Model v.2_Project Kentucky Derby Model v75" xfId="664"/>
    <cellStyle name="_MultipleSpace_Synergy Analysis_co-advisors_5517854_3_Spin Model v.2_Project Kentucky Derby Model v76" xfId="665"/>
    <cellStyle name="_MultipleSpace_Synergy Analysis_co-advisors_5517854_3_Spin Model v.2_SBSAModel116(Company)" xfId="666"/>
    <cellStyle name="_MultipleSpace_Synergy Analysis_co-advisors_Book3" xfId="667"/>
    <cellStyle name="_MultipleSpace_Synergy Analysis_co-advisors_Book3_5401007_6" xfId="668"/>
    <cellStyle name="_MultipleSpace_Synergy Analysis_co-advisors_Book3_5401007_6_Project Kentucky Derby Model v75" xfId="669"/>
    <cellStyle name="_MultipleSpace_Synergy Analysis_co-advisors_Book3_5401007_6_Project Kentucky Derby Model v76" xfId="670"/>
    <cellStyle name="_MultipleSpace_Synergy Analysis_co-advisors_Book3_5401007_6_SBSAModel116(Company)" xfId="671"/>
    <cellStyle name="_MultipleSpace_Synergy Analysis_co-advisors_Book3_5963478_1" xfId="672"/>
    <cellStyle name="_MultipleSpace_Synergy Analysis_co-advisors_Book3_FON" xfId="673"/>
    <cellStyle name="_MultipleSpace_Synergy Analysis_co-advisors_Book3_Put Analysis" xfId="674"/>
    <cellStyle name="_MultipleSpace_Synergy Analysis_co-advisors_Book3_Put Analysis.v2" xfId="675"/>
    <cellStyle name="_MultipleSpace_Synergy Analysis_co-advisors_Book3_Put Analysis.v2_Project Kentucky Derby Model v75" xfId="676"/>
    <cellStyle name="_MultipleSpace_Synergy Analysis_co-advisors_Book3_Put Analysis.v2_Project Kentucky Derby Model v76" xfId="677"/>
    <cellStyle name="_MultipleSpace_Synergy Analysis_co-advisors_Book3_Put Analysis.v2_SBSAModel116(Company)" xfId="678"/>
    <cellStyle name="_MultipleSpace_Synergy Analysis_co-advisors_Book3_Put Analysis_Project Kentucky Derby Model v75" xfId="679"/>
    <cellStyle name="_MultipleSpace_Synergy Analysis_co-advisors_Book3_Put Analysis_Project Kentucky Derby Model v76" xfId="680"/>
    <cellStyle name="_MultipleSpace_Synergy Analysis_co-advisors_Book3_Put Analysis_SBSAModel116(Company)" xfId="681"/>
    <cellStyle name="_MultipleSpace_Synergy Analysis_co-advisors_Book3_Spin Model v.2" xfId="682"/>
    <cellStyle name="_MultipleSpace_Synergy Analysis_co-advisors_Book3_Spin Model v.2_Project Kentucky Derby Model v75" xfId="683"/>
    <cellStyle name="_MultipleSpace_Synergy Analysis_co-advisors_Book3_Spin Model v.2_Project Kentucky Derby Model v76" xfId="684"/>
    <cellStyle name="_MultipleSpace_Synergy Analysis_co-advisors_Book3_Spin Model v.2_SBSAModel116(Company)" xfId="685"/>
    <cellStyle name="_MultipleSpace_Synergy Calc 1.1 rev 5-yr aug high1_bpace" xfId="686"/>
    <cellStyle name="_MultipleSpace_Synergy Calc 1.1 rev 5-yr aug high1_bpace_5515616_3" xfId="687"/>
    <cellStyle name="_MultipleSpace_Synergy Calc 1.1 rev 5-yr aug high1_bpace_5515616_3_5401007_6" xfId="688"/>
    <cellStyle name="_MultipleSpace_Synergy Calc 1.1 rev 5-yr aug high1_bpace_5515616_3_5963478_1" xfId="689"/>
    <cellStyle name="_MultipleSpace_Synergy Calc 1.1 rev 5-yr aug high1_bpace_5515616_3_FON" xfId="690"/>
    <cellStyle name="_MultipleSpace_Synergy Calc 1.1 rev 5-yr aug high1_bpace_5515616_3_Put Analysis" xfId="691"/>
    <cellStyle name="_MultipleSpace_Synergy Calc 1.1 rev 5-yr aug high1_bpace_5515616_3_Put Analysis.v2" xfId="692"/>
    <cellStyle name="_MultipleSpace_Synergy Calc 1.1 rev 5-yr aug high1_bpace_5515616_3_Spin Model v.2" xfId="693"/>
    <cellStyle name="_MultipleSpace_Synergy Calc 1.1 rev 5-yr aug high1_bpace_5517854_3" xfId="694"/>
    <cellStyle name="_MultipleSpace_Synergy Calc 1.1 rev 5-yr aug high1_bpace_5517854_3_5401007_6" xfId="695"/>
    <cellStyle name="_MultipleSpace_Synergy Calc 1.1 rev 5-yr aug high1_bpace_5517854_3_5963478_1" xfId="696"/>
    <cellStyle name="_MultipleSpace_Synergy Calc 1.1 rev 5-yr aug high1_bpace_5517854_3_FON" xfId="697"/>
    <cellStyle name="_MultipleSpace_Synergy Calc 1.1 rev 5-yr aug high1_bpace_5517854_3_Put Analysis" xfId="698"/>
    <cellStyle name="_MultipleSpace_Synergy Calc 1.1 rev 5-yr aug high1_bpace_5517854_3_Put Analysis.v2" xfId="699"/>
    <cellStyle name="_MultipleSpace_Synergy Calc 1.1 rev 5-yr aug high1_bpace_5517854_3_Spin Model v.2" xfId="700"/>
    <cellStyle name="_MultipleSpace_Synergy Calc 1.1 rev 5-yr aug high1_bpace_Book3" xfId="701"/>
    <cellStyle name="_MultipleSpace_Synergy Calc 1.1 rev 5-yr aug high1_bpace_Book3_5401007_6" xfId="702"/>
    <cellStyle name="_MultipleSpace_Synergy Calc 1.1 rev 5-yr aug high1_bpace_Book3_5963478_1" xfId="703"/>
    <cellStyle name="_MultipleSpace_Synergy Calc 1.1 rev 5-yr aug high1_bpace_Book3_FON" xfId="704"/>
    <cellStyle name="_MultipleSpace_Synergy Calc 1.1 rev 5-yr aug high1_bpace_Book3_Put Analysis" xfId="705"/>
    <cellStyle name="_MultipleSpace_Synergy Calc 1.1 rev 5-yr aug high1_bpace_Book3_Put Analysis.v2" xfId="706"/>
    <cellStyle name="_MultipleSpace_Synergy Calc 1.1 rev 5-yr aug high1_bpace_Book3_Spin Model v.2" xfId="707"/>
    <cellStyle name="_MultipleSpace_Synergy Detail _gs" xfId="708"/>
    <cellStyle name="_MultipleSpace_Synergy Detail _gs_5515616_3" xfId="709"/>
    <cellStyle name="_MultipleSpace_Synergy Detail _gs_5515616_3_5401007_6" xfId="710"/>
    <cellStyle name="_MultipleSpace_Synergy Detail _gs_5515616_3_5401007_6_Project Kentucky Derby Model v75" xfId="711"/>
    <cellStyle name="_MultipleSpace_Synergy Detail _gs_5515616_3_5401007_6_Project Kentucky Derby Model v76" xfId="712"/>
    <cellStyle name="_MultipleSpace_Synergy Detail _gs_5515616_3_5401007_6_SBSAModel116(Company)" xfId="713"/>
    <cellStyle name="_MultipleSpace_Synergy Detail _gs_5515616_3_5963478_1" xfId="714"/>
    <cellStyle name="_MultipleSpace_Synergy Detail _gs_5515616_3_FON" xfId="715"/>
    <cellStyle name="_MultipleSpace_Synergy Detail _gs_5515616_3_Put Analysis" xfId="716"/>
    <cellStyle name="_MultipleSpace_Synergy Detail _gs_5515616_3_Put Analysis.v2" xfId="717"/>
    <cellStyle name="_MultipleSpace_Synergy Detail _gs_5515616_3_Put Analysis.v2_Project Kentucky Derby Model v75" xfId="718"/>
    <cellStyle name="_MultipleSpace_Synergy Detail _gs_5515616_3_Put Analysis.v2_Project Kentucky Derby Model v76" xfId="719"/>
    <cellStyle name="_MultipleSpace_Synergy Detail _gs_5515616_3_Put Analysis.v2_SBSAModel116(Company)" xfId="720"/>
    <cellStyle name="_MultipleSpace_Synergy Detail _gs_5515616_3_Put Analysis_Project Kentucky Derby Model v75" xfId="721"/>
    <cellStyle name="_MultipleSpace_Synergy Detail _gs_5515616_3_Put Analysis_Project Kentucky Derby Model v76" xfId="722"/>
    <cellStyle name="_MultipleSpace_Synergy Detail _gs_5515616_3_Put Analysis_SBSAModel116(Company)" xfId="723"/>
    <cellStyle name="_MultipleSpace_Synergy Detail _gs_5515616_3_Spin Model v.2" xfId="724"/>
    <cellStyle name="_MultipleSpace_Synergy Detail _gs_5515616_3_Spin Model v.2_Project Kentucky Derby Model v75" xfId="725"/>
    <cellStyle name="_MultipleSpace_Synergy Detail _gs_5515616_3_Spin Model v.2_Project Kentucky Derby Model v76" xfId="726"/>
    <cellStyle name="_MultipleSpace_Synergy Detail _gs_5515616_3_Spin Model v.2_SBSAModel116(Company)" xfId="727"/>
    <cellStyle name="_MultipleSpace_Synergy Detail _gs_5517854_3" xfId="728"/>
    <cellStyle name="_MultipleSpace_Synergy Detail _gs_5517854_3_5401007_6" xfId="729"/>
    <cellStyle name="_MultipleSpace_Synergy Detail _gs_5517854_3_5401007_6_Project Kentucky Derby Model v75" xfId="730"/>
    <cellStyle name="_MultipleSpace_Synergy Detail _gs_5517854_3_5401007_6_Project Kentucky Derby Model v76" xfId="731"/>
    <cellStyle name="_MultipleSpace_Synergy Detail _gs_5517854_3_5401007_6_SBSAModel116(Company)" xfId="732"/>
    <cellStyle name="_MultipleSpace_Synergy Detail _gs_5517854_3_5963478_1" xfId="733"/>
    <cellStyle name="_MultipleSpace_Synergy Detail _gs_5517854_3_FON" xfId="734"/>
    <cellStyle name="_MultipleSpace_Synergy Detail _gs_5517854_3_Put Analysis" xfId="735"/>
    <cellStyle name="_MultipleSpace_Synergy Detail _gs_5517854_3_Put Analysis.v2" xfId="736"/>
    <cellStyle name="_MultipleSpace_Synergy Detail _gs_5517854_3_Put Analysis.v2_Project Kentucky Derby Model v75" xfId="737"/>
    <cellStyle name="_MultipleSpace_Synergy Detail _gs_5517854_3_Put Analysis.v2_Project Kentucky Derby Model v76" xfId="738"/>
    <cellStyle name="_MultipleSpace_Synergy Detail _gs_5517854_3_Put Analysis.v2_SBSAModel116(Company)" xfId="739"/>
    <cellStyle name="_MultipleSpace_Synergy Detail _gs_5517854_3_Put Analysis_Project Kentucky Derby Model v75" xfId="740"/>
    <cellStyle name="_MultipleSpace_Synergy Detail _gs_5517854_3_Put Analysis_Project Kentucky Derby Model v76" xfId="741"/>
    <cellStyle name="_MultipleSpace_Synergy Detail _gs_5517854_3_Put Analysis_SBSAModel116(Company)" xfId="742"/>
    <cellStyle name="_MultipleSpace_Synergy Detail _gs_5517854_3_Spin Model v.2" xfId="743"/>
    <cellStyle name="_MultipleSpace_Synergy Detail _gs_5517854_3_Spin Model v.2_Project Kentucky Derby Model v75" xfId="744"/>
    <cellStyle name="_MultipleSpace_Synergy Detail _gs_5517854_3_Spin Model v.2_Project Kentucky Derby Model v76" xfId="745"/>
    <cellStyle name="_MultipleSpace_Synergy Detail _gs_5517854_3_Spin Model v.2_SBSAModel116(Company)" xfId="746"/>
    <cellStyle name="_MultipleSpace_Synergy Detail _gs_Book3" xfId="747"/>
    <cellStyle name="_MultipleSpace_Synergy Detail _gs_Book3_5401007_6" xfId="748"/>
    <cellStyle name="_MultipleSpace_Synergy Detail _gs_Book3_5401007_6_Project Kentucky Derby Model v75" xfId="749"/>
    <cellStyle name="_MultipleSpace_Synergy Detail _gs_Book3_5401007_6_Project Kentucky Derby Model v76" xfId="750"/>
    <cellStyle name="_MultipleSpace_Synergy Detail _gs_Book3_5401007_6_SBSAModel116(Company)" xfId="751"/>
    <cellStyle name="_MultipleSpace_Synergy Detail _gs_Book3_5963478_1" xfId="752"/>
    <cellStyle name="_MultipleSpace_Synergy Detail _gs_Book3_FON" xfId="753"/>
    <cellStyle name="_MultipleSpace_Synergy Detail _gs_Book3_Put Analysis" xfId="754"/>
    <cellStyle name="_MultipleSpace_Synergy Detail _gs_Book3_Put Analysis.v2" xfId="755"/>
    <cellStyle name="_MultipleSpace_Synergy Detail _gs_Book3_Put Analysis.v2_Project Kentucky Derby Model v75" xfId="756"/>
    <cellStyle name="_MultipleSpace_Synergy Detail _gs_Book3_Put Analysis.v2_Project Kentucky Derby Model v76" xfId="757"/>
    <cellStyle name="_MultipleSpace_Synergy Detail _gs_Book3_Put Analysis.v2_SBSAModel116(Company)" xfId="758"/>
    <cellStyle name="_MultipleSpace_Synergy Detail _gs_Book3_Put Analysis_Project Kentucky Derby Model v75" xfId="759"/>
    <cellStyle name="_MultipleSpace_Synergy Detail _gs_Book3_Put Analysis_Project Kentucky Derby Model v76" xfId="760"/>
    <cellStyle name="_MultipleSpace_Synergy Detail _gs_Book3_Put Analysis_SBSAModel116(Company)" xfId="761"/>
    <cellStyle name="_MultipleSpace_Synergy Detail _gs_Book3_Spin Model v.2" xfId="762"/>
    <cellStyle name="_MultipleSpace_Synergy Detail _gs_Book3_Spin Model v.2_Project Kentucky Derby Model v75" xfId="763"/>
    <cellStyle name="_MultipleSpace_Synergy Detail _gs_Book3_Spin Model v.2_Project Kentucky Derby Model v76" xfId="764"/>
    <cellStyle name="_MultipleSpace_Synergy Detail _gs_Book3_Spin Model v.2_SBSAModel116(Company)" xfId="765"/>
    <cellStyle name="_Percent" xfId="766"/>
    <cellStyle name="_Percent_5515616_3" xfId="767"/>
    <cellStyle name="_Percent_5515616_3_5401007_6" xfId="768"/>
    <cellStyle name="_Percent_5515616_3_5963478_1" xfId="769"/>
    <cellStyle name="_Percent_5515616_3_FON" xfId="770"/>
    <cellStyle name="_Percent_5515616_3_Put Analysis" xfId="771"/>
    <cellStyle name="_Percent_5515616_3_Put Analysis.v2" xfId="772"/>
    <cellStyle name="_Percent_5515616_3_Spin Model v.2" xfId="773"/>
    <cellStyle name="_Percent_5517854_3" xfId="774"/>
    <cellStyle name="_Percent_5517854_3_5401007_6" xfId="775"/>
    <cellStyle name="_Percent_5517854_3_5963478_1" xfId="776"/>
    <cellStyle name="_Percent_5517854_3_FON" xfId="777"/>
    <cellStyle name="_Percent_5517854_3_Put Analysis" xfId="778"/>
    <cellStyle name="_Percent_5517854_3_Put Analysis.v2" xfId="779"/>
    <cellStyle name="_Percent_5517854_3_Spin Model v.2" xfId="780"/>
    <cellStyle name="_Percent_Book3" xfId="781"/>
    <cellStyle name="_Percent_Book3_5401007_6" xfId="782"/>
    <cellStyle name="_Percent_Book3_5963478_1" xfId="783"/>
    <cellStyle name="_Percent_Book3_FON" xfId="784"/>
    <cellStyle name="_Percent_Book3_Put Analysis" xfId="785"/>
    <cellStyle name="_Percent_Book3_Put Analysis.v2" xfId="786"/>
    <cellStyle name="_Percent_Book3_Spin Model v.2" xfId="787"/>
    <cellStyle name="_PercentSpace" xfId="788"/>
    <cellStyle name="_PercentSpace_5515616_3" xfId="789"/>
    <cellStyle name="_PercentSpace_5515616_3_5401007_6" xfId="790"/>
    <cellStyle name="_PercentSpace_5515616_3_5401007_6_Project Kentucky Derby Model v75" xfId="791"/>
    <cellStyle name="_PercentSpace_5515616_3_5401007_6_Project Kentucky Derby Model v76" xfId="792"/>
    <cellStyle name="_PercentSpace_5515616_3_5401007_6_SBSAModel116(Company)" xfId="793"/>
    <cellStyle name="_PercentSpace_5515616_3_5963478_1" xfId="794"/>
    <cellStyle name="_PercentSpace_5515616_3_FON" xfId="795"/>
    <cellStyle name="_PercentSpace_5515616_3_Put Analysis" xfId="796"/>
    <cellStyle name="_PercentSpace_5515616_3_Put Analysis.v2" xfId="797"/>
    <cellStyle name="_PercentSpace_5515616_3_Put Analysis.v2_Project Kentucky Derby Model v75" xfId="798"/>
    <cellStyle name="_PercentSpace_5515616_3_Put Analysis.v2_Project Kentucky Derby Model v76" xfId="799"/>
    <cellStyle name="_PercentSpace_5515616_3_Put Analysis.v2_SBSAModel116(Company)" xfId="800"/>
    <cellStyle name="_PercentSpace_5515616_3_Put Analysis_Project Kentucky Derby Model v75" xfId="801"/>
    <cellStyle name="_PercentSpace_5515616_3_Put Analysis_Project Kentucky Derby Model v76" xfId="802"/>
    <cellStyle name="_PercentSpace_5515616_3_Put Analysis_SBSAModel116(Company)" xfId="803"/>
    <cellStyle name="_PercentSpace_5515616_3_Spin Model v.2" xfId="804"/>
    <cellStyle name="_PercentSpace_5515616_3_Spin Model v.2_Project Kentucky Derby Model v75" xfId="805"/>
    <cellStyle name="_PercentSpace_5515616_3_Spin Model v.2_Project Kentucky Derby Model v76" xfId="806"/>
    <cellStyle name="_PercentSpace_5515616_3_Spin Model v.2_SBSAModel116(Company)" xfId="807"/>
    <cellStyle name="_PercentSpace_5517854_3" xfId="808"/>
    <cellStyle name="_PercentSpace_5517854_3_5401007_6" xfId="809"/>
    <cellStyle name="_PercentSpace_5517854_3_5401007_6_Project Kentucky Derby Model v75" xfId="810"/>
    <cellStyle name="_PercentSpace_5517854_3_5401007_6_Project Kentucky Derby Model v76" xfId="811"/>
    <cellStyle name="_PercentSpace_5517854_3_5401007_6_SBSAModel116(Company)" xfId="812"/>
    <cellStyle name="_PercentSpace_5517854_3_5963478_1" xfId="813"/>
    <cellStyle name="_PercentSpace_5517854_3_FON" xfId="814"/>
    <cellStyle name="_PercentSpace_5517854_3_Put Analysis" xfId="815"/>
    <cellStyle name="_PercentSpace_5517854_3_Put Analysis.v2" xfId="816"/>
    <cellStyle name="_PercentSpace_5517854_3_Put Analysis.v2_Project Kentucky Derby Model v75" xfId="817"/>
    <cellStyle name="_PercentSpace_5517854_3_Put Analysis.v2_Project Kentucky Derby Model v76" xfId="818"/>
    <cellStyle name="_PercentSpace_5517854_3_Put Analysis.v2_SBSAModel116(Company)" xfId="819"/>
    <cellStyle name="_PercentSpace_5517854_3_Put Analysis_Project Kentucky Derby Model v75" xfId="820"/>
    <cellStyle name="_PercentSpace_5517854_3_Put Analysis_Project Kentucky Derby Model v76" xfId="821"/>
    <cellStyle name="_PercentSpace_5517854_3_Put Analysis_SBSAModel116(Company)" xfId="822"/>
    <cellStyle name="_PercentSpace_5517854_3_Spin Model v.2" xfId="823"/>
    <cellStyle name="_PercentSpace_5517854_3_Spin Model v.2_Project Kentucky Derby Model v75" xfId="824"/>
    <cellStyle name="_PercentSpace_5517854_3_Spin Model v.2_Project Kentucky Derby Model v76" xfId="825"/>
    <cellStyle name="_PercentSpace_5517854_3_Spin Model v.2_SBSAModel116(Company)" xfId="826"/>
    <cellStyle name="_PercentSpace_Book3" xfId="827"/>
    <cellStyle name="_PercentSpace_Book3_5401007_6" xfId="828"/>
    <cellStyle name="_PercentSpace_Book3_5401007_6_Project Kentucky Derby Model v75" xfId="829"/>
    <cellStyle name="_PercentSpace_Book3_5401007_6_Project Kentucky Derby Model v76" xfId="830"/>
    <cellStyle name="_PercentSpace_Book3_5401007_6_SBSAModel116(Company)" xfId="831"/>
    <cellStyle name="_PercentSpace_Book3_5963478_1" xfId="832"/>
    <cellStyle name="_PercentSpace_Book3_FON" xfId="833"/>
    <cellStyle name="_PercentSpace_Book3_Put Analysis" xfId="834"/>
    <cellStyle name="_PercentSpace_Book3_Put Analysis.v2" xfId="835"/>
    <cellStyle name="_PercentSpace_Book3_Put Analysis.v2_Project Kentucky Derby Model v75" xfId="836"/>
    <cellStyle name="_PercentSpace_Book3_Put Analysis.v2_Project Kentucky Derby Model v76" xfId="837"/>
    <cellStyle name="_PercentSpace_Book3_Put Analysis.v2_SBSAModel116(Company)" xfId="838"/>
    <cellStyle name="_PercentSpace_Book3_Put Analysis_Project Kentucky Derby Model v75" xfId="839"/>
    <cellStyle name="_PercentSpace_Book3_Put Analysis_Project Kentucky Derby Model v76" xfId="840"/>
    <cellStyle name="_PercentSpace_Book3_Put Analysis_SBSAModel116(Company)" xfId="841"/>
    <cellStyle name="_PercentSpace_Book3_Spin Model v.2" xfId="842"/>
    <cellStyle name="_PercentSpace_Book3_Spin Model v.2_Project Kentucky Derby Model v75" xfId="843"/>
    <cellStyle name="_PercentSpace_Book3_Spin Model v.2_Project Kentucky Derby Model v76" xfId="844"/>
    <cellStyle name="_PercentSpace_Book3_Spin Model v.2_SBSAModel116(Company)" xfId="845"/>
    <cellStyle name="_PercentSpace_Synergy Detail _gs" xfId="846"/>
    <cellStyle name="_PercentSpace_Synergy Detail _gs_5515616_3" xfId="847"/>
    <cellStyle name="_PercentSpace_Synergy Detail _gs_5515616_3_5401007_6" xfId="848"/>
    <cellStyle name="_PercentSpace_Synergy Detail _gs_5515616_3_5963478_1" xfId="849"/>
    <cellStyle name="_PercentSpace_Synergy Detail _gs_5515616_3_FON" xfId="850"/>
    <cellStyle name="_PercentSpace_Synergy Detail _gs_5515616_3_Put Analysis" xfId="851"/>
    <cellStyle name="_PercentSpace_Synergy Detail _gs_5515616_3_Put Analysis.v2" xfId="852"/>
    <cellStyle name="_PercentSpace_Synergy Detail _gs_5515616_3_Spin Model v.2" xfId="853"/>
    <cellStyle name="_PercentSpace_Synergy Detail _gs_5517854_3" xfId="854"/>
    <cellStyle name="_PercentSpace_Synergy Detail _gs_5517854_3_5401007_6" xfId="855"/>
    <cellStyle name="_PercentSpace_Synergy Detail _gs_5517854_3_5963478_1" xfId="856"/>
    <cellStyle name="_PercentSpace_Synergy Detail _gs_5517854_3_FON" xfId="857"/>
    <cellStyle name="_PercentSpace_Synergy Detail _gs_5517854_3_Put Analysis" xfId="858"/>
    <cellStyle name="_PercentSpace_Synergy Detail _gs_5517854_3_Put Analysis.v2" xfId="859"/>
    <cellStyle name="_PercentSpace_Synergy Detail _gs_5517854_3_Spin Model v.2" xfId="860"/>
    <cellStyle name="_PercentSpace_Synergy Detail _gs_Book3" xfId="861"/>
    <cellStyle name="_PercentSpace_Synergy Detail _gs_Book3_5401007_6" xfId="862"/>
    <cellStyle name="_PercentSpace_Synergy Detail _gs_Book3_5963478_1" xfId="863"/>
    <cellStyle name="_PercentSpace_Synergy Detail _gs_Book3_FON" xfId="864"/>
    <cellStyle name="_PercentSpace_Synergy Detail _gs_Book3_Put Analysis" xfId="865"/>
    <cellStyle name="_PercentSpace_Synergy Detail _gs_Book3_Put Analysis.v2" xfId="866"/>
    <cellStyle name="_PercentSpace_Synergy Detail _gs_Book3_Spin Model v.2" xfId="867"/>
    <cellStyle name="_SubHeading" xfId="868"/>
    <cellStyle name="_SubHeading_Combined Synergy Presentation" xfId="869"/>
    <cellStyle name="_SubHeading_prestemp" xfId="870"/>
    <cellStyle name="_SubHeading_Synergy Analysis" xfId="871"/>
    <cellStyle name="_SubHeading_Synergy Analysis_co-advisors" xfId="872"/>
    <cellStyle name="_SubHeading_Synergy Calc 1.1 rev 5-yr aug high1_bpace" xfId="873"/>
    <cellStyle name="_Table" xfId="874"/>
    <cellStyle name="_Table_Combined Synergy Presentation" xfId="875"/>
    <cellStyle name="_Table_Synergy Analysis" xfId="876"/>
    <cellStyle name="_Table_Synergy Analysis_co-advisors" xfId="877"/>
    <cellStyle name="_Table_Synergy Calc 1.1 rev 5-yr aug high1_bpace" xfId="878"/>
    <cellStyle name="_TableHead" xfId="879"/>
    <cellStyle name="_TableRowHead" xfId="880"/>
    <cellStyle name="_TableSuperHead" xfId="881"/>
    <cellStyle name="_TableSuperHead_Combined Synergy Presentation" xfId="882"/>
    <cellStyle name="_TableSuperHead_Synergy Analysis" xfId="883"/>
    <cellStyle name="_TableSuperHead_Synergy Analysis_co-advisors" xfId="884"/>
    <cellStyle name="_TableSuperHead_Synergy Calc 1.1 rev 5-yr aug high1_bpace" xfId="885"/>
    <cellStyle name="Accent1 2" xfId="886"/>
    <cellStyle name="Accent2 2" xfId="887"/>
    <cellStyle name="Accent3 2" xfId="888"/>
    <cellStyle name="Accent4 2" xfId="889"/>
    <cellStyle name="Accent5 2" xfId="890"/>
    <cellStyle name="Accent6 2" xfId="891"/>
    <cellStyle name="Acctg" xfId="892"/>
    <cellStyle name="Acctg$" xfId="893"/>
    <cellStyle name="Acctg_5515616_3" xfId="894"/>
    <cellStyle name="active" xfId="895"/>
    <cellStyle name="Actual Date" xfId="896"/>
    <cellStyle name="AFE" xfId="897"/>
    <cellStyle name="args.style" xfId="898"/>
    <cellStyle name="Arial 10" xfId="899"/>
    <cellStyle name="Arial 12" xfId="900"/>
    <cellStyle name="Arial6Bold" xfId="901"/>
    <cellStyle name="Arial8Bold" xfId="902"/>
    <cellStyle name="Arial8Italic" xfId="903"/>
    <cellStyle name="ArialNormal" xfId="904"/>
    <cellStyle name="Array" xfId="905"/>
    <cellStyle name="Array Enter" xfId="906"/>
    <cellStyle name="Bad 2" xfId="907"/>
    <cellStyle name="Balance" xfId="908"/>
    <cellStyle name="BalanceSheet" xfId="909"/>
    <cellStyle name="black" xfId="910"/>
    <cellStyle name="Black Days" xfId="911"/>
    <cellStyle name="Black Decimal" xfId="912"/>
    <cellStyle name="Black Dollar" xfId="913"/>
    <cellStyle name="Black EPS" xfId="914"/>
    <cellStyle name="Black Percent" xfId="915"/>
    <cellStyle name="Black Percent2" xfId="916"/>
    <cellStyle name="Black Times" xfId="917"/>
    <cellStyle name="Black Times Two Deci" xfId="918"/>
    <cellStyle name="Black Times Two Deci2" xfId="919"/>
    <cellStyle name="Black Times2" xfId="920"/>
    <cellStyle name="Black Times_1164468_1" xfId="921"/>
    <cellStyle name="BLACK_Affiliates-Public Valuation" xfId="922"/>
    <cellStyle name="BlackStrike" xfId="923"/>
    <cellStyle name="BlackText" xfId="924"/>
    <cellStyle name="Blank Out" xfId="925"/>
    <cellStyle name="Blue" xfId="926"/>
    <cellStyle name="Blue Decimal" xfId="927"/>
    <cellStyle name="Blue Dollar" xfId="928"/>
    <cellStyle name="Blue EPS" xfId="929"/>
    <cellStyle name="Blue Text" xfId="930"/>
    <cellStyle name="Blue Zero Deci" xfId="931"/>
    <cellStyle name="blue$00" xfId="932"/>
    <cellStyle name="blue_333149_13" xfId="933"/>
    <cellStyle name="bluenodec" xfId="934"/>
    <cellStyle name="bluepercent" xfId="935"/>
    <cellStyle name="Body" xfId="936"/>
    <cellStyle name="bold" xfId="937"/>
    <cellStyle name="bold big" xfId="938"/>
    <cellStyle name="Bold/Border" xfId="939"/>
    <cellStyle name="bold_Cellular 3Q01_no NextWave_in progress" xfId="940"/>
    <cellStyle name="BoldText" xfId="941"/>
    <cellStyle name="BoldText 2" xfId="942"/>
    <cellStyle name="BoldText 3" xfId="943"/>
    <cellStyle name="Border" xfId="944"/>
    <cellStyle name="Border Heavy" xfId="945"/>
    <cellStyle name="Border Thin" xfId="946"/>
    <cellStyle name="Border_Affiliates-Public Valuation" xfId="947"/>
    <cellStyle name="Bottom Edge" xfId="948"/>
    <cellStyle name="British Pound" xfId="949"/>
    <cellStyle name="Bullet" xfId="950"/>
    <cellStyle name="Calc Currency (0)" xfId="951"/>
    <cellStyle name="Calc Currency (0) 2" xfId="952"/>
    <cellStyle name="Calculation 2" xfId="953"/>
    <cellStyle name="Case" xfId="954"/>
    <cellStyle name="Cash Flow Statement" xfId="955"/>
    <cellStyle name="CashFlow" xfId="956"/>
    <cellStyle name="Category Name" xfId="957"/>
    <cellStyle name="Centered Heading" xfId="958"/>
    <cellStyle name="Cents" xfId="959"/>
    <cellStyle name="Changeable" xfId="960"/>
    <cellStyle name="Chart Fonts" xfId="961"/>
    <cellStyle name="Check" xfId="962"/>
    <cellStyle name="Check Cell 2" xfId="963"/>
    <cellStyle name="Clean" xfId="964"/>
    <cellStyle name="colheadleft" xfId="965"/>
    <cellStyle name="colheadright" xfId="966"/>
    <cellStyle name="Color" xfId="967"/>
    <cellStyle name="Column Headings" xfId="968"/>
    <cellStyle name="Comma  - Style1" xfId="969"/>
    <cellStyle name="Comma  - Style2" xfId="970"/>
    <cellStyle name="Comma  - Style3" xfId="971"/>
    <cellStyle name="Comma  - Style4" xfId="972"/>
    <cellStyle name="Comma  - Style5" xfId="973"/>
    <cellStyle name="Comma  - Style6" xfId="974"/>
    <cellStyle name="Comma  - Style7" xfId="975"/>
    <cellStyle name="Comma  - Style8" xfId="976"/>
    <cellStyle name="Comma 0" xfId="977"/>
    <cellStyle name="Comma 0*" xfId="978"/>
    <cellStyle name="Comma 0_87c_01_" xfId="979"/>
    <cellStyle name="Comma 10" xfId="980"/>
    <cellStyle name="Comma 2" xfId="981"/>
    <cellStyle name="Comma 2 2" xfId="982"/>
    <cellStyle name="Comma 2 2 2" xfId="983"/>
    <cellStyle name="Comma 2 2 2 2" xfId="984"/>
    <cellStyle name="Comma 2 2 3" xfId="985"/>
    <cellStyle name="Comma 2 3" xfId="986"/>
    <cellStyle name="Comma 2 3 2" xfId="987"/>
    <cellStyle name="Comma 2 3 2 2" xfId="988"/>
    <cellStyle name="Comma 2 3 3" xfId="989"/>
    <cellStyle name="Comma 2 4" xfId="990"/>
    <cellStyle name="Comma 2 4 2" xfId="991"/>
    <cellStyle name="Comma 2 4 2 2" xfId="992"/>
    <cellStyle name="Comma 2 4 3" xfId="993"/>
    <cellStyle name="Comma 2 5" xfId="994"/>
    <cellStyle name="Comma 2 6" xfId="995"/>
    <cellStyle name="Comma 2 6 2" xfId="996"/>
    <cellStyle name="Comma 2 7" xfId="997"/>
    <cellStyle name="Comma 2 8" xfId="998"/>
    <cellStyle name="Comma 2*" xfId="999"/>
    <cellStyle name="Comma 2_333149_13" xfId="1000"/>
    <cellStyle name="Comma 3" xfId="1001"/>
    <cellStyle name="Comma 3 2" xfId="1002"/>
    <cellStyle name="Comma 3*" xfId="1003"/>
    <cellStyle name="Comma 3_MAA SS Comps" xfId="1004"/>
    <cellStyle name="Comma 4" xfId="1005"/>
    <cellStyle name="Comma 5" xfId="1006"/>
    <cellStyle name="Comma [0] 2" xfId="1007"/>
    <cellStyle name="Comma [1]" xfId="1008"/>
    <cellStyle name="Comma Cents" xfId="1009"/>
    <cellStyle name="Comma Input" xfId="1010"/>
    <cellStyle name="Comma*" xfId="1011"/>
    <cellStyle name="Comma0" xfId="1012"/>
    <cellStyle name="Comma0 - Modelo1" xfId="1013"/>
    <cellStyle name="Comma0 - Style1" xfId="1014"/>
    <cellStyle name="Comma1" xfId="1015"/>
    <cellStyle name="Comma1 - Modelo2" xfId="1016"/>
    <cellStyle name="Comma1 - Style2" xfId="1017"/>
    <cellStyle name="Comma1_315274_14" xfId="1018"/>
    <cellStyle name="Comma2" xfId="1019"/>
    <cellStyle name="Comma3" xfId="1020"/>
    <cellStyle name="CommaKM" xfId="1021"/>
    <cellStyle name="Company Name" xfId="1022"/>
    <cellStyle name="CompanyName" xfId="1023"/>
    <cellStyle name="Copied" xfId="1024"/>
    <cellStyle name="Cover Date" xfId="1025"/>
    <cellStyle name="Cover Subtitle" xfId="1026"/>
    <cellStyle name="Cover Title" xfId="1027"/>
    <cellStyle name="Coverage" xfId="1028"/>
    <cellStyle name="Cur" xfId="1029"/>
    <cellStyle name="Currency - UK" xfId="1030"/>
    <cellStyle name="Currency 0" xfId="1031"/>
    <cellStyle name="Currency 2" xfId="1032"/>
    <cellStyle name="Currency 2 2" xfId="1033"/>
    <cellStyle name="Currency 2*" xfId="1034"/>
    <cellStyle name="Currency 2_% Change" xfId="1035"/>
    <cellStyle name="Currency 3" xfId="1036"/>
    <cellStyle name="Currency 3 2" xfId="1037"/>
    <cellStyle name="Currency 3*" xfId="1038"/>
    <cellStyle name="Currency 4" xfId="1039"/>
    <cellStyle name="Currency 5" xfId="1040"/>
    <cellStyle name="Currency [1]" xfId="1041"/>
    <cellStyle name="Currency [2]" xfId="1042"/>
    <cellStyle name="Currency Input" xfId="1043"/>
    <cellStyle name="Currency*" xfId="1044"/>
    <cellStyle name="Currency0" xfId="1045"/>
    <cellStyle name="Currency1" xfId="1046"/>
    <cellStyle name="Currency1Blue" xfId="1047"/>
    <cellStyle name="Currency2" xfId="1048"/>
    <cellStyle name="Currency3" xfId="1049"/>
    <cellStyle name="Dash" xfId="1050"/>
    <cellStyle name="Date" xfId="1051"/>
    <cellStyle name="date 2" xfId="1052"/>
    <cellStyle name="date 3" xfId="1053"/>
    <cellStyle name="date 4" xfId="1054"/>
    <cellStyle name="date 5" xfId="1055"/>
    <cellStyle name="Date [d-mmm-yy]" xfId="1056"/>
    <cellStyle name="Date [mm-d-yy]" xfId="1057"/>
    <cellStyle name="Date [mm-d-yyyy]" xfId="1058"/>
    <cellStyle name="Date [mmm-d-yyyy]" xfId="1059"/>
    <cellStyle name="Date [mmm-yy]" xfId="1060"/>
    <cellStyle name="Date Aligned" xfId="1061"/>
    <cellStyle name="Date Aligned*" xfId="1062"/>
    <cellStyle name="Date Aligned_8sxj01_" xfId="1063"/>
    <cellStyle name="Date Day" xfId="1064"/>
    <cellStyle name="date month-year" xfId="1065"/>
    <cellStyle name="Date Year" xfId="1066"/>
    <cellStyle name="Date1" xfId="1067"/>
    <cellStyle name="Date2" xfId="1068"/>
    <cellStyle name="Date_04-10-03 NO Distribution" xfId="1069"/>
    <cellStyle name="Dates" xfId="1070"/>
    <cellStyle name="DateYear" xfId="1071"/>
    <cellStyle name="DateYearEstimate" xfId="1072"/>
    <cellStyle name="DateYearWholeEstimate" xfId="1073"/>
    <cellStyle name="decimal 0" xfId="1074"/>
    <cellStyle name="decimal 1" xfId="1075"/>
    <cellStyle name="decimal 2" xfId="1076"/>
    <cellStyle name="Deutschmark" xfId="1077"/>
    <cellStyle name="Dezimal [0]_Compiling Utility Macros" xfId="1078"/>
    <cellStyle name="Dezimal_Compiling Utility Macros" xfId="1079"/>
    <cellStyle name="Dia" xfId="1080"/>
    <cellStyle name="dolar" xfId="1081"/>
    <cellStyle name="dolar whole" xfId="1082"/>
    <cellStyle name="dollar" xfId="1083"/>
    <cellStyle name="Dollar (Canadian)" xfId="1084"/>
    <cellStyle name="Dollar Whole" xfId="1085"/>
    <cellStyle name="Dollar_4Q02 Note Figures" xfId="1086"/>
    <cellStyle name="Dollars" xfId="1087"/>
    <cellStyle name="DollarWhole" xfId="1088"/>
    <cellStyle name="Dotted Line" xfId="1089"/>
    <cellStyle name="Double Accounting" xfId="1090"/>
    <cellStyle name="dp*NumberGeneral" xfId="1091"/>
    <cellStyle name="Driver" xfId="1092"/>
    <cellStyle name="Encabez1" xfId="1093"/>
    <cellStyle name="Encabez2" xfId="1094"/>
    <cellStyle name="Entered" xfId="1095"/>
    <cellStyle name="Est - $" xfId="1096"/>
    <cellStyle name="Est - %" xfId="1097"/>
    <cellStyle name="Est 0,000.0" xfId="1098"/>
    <cellStyle name="Euro" xfId="1099"/>
    <cellStyle name="Explanatory Text 2" xfId="1100"/>
    <cellStyle name="F2" xfId="1101"/>
    <cellStyle name="F3" xfId="1102"/>
    <cellStyle name="F4" xfId="1103"/>
    <cellStyle name="F5" xfId="1104"/>
    <cellStyle name="F6" xfId="1105"/>
    <cellStyle name="F7" xfId="1106"/>
    <cellStyle name="F8" xfId="1107"/>
    <cellStyle name="FF_EURO" xfId="1108"/>
    <cellStyle name="Fijo" xfId="1109"/>
    <cellStyle name="Financiero" xfId="1110"/>
    <cellStyle name="Fixed" xfId="1111"/>
    <cellStyle name="Fixed0" xfId="1112"/>
    <cellStyle name="Footer SBILogo1" xfId="1113"/>
    <cellStyle name="Footer SBILogo2" xfId="1114"/>
    <cellStyle name="Footnote 1" xfId="1115"/>
    <cellStyle name="Footnote Reference" xfId="1116"/>
    <cellStyle name="Footnote_% Change" xfId="1117"/>
    <cellStyle name="Formula" xfId="1118"/>
    <cellStyle name="fourdecplace" xfId="1119"/>
    <cellStyle name="Gen. Number" xfId="1120"/>
    <cellStyle name="Gen. Percent" xfId="1121"/>
    <cellStyle name="Gen.Number" xfId="1122"/>
    <cellStyle name="Gen_Black_pD" xfId="1123"/>
    <cellStyle name="General" xfId="1124"/>
    <cellStyle name="Good 2" xfId="1125"/>
    <cellStyle name="Grand Total" xfId="1126"/>
    <cellStyle name="Grey" xfId="1127"/>
    <cellStyle name="growth" xfId="1128"/>
    <cellStyle name="GrowthLarge" xfId="1129"/>
    <cellStyle name="GrowthRate" xfId="1130"/>
    <cellStyle name="GrowthSeq" xfId="1131"/>
    <cellStyle name="GrowthSmall" xfId="1132"/>
    <cellStyle name="Hard Percent" xfId="1133"/>
    <cellStyle name="Head 1" xfId="1134"/>
    <cellStyle name="head1" xfId="1135"/>
    <cellStyle name="head2" xfId="1136"/>
    <cellStyle name="Header" xfId="1137"/>
    <cellStyle name="Header Draft Stamp" xfId="1138"/>
    <cellStyle name="Header1" xfId="1139"/>
    <cellStyle name="Header2" xfId="1140"/>
    <cellStyle name="Header_% Change" xfId="1141"/>
    <cellStyle name="Heading 1 1" xfId="1142"/>
    <cellStyle name="Heading 1 2" xfId="1143"/>
    <cellStyle name="Heading 1 Above" xfId="1144"/>
    <cellStyle name="Heading 1+" xfId="1145"/>
    <cellStyle name="Heading 1+ 2" xfId="1146"/>
    <cellStyle name="Heading 1+ 3" xfId="1147"/>
    <cellStyle name="Heading 1+ 4" xfId="1148"/>
    <cellStyle name="Heading 2 2" xfId="1149"/>
    <cellStyle name="Heading 2 Below" xfId="1150"/>
    <cellStyle name="Heading 2+" xfId="1151"/>
    <cellStyle name="Heading 2+ 2" xfId="1152"/>
    <cellStyle name="Heading 2+ 3" xfId="1153"/>
    <cellStyle name="Heading 2+ 4" xfId="1154"/>
    <cellStyle name="heading 3" xfId="1155"/>
    <cellStyle name="Heading 3 2" xfId="1156"/>
    <cellStyle name="Heading 3+" xfId="1157"/>
    <cellStyle name="Heading 4 2" xfId="1158"/>
    <cellStyle name="Heading No Underline" xfId="1159"/>
    <cellStyle name="Heading With Underline" xfId="1160"/>
    <cellStyle name="Heading2" xfId="1161"/>
    <cellStyle name="HEADINGS" xfId="1162"/>
    <cellStyle name="HEADINGSTOP" xfId="1163"/>
    <cellStyle name="HeadlineStyle" xfId="1164"/>
    <cellStyle name="HeadlineStyle 2" xfId="1165"/>
    <cellStyle name="HeadlineStyleJustified" xfId="1166"/>
    <cellStyle name="HIGHLIGHT" xfId="1167"/>
    <cellStyle name="Hipervínculo_VARPXQ21" xfId="1168"/>
    <cellStyle name="Hyperlink 2" xfId="1169"/>
    <cellStyle name="Hyperlink 3" xfId="1170"/>
    <cellStyle name="Income" xfId="1171"/>
    <cellStyle name="income statement" xfId="1172"/>
    <cellStyle name="Income_Project Kentucky Derby Model v75" xfId="1173"/>
    <cellStyle name="IncomeStatement" xfId="1174"/>
    <cellStyle name="incomestatment" xfId="1175"/>
    <cellStyle name="Index" xfId="1176"/>
    <cellStyle name="Input 2" xfId="1177"/>
    <cellStyle name="Input 3" xfId="1178"/>
    <cellStyle name="Input 4" xfId="1179"/>
    <cellStyle name="Input 5" xfId="1180"/>
    <cellStyle name="Input [yellow]" xfId="1181"/>
    <cellStyle name="Input cell" xfId="1182"/>
    <cellStyle name="Input Currency" xfId="1183"/>
    <cellStyle name="Input Currency 2" xfId="1184"/>
    <cellStyle name="Input Currency_Exchange Ratio Analysis" xfId="1185"/>
    <cellStyle name="Input Multiple" xfId="1186"/>
    <cellStyle name="Input Percent" xfId="1187"/>
    <cellStyle name="Input1" xfId="1188"/>
    <cellStyle name="Input2" xfId="1189"/>
    <cellStyle name="InputCurrency" xfId="1190"/>
    <cellStyle name="InputCurrency2" xfId="1191"/>
    <cellStyle name="InputMultiple1" xfId="1192"/>
    <cellStyle name="InputPercent1" xfId="1193"/>
    <cellStyle name="Inputs" xfId="1194"/>
    <cellStyle name="Integer" xfId="1195"/>
    <cellStyle name="kopregel" xfId="1196"/>
    <cellStyle name="KP_Normal" xfId="1197"/>
    <cellStyle name="Lable8Left" xfId="1198"/>
    <cellStyle name="LeftSubtitle" xfId="1199"/>
    <cellStyle name="Lines" xfId="1200"/>
    <cellStyle name="Linked" xfId="1201"/>
    <cellStyle name="Linked Cell 2" xfId="1202"/>
    <cellStyle name="Lira" xfId="1203"/>
    <cellStyle name="Long Date" xfId="1204"/>
    <cellStyle name="MacroCode" xfId="1205"/>
    <cellStyle name="magrins" xfId="1206"/>
    <cellStyle name="margin" xfId="1207"/>
    <cellStyle name="Margins" xfId="1208"/>
    <cellStyle name="margsin" xfId="1209"/>
    <cellStyle name="marign" xfId="1210"/>
    <cellStyle name="marigns" xfId="1211"/>
    <cellStyle name="Mike" xfId="1212"/>
    <cellStyle name="Millares [0]_ MATRIZ DE ELIMINACIONES" xfId="1213"/>
    <cellStyle name="Millares_ MATRIZ DE ELIMINACIONES" xfId="1214"/>
    <cellStyle name="Milliers [0]_CREATIVE" xfId="1215"/>
    <cellStyle name="Milliers_CREATIVE" xfId="1216"/>
    <cellStyle name="Moneda [0]_ MATRIZ DE ELIMINACIONES" xfId="1217"/>
    <cellStyle name="Moneda_ MATRIZ DE ELIMINACIONES" xfId="1218"/>
    <cellStyle name="Monétaire [0]_CREATIVE" xfId="1219"/>
    <cellStyle name="Monétaire_CREATIVE" xfId="1220"/>
    <cellStyle name="Multiple" xfId="1221"/>
    <cellStyle name="Multiple Without" xfId="1222"/>
    <cellStyle name="Multiple1" xfId="1223"/>
    <cellStyle name="Multiple_ACCC" xfId="1224"/>
    <cellStyle name="MultipleBelow" xfId="1225"/>
    <cellStyle name="Multiples" xfId="1226"/>
    <cellStyle name="NavStyleDefault" xfId="1227"/>
    <cellStyle name="nbr" xfId="1228"/>
    <cellStyle name="Neutral 2" xfId="1229"/>
    <cellStyle name="no dec" xfId="1230"/>
    <cellStyle name="Nor" xfId="1231"/>
    <cellStyle name="Normal - Style1" xfId="1232"/>
    <cellStyle name="Normal - Style1 2" xfId="1233"/>
    <cellStyle name="Normal 0" xfId="1234"/>
    <cellStyle name="Normal 10" xfId="1235"/>
    <cellStyle name="Normal 11" xfId="1236"/>
    <cellStyle name="Normal 12" xfId="1237"/>
    <cellStyle name="Normal 13" xfId="1238"/>
    <cellStyle name="Normal 14" xfId="1239"/>
    <cellStyle name="Normal 15" xfId="1240"/>
    <cellStyle name="Normal 16" xfId="1241"/>
    <cellStyle name="Normal 17" xfId="1242"/>
    <cellStyle name="Normal 2" xfId="1243"/>
    <cellStyle name="Normal 2 2" xfId="1244"/>
    <cellStyle name="Normal 2 2 2" xfId="1245"/>
    <cellStyle name="Normal 2 2 2 2" xfId="1246"/>
    <cellStyle name="Normal 2 2 3" xfId="1247"/>
    <cellStyle name="Normal 2 3" xfId="1248"/>
    <cellStyle name="Normal 2 3 2" xfId="1249"/>
    <cellStyle name="Normal 2 3 2 2" xfId="1250"/>
    <cellStyle name="Normal 2 3 3" xfId="1251"/>
    <cellStyle name="Normal 2 4" xfId="1252"/>
    <cellStyle name="Normal 2 4 2" xfId="1253"/>
    <cellStyle name="Normal 2 4 2 2" xfId="1254"/>
    <cellStyle name="Normal 2 4 3" xfId="1255"/>
    <cellStyle name="Normal 2 5" xfId="1256"/>
    <cellStyle name="Normal 2 6" xfId="1257"/>
    <cellStyle name="Normal 2 6 2" xfId="1258"/>
    <cellStyle name="Normal 2 6 2 2" xfId="1259"/>
    <cellStyle name="Normal 2 6 3" xfId="1260"/>
    <cellStyle name="Normal 2 7" xfId="1261"/>
    <cellStyle name="Normal 2 8" xfId="1262"/>
    <cellStyle name="Normal 2_MAA SS Comps" xfId="1263"/>
    <cellStyle name="Normal 3" xfId="1264"/>
    <cellStyle name="Normal 3 2" xfId="1265"/>
    <cellStyle name="Normal 3 2 2" xfId="1266"/>
    <cellStyle name="Normal 3 2 2 2" xfId="1267"/>
    <cellStyle name="Normal 3 2 3" xfId="1268"/>
    <cellStyle name="Normal 3 3" xfId="1269"/>
    <cellStyle name="Normal 3 3 2" xfId="1270"/>
    <cellStyle name="Normal 3 3 2 2" xfId="1271"/>
    <cellStyle name="Normal 3 3 3" xfId="1272"/>
    <cellStyle name="Normal 3 4" xfId="1273"/>
    <cellStyle name="Normal 3 4 2" xfId="1274"/>
    <cellStyle name="Normal 3 4 2 2" xfId="1275"/>
    <cellStyle name="Normal 3 4 3" xfId="1276"/>
    <cellStyle name="Normal 3 5" xfId="1277"/>
    <cellStyle name="Normal 3 6" xfId="1278"/>
    <cellStyle name="Normal 3 6 2" xfId="1279"/>
    <cellStyle name="Normal 3 7" xfId="1280"/>
    <cellStyle name="Normal 4" xfId="1281"/>
    <cellStyle name="Normal 5" xfId="1282"/>
    <cellStyle name="Normal 5 2" xfId="1283"/>
    <cellStyle name="Normal 5 3" xfId="1284"/>
    <cellStyle name="Normal 6" xfId="1285"/>
    <cellStyle name="Normal 6 2" xfId="1286"/>
    <cellStyle name="Normal 7" xfId="1287"/>
    <cellStyle name="Normal 7 2" xfId="1288"/>
    <cellStyle name="Normal 7 3" xfId="1289"/>
    <cellStyle name="Normal 8" xfId="1290"/>
    <cellStyle name="Normal 9" xfId="1291"/>
    <cellStyle name="Normal new" xfId="1292"/>
    <cellStyle name="Normal2" xfId="1293"/>
    <cellStyle name="Normale_02SET1" xfId="1294"/>
    <cellStyle name="NormalGB" xfId="1295"/>
    <cellStyle name="NormalHelv" xfId="1296"/>
    <cellStyle name="Nor}al_Sheet1 (2)" xfId="1297"/>
    <cellStyle name="NOT" xfId="1298"/>
    <cellStyle name="Note 2" xfId="1299"/>
    <cellStyle name="Note 3" xfId="1300"/>
    <cellStyle name="Notes" xfId="1301"/>
    <cellStyle name="nplosion" xfId="1302"/>
    <cellStyle name="number" xfId="1303"/>
    <cellStyle name="Number-2 Decimals" xfId="1304"/>
    <cellStyle name="onedec" xfId="1305"/>
    <cellStyle name="outh America" xfId="1306"/>
    <cellStyle name="Output 2" xfId="1307"/>
    <cellStyle name="OUTPUT AMOUNTS" xfId="1308"/>
    <cellStyle name="p" xfId="1309"/>
    <cellStyle name="P&amp;L Numbers" xfId="1310"/>
    <cellStyle name="p_amtmod51" xfId="1311"/>
    <cellStyle name="p_amtmod51_315274_17" xfId="1312"/>
    <cellStyle name="p_amtmod51_318426_21" xfId="1313"/>
    <cellStyle name="p_amtmod51_5401007_6" xfId="1314"/>
    <cellStyle name="p_amtmod51_5401007_7" xfId="1315"/>
    <cellStyle name="p_amtmod51_5963478_1" xfId="1316"/>
    <cellStyle name="p_amtmod51_FON" xfId="1317"/>
    <cellStyle name="p_amtmod51_Put Analysis" xfId="1318"/>
    <cellStyle name="p_amtmod51_Put Analysis.v2" xfId="1319"/>
    <cellStyle name="p_amtmod51_Spin Model v.2" xfId="1320"/>
    <cellStyle name="p_ccimod4-b1" xfId="1321"/>
    <cellStyle name="p_ccimod4-b1_315274_17" xfId="1322"/>
    <cellStyle name="p_ccimod4-b1_318426_21" xfId="1323"/>
    <cellStyle name="p_ccimod4-b1_5401007_6" xfId="1324"/>
    <cellStyle name="p_ccimod4-b1_5401007_7" xfId="1325"/>
    <cellStyle name="p_ccimod4-b1_5963478_1" xfId="1326"/>
    <cellStyle name="p_ccimod4-b1_FON" xfId="1327"/>
    <cellStyle name="p_ccimod4-b1_Put Analysis" xfId="1328"/>
    <cellStyle name="p_ccimod4-b1_Put Analysis.v2" xfId="1329"/>
    <cellStyle name="p_ccimod4-b1_Spin Model v.2" xfId="1330"/>
    <cellStyle name="p_DCF" xfId="1331"/>
    <cellStyle name="p_DCF_315274_17" xfId="1332"/>
    <cellStyle name="p_DCF_318426_21" xfId="1333"/>
    <cellStyle name="p_DCF_5401007_6" xfId="1334"/>
    <cellStyle name="p_DCF_5401007_7" xfId="1335"/>
    <cellStyle name="p_DCF_5963478_1" xfId="1336"/>
    <cellStyle name="p_DCF_FON" xfId="1337"/>
    <cellStyle name="p_DCF_Put Analysis" xfId="1338"/>
    <cellStyle name="p_DCF_Put Analysis.v2" xfId="1339"/>
    <cellStyle name="p_DCF_Spin Model v.2" xfId="1340"/>
    <cellStyle name="p_DCF_VERA" xfId="1341"/>
    <cellStyle name="p_DCF_VERA_315274_17" xfId="1342"/>
    <cellStyle name="p_DCF_VERA_318426_21" xfId="1343"/>
    <cellStyle name="p_DCF_VERA_5401007_6" xfId="1344"/>
    <cellStyle name="p_DCF_VERA_5401007_7" xfId="1345"/>
    <cellStyle name="p_DCF_VERA_5963478_1" xfId="1346"/>
    <cellStyle name="p_DCF_VERA_FON" xfId="1347"/>
    <cellStyle name="p_DCF_VERA_Put Analysis" xfId="1348"/>
    <cellStyle name="p_DCF_VERA_Put Analysis.v2" xfId="1349"/>
    <cellStyle name="p_DCF_VERA_Spin Model v.2" xfId="1350"/>
    <cellStyle name="p_sitemod51" xfId="1351"/>
    <cellStyle name="p_sitemod51_315274_17" xfId="1352"/>
    <cellStyle name="p_sitemod51_318426_21" xfId="1353"/>
    <cellStyle name="p_sitemod51_5401007_6" xfId="1354"/>
    <cellStyle name="p_sitemod51_5401007_7" xfId="1355"/>
    <cellStyle name="p_sitemod51_5963478_1" xfId="1356"/>
    <cellStyle name="p_sitemod51_FON" xfId="1357"/>
    <cellStyle name="p_sitemod51_Put Analysis" xfId="1358"/>
    <cellStyle name="p_sitemod51_Put Analysis.v2" xfId="1359"/>
    <cellStyle name="p_sitemod51_Spin Model v.2" xfId="1360"/>
    <cellStyle name="p_VERA" xfId="1361"/>
    <cellStyle name="p_VERA_amtmod51" xfId="1362"/>
    <cellStyle name="p_VERA_amtmod51_315274_17" xfId="1363"/>
    <cellStyle name="p_VERA_amtmod51_318426_21" xfId="1364"/>
    <cellStyle name="p_VERA_amtmod51_5401007_6" xfId="1365"/>
    <cellStyle name="p_VERA_amtmod51_5401007_7" xfId="1366"/>
    <cellStyle name="p_VERA_amtmod51_5963478_1" xfId="1367"/>
    <cellStyle name="p_VERA_amtmod51_FON" xfId="1368"/>
    <cellStyle name="p_VERA_amtmod51_Put Analysis" xfId="1369"/>
    <cellStyle name="p_VERA_amtmod51_Put Analysis.v2" xfId="1370"/>
    <cellStyle name="p_VERA_amtmod51_Spin Model v.2" xfId="1371"/>
    <cellStyle name="p_VERA_ccimod4-b1" xfId="1372"/>
    <cellStyle name="p_VERA_ccimod4-b1_315274_17" xfId="1373"/>
    <cellStyle name="p_VERA_ccimod4-b1_318426_21" xfId="1374"/>
    <cellStyle name="p_VERA_ccimod4-b1_5401007_6" xfId="1375"/>
    <cellStyle name="p_VERA_ccimod4-b1_5401007_7" xfId="1376"/>
    <cellStyle name="p_VERA_ccimod4-b1_5963478_1" xfId="1377"/>
    <cellStyle name="p_VERA_ccimod4-b1_FON" xfId="1378"/>
    <cellStyle name="p_VERA_ccimod4-b1_Put Analysis" xfId="1379"/>
    <cellStyle name="p_VERA_ccimod4-b1_Put Analysis.v2" xfId="1380"/>
    <cellStyle name="p_VERA_ccimod4-b1_Spin Model v.2" xfId="1381"/>
    <cellStyle name="p_VERA_sitemod51" xfId="1382"/>
    <cellStyle name="p_VERA_sitemod51_315274_17" xfId="1383"/>
    <cellStyle name="p_VERA_sitemod51_318426_21" xfId="1384"/>
    <cellStyle name="p_VERA_sitemod51_5401007_6" xfId="1385"/>
    <cellStyle name="p_VERA_sitemod51_5401007_7" xfId="1386"/>
    <cellStyle name="p_VERA_sitemod51_5963478_1" xfId="1387"/>
    <cellStyle name="p_VERA_sitemod51_FON" xfId="1388"/>
    <cellStyle name="p_VERA_sitemod51_Put Analysis" xfId="1389"/>
    <cellStyle name="p_VERA_sitemod51_Put Analysis.v2" xfId="1390"/>
    <cellStyle name="p_VERA_sitemod51_Spin Model v.2" xfId="1391"/>
    <cellStyle name="Page Heading" xfId="1392"/>
    <cellStyle name="Page Heading Large" xfId="1393"/>
    <cellStyle name="Page Heading Small" xfId="1394"/>
    <cellStyle name="Page Number" xfId="1395"/>
    <cellStyle name="PB Table Heading" xfId="1396"/>
    <cellStyle name="PB Table Highlight1" xfId="1397"/>
    <cellStyle name="PB Table Highlight2" xfId="1398"/>
    <cellStyle name="PB Table Highlight2 2" xfId="1399"/>
    <cellStyle name="PB Table Highlight3" xfId="1400"/>
    <cellStyle name="PB Table Highlight3 2" xfId="1401"/>
    <cellStyle name="PB Table Standard Row" xfId="1402"/>
    <cellStyle name="PB Table Subtotal Row" xfId="1403"/>
    <cellStyle name="PB Table Total Row" xfId="1404"/>
    <cellStyle name="PE/LTGR" xfId="1405"/>
    <cellStyle name="Penetration" xfId="1406"/>
    <cellStyle name="per.style" xfId="1407"/>
    <cellStyle name="Percent (1)" xfId="1408"/>
    <cellStyle name="percent 1 decimal" xfId="1409"/>
    <cellStyle name="Percent 10" xfId="1410"/>
    <cellStyle name="Percent 100" xfId="1411"/>
    <cellStyle name="Percent 101" xfId="1412"/>
    <cellStyle name="Percent 102" xfId="1413"/>
    <cellStyle name="Percent 103" xfId="1414"/>
    <cellStyle name="Percent 104" xfId="1415"/>
    <cellStyle name="Percent 105" xfId="1416"/>
    <cellStyle name="Percent 106" xfId="1417"/>
    <cellStyle name="Percent 107" xfId="1418"/>
    <cellStyle name="Percent 108" xfId="1419"/>
    <cellStyle name="Percent 109" xfId="1420"/>
    <cellStyle name="Percent 11" xfId="1421"/>
    <cellStyle name="Percent 110" xfId="1422"/>
    <cellStyle name="Percent 111" xfId="1423"/>
    <cellStyle name="Percent 112" xfId="1424"/>
    <cellStyle name="Percent 113" xfId="1425"/>
    <cellStyle name="Percent 114" xfId="1426"/>
    <cellStyle name="Percent 115" xfId="1427"/>
    <cellStyle name="Percent 116" xfId="1428"/>
    <cellStyle name="Percent 117" xfId="1429"/>
    <cellStyle name="Percent 118" xfId="1430"/>
    <cellStyle name="Percent 119" xfId="1431"/>
    <cellStyle name="Percent 12" xfId="1432"/>
    <cellStyle name="Percent 120" xfId="1433"/>
    <cellStyle name="Percent 121" xfId="1434"/>
    <cellStyle name="Percent 122" xfId="1435"/>
    <cellStyle name="Percent 123" xfId="1436"/>
    <cellStyle name="Percent 124" xfId="1437"/>
    <cellStyle name="Percent 125" xfId="1438"/>
    <cellStyle name="Percent 126" xfId="1439"/>
    <cellStyle name="Percent 127" xfId="1440"/>
    <cellStyle name="Percent 128" xfId="1441"/>
    <cellStyle name="Percent 13" xfId="1442"/>
    <cellStyle name="Percent 14" xfId="1443"/>
    <cellStyle name="Percent 15" xfId="1444"/>
    <cellStyle name="Percent 16" xfId="1445"/>
    <cellStyle name="Percent 17" xfId="1446"/>
    <cellStyle name="Percent 18" xfId="1447"/>
    <cellStyle name="Percent 19" xfId="1448"/>
    <cellStyle name="Percent 2" xfId="1449"/>
    <cellStyle name="Percent 2 2" xfId="1450"/>
    <cellStyle name="Percent 2 2 2" xfId="1451"/>
    <cellStyle name="Percent 2 2 2 2" xfId="1452"/>
    <cellStyle name="Percent 2 2 3" xfId="1453"/>
    <cellStyle name="Percent 2 3" xfId="1454"/>
    <cellStyle name="Percent 2 3 2" xfId="1455"/>
    <cellStyle name="Percent 2 3 2 2" xfId="1456"/>
    <cellStyle name="Percent 2 3 3" xfId="1457"/>
    <cellStyle name="Percent 2 4" xfId="1458"/>
    <cellStyle name="Percent 2 4 2" xfId="1459"/>
    <cellStyle name="Percent 2 4 2 2" xfId="1460"/>
    <cellStyle name="Percent 2 4 3" xfId="1461"/>
    <cellStyle name="Percent 2 5" xfId="1462"/>
    <cellStyle name="Percent 2 6" xfId="1463"/>
    <cellStyle name="Percent 2 6 2" xfId="1464"/>
    <cellStyle name="Percent 2 7" xfId="1465"/>
    <cellStyle name="Percent 2 8" xfId="1466"/>
    <cellStyle name="percent 2 decimal" xfId="1467"/>
    <cellStyle name="Percent 20" xfId="1468"/>
    <cellStyle name="Percent 21" xfId="1469"/>
    <cellStyle name="Percent 22" xfId="1470"/>
    <cellStyle name="Percent 23" xfId="1471"/>
    <cellStyle name="Percent 24" xfId="1472"/>
    <cellStyle name="Percent 25" xfId="1473"/>
    <cellStyle name="Percent 26" xfId="1474"/>
    <cellStyle name="Percent 27" xfId="1475"/>
    <cellStyle name="Percent 28" xfId="1476"/>
    <cellStyle name="Percent 29" xfId="1477"/>
    <cellStyle name="Percent 3" xfId="1478"/>
    <cellStyle name="Percent 3 2" xfId="1479"/>
    <cellStyle name="Percent 3 2 2" xfId="1480"/>
    <cellStyle name="Percent 3 2 2 2" xfId="1481"/>
    <cellStyle name="Percent 3 2 3" xfId="1482"/>
    <cellStyle name="Percent 3 3" xfId="1483"/>
    <cellStyle name="Percent 3 3 2" xfId="1484"/>
    <cellStyle name="Percent 3 3 2 2" xfId="1485"/>
    <cellStyle name="Percent 3 3 3" xfId="1486"/>
    <cellStyle name="Percent 3 4" xfId="1487"/>
    <cellStyle name="Percent 3 4 2" xfId="1488"/>
    <cellStyle name="Percent 3 4 2 2" xfId="1489"/>
    <cellStyle name="Percent 3 4 3" xfId="1490"/>
    <cellStyle name="Percent 3 5" xfId="1491"/>
    <cellStyle name="Percent 3 5 2" xfId="1492"/>
    <cellStyle name="Percent 3 6" xfId="1493"/>
    <cellStyle name="Percent 30" xfId="1494"/>
    <cellStyle name="Percent 31" xfId="1495"/>
    <cellStyle name="Percent 32" xfId="1496"/>
    <cellStyle name="Percent 33" xfId="1497"/>
    <cellStyle name="Percent 34" xfId="1498"/>
    <cellStyle name="Percent 35" xfId="1499"/>
    <cellStyle name="Percent 36" xfId="1500"/>
    <cellStyle name="Percent 37" xfId="1501"/>
    <cellStyle name="Percent 38" xfId="1502"/>
    <cellStyle name="Percent 39" xfId="1503"/>
    <cellStyle name="Percent 4" xfId="1504"/>
    <cellStyle name="Percent 4 2" xfId="1505"/>
    <cellStyle name="Percent 4 3" xfId="1506"/>
    <cellStyle name="Percent 40" xfId="1507"/>
    <cellStyle name="Percent 41" xfId="1508"/>
    <cellStyle name="Percent 42" xfId="1509"/>
    <cellStyle name="Percent 43" xfId="1510"/>
    <cellStyle name="Percent 44" xfId="1511"/>
    <cellStyle name="Percent 45" xfId="1512"/>
    <cellStyle name="Percent 46" xfId="1513"/>
    <cellStyle name="Percent 47" xfId="1514"/>
    <cellStyle name="Percent 48" xfId="1515"/>
    <cellStyle name="Percent 49" xfId="1516"/>
    <cellStyle name="Percent 5" xfId="1517"/>
    <cellStyle name="Percent 50" xfId="1518"/>
    <cellStyle name="Percent 51" xfId="1519"/>
    <cellStyle name="Percent 52" xfId="1520"/>
    <cellStyle name="Percent 53" xfId="1521"/>
    <cellStyle name="Percent 54" xfId="1522"/>
    <cellStyle name="Percent 55" xfId="1523"/>
    <cellStyle name="Percent 56" xfId="1524"/>
    <cellStyle name="Percent 57" xfId="1525"/>
    <cellStyle name="Percent 58" xfId="1526"/>
    <cellStyle name="Percent 59" xfId="1527"/>
    <cellStyle name="Percent 6" xfId="1528"/>
    <cellStyle name="Percent 60" xfId="1529"/>
    <cellStyle name="Percent 61" xfId="1530"/>
    <cellStyle name="Percent 62" xfId="1531"/>
    <cellStyle name="Percent 63" xfId="1532"/>
    <cellStyle name="Percent 64" xfId="1533"/>
    <cellStyle name="Percent 65" xfId="1534"/>
    <cellStyle name="Percent 66" xfId="1535"/>
    <cellStyle name="Percent 67" xfId="1536"/>
    <cellStyle name="Percent 68" xfId="1537"/>
    <cellStyle name="Percent 69" xfId="1538"/>
    <cellStyle name="Percent 7" xfId="1539"/>
    <cellStyle name="Percent 70" xfId="1540"/>
    <cellStyle name="Percent 71" xfId="1541"/>
    <cellStyle name="Percent 72" xfId="1542"/>
    <cellStyle name="Percent 73" xfId="1543"/>
    <cellStyle name="Percent 74" xfId="1544"/>
    <cellStyle name="Percent 75" xfId="1545"/>
    <cellStyle name="Percent 76" xfId="1546"/>
    <cellStyle name="Percent 77" xfId="1547"/>
    <cellStyle name="Percent 78" xfId="1548"/>
    <cellStyle name="Percent 79" xfId="1549"/>
    <cellStyle name="Percent 8" xfId="1550"/>
    <cellStyle name="Percent 80" xfId="1551"/>
    <cellStyle name="Percent 81" xfId="1552"/>
    <cellStyle name="Percent 82" xfId="1553"/>
    <cellStyle name="Percent 83" xfId="1554"/>
    <cellStyle name="Percent 84" xfId="1555"/>
  </cellStyles>
  <colors>
    <indexedColors>
      <rgbColor rgb="FF000000"/>
      <rgbColor rgb="FFFFFFFF"/>
      <rgbColor rgb="FFFF0000"/>
      <rgbColor rgb="FFC8DBBB"/>
      <rgbColor rgb="FF0000FF"/>
      <rgbColor rgb="FFFFD966"/>
      <rgbColor rgb="FFE0E0E0"/>
      <rgbColor rgb="FFBAC8DF"/>
      <rgbColor rgb="FF840006"/>
      <rgbColor rgb="FF007B00"/>
      <rgbColor rgb="FF000080"/>
      <rgbColor rgb="FF858124"/>
      <rgbColor rgb="FFFBE5D6"/>
      <rgbColor rgb="FF1C4587"/>
      <rgbColor rgb="FFC0C0C0"/>
      <rgbColor rgb="FF808080"/>
      <rgbColor rgb="FF9BA9C8"/>
      <rgbColor rgb="FFC9C9C9"/>
      <rgbColor rgb="FFFFFFCC"/>
      <rgbColor rgb="FFCAFFFF"/>
      <rgbColor rgb="FFE2F0D9"/>
      <rgbColor rgb="FFED7D31"/>
      <rgbColor rgb="FF0563C1"/>
      <rgbColor rgb="FFC8DAF8"/>
      <rgbColor rgb="FFFFF2CC"/>
      <rgbColor rgb="FFDAE3F3"/>
      <rgbColor rgb="FFFFEB9C"/>
      <rgbColor rgb="FFC2D4E6"/>
      <rgbColor rgb="FFDEEBF7"/>
      <rgbColor rgb="FFEDEDED"/>
      <rgbColor rgb="FFDBDBDB"/>
      <rgbColor rgb="FFF2F2F2"/>
      <rgbColor rgb="FF9CC5ED"/>
      <rgbColor rgb="FFD1F9D0"/>
      <rgbColor rgb="FFCBFDCD"/>
      <rgbColor rgb="FFFFFF99"/>
      <rgbColor rgb="FF99CCFF"/>
      <rgbColor rgb="FFF9B490"/>
      <rgbColor rgb="FFA8A8A8"/>
      <rgbColor rgb="FFFFCC99"/>
      <rgbColor rgb="FF4472C4"/>
      <rgbColor rgb="FF5590D0"/>
      <rgbColor rgb="FFAFCC9B"/>
      <rgbColor rgb="FFFFC000"/>
      <rgbColor rgb="FFF8CBAD"/>
      <rgbColor rgb="FFFA7D00"/>
      <rgbColor rgb="FF44546A"/>
      <rgbColor rgb="FFA5A5A5"/>
      <rgbColor rgb="FF002060"/>
      <rgbColor rgb="FF70AD47"/>
      <rgbColor rgb="FFF0F0F0"/>
      <rgbColor rgb="FFFFE699"/>
      <rgbColor rgb="FFFFC7CE"/>
      <rgbColor rgb="FFD0CECE"/>
      <rgbColor rgb="FF36368A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C:/Users/AgentUser/Documents/KEX%20US%20Equity_MODEL_SNR_May%2020%202024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__FDSCACHE__"/>
      <sheetName val="Drivers"/>
      <sheetName val="Op Stats"/>
      <sheetName val="OI By Segment"/>
      <sheetName val="IS Input"/>
      <sheetName val="IS"/>
      <sheetName val="BS"/>
      <sheetName val="CF"/>
      <sheetName val="Debt"/>
      <sheetName val="Equity"/>
      <sheetName val="Interest"/>
      <sheetName val="Valuation"/>
      <sheetName val="Export"/>
      <sheetName val="Snapshot"/>
      <sheetName val="Disclaim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G168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9" ySplit="3" topLeftCell="AF122" activePane="bottomRight" state="frozen"/>
      <selection pane="topLeft" activeCell="A1" activeCellId="0" sqref="A1"/>
      <selection pane="topRight" activeCell="AF1" activeCellId="0" sqref="AF1"/>
      <selection pane="bottomLeft" activeCell="A122" activeCellId="0" sqref="A122"/>
      <selection pane="bottomRight" activeCell="G2" activeCellId="0" sqref="G2"/>
    </sheetView>
  </sheetViews>
  <sheetFormatPr defaultColWidth="9.13671875" defaultRowHeight="14.25" customHeight="true" zeroHeight="false" outlineLevelRow="0" outlineLevelCol="0"/>
  <cols>
    <col collapsed="false" customWidth="true" hidden="false" outlineLevel="0" max="5" min="1" style="1" width="2.73"/>
    <col collapsed="false" customWidth="true" hidden="false" outlineLevel="0" max="6" min="6" style="1" width="22.15"/>
    <col collapsed="false" customWidth="true" hidden="false" outlineLevel="0" max="8" min="7" style="1" width="9.73"/>
    <col collapsed="false" customWidth="true" hidden="false" outlineLevel="0" max="9" min="9" style="1" width="3.73"/>
    <col collapsed="false" customWidth="true" hidden="false" outlineLevel="0" max="16" min="10" style="1" width="9.73"/>
    <col collapsed="false" customWidth="true" hidden="false" outlineLevel="0" max="17" min="17" style="1" width="3.73"/>
    <col collapsed="false" customWidth="true" hidden="false" outlineLevel="0" max="49" min="18" style="1" width="9.73"/>
  </cols>
  <sheetData>
    <row r="1" customFormat="false" ht="14.2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</row>
    <row r="2" customFormat="false" ht="14.25" hidden="false" customHeight="true" outlineLevel="0" collapsed="false">
      <c r="A2" s="4" t="s">
        <v>1</v>
      </c>
      <c r="B2" s="5"/>
      <c r="C2" s="5"/>
      <c r="D2" s="5"/>
      <c r="E2" s="5"/>
      <c r="F2" s="5"/>
      <c r="G2" s="6" t="s">
        <v>2</v>
      </c>
      <c r="H2" s="5"/>
      <c r="I2" s="5"/>
      <c r="J2" s="7" t="s">
        <v>3</v>
      </c>
      <c r="K2" s="7" t="s">
        <v>3</v>
      </c>
      <c r="L2" s="7" t="s">
        <v>3</v>
      </c>
      <c r="M2" s="7" t="s">
        <v>3</v>
      </c>
      <c r="N2" s="7" t="s">
        <v>3</v>
      </c>
      <c r="O2" s="7" t="s">
        <v>3</v>
      </c>
      <c r="P2" s="7" t="s">
        <v>4</v>
      </c>
      <c r="Q2" s="5"/>
      <c r="R2" s="7" t="s">
        <v>3</v>
      </c>
      <c r="S2" s="7" t="s">
        <v>3</v>
      </c>
      <c r="T2" s="7" t="s">
        <v>3</v>
      </c>
      <c r="U2" s="7" t="s">
        <v>3</v>
      </c>
      <c r="V2" s="7" t="s">
        <v>3</v>
      </c>
      <c r="W2" s="7" t="s">
        <v>3</v>
      </c>
      <c r="X2" s="7" t="s">
        <v>3</v>
      </c>
      <c r="Y2" s="7" t="s">
        <v>3</v>
      </c>
      <c r="Z2" s="7" t="s">
        <v>3</v>
      </c>
      <c r="AA2" s="7" t="s">
        <v>3</v>
      </c>
      <c r="AB2" s="7" t="s">
        <v>3</v>
      </c>
      <c r="AC2" s="7" t="s">
        <v>3</v>
      </c>
      <c r="AD2" s="7" t="s">
        <v>3</v>
      </c>
      <c r="AE2" s="7" t="s">
        <v>3</v>
      </c>
      <c r="AF2" s="7" t="s">
        <v>3</v>
      </c>
      <c r="AG2" s="7" t="s">
        <v>3</v>
      </c>
      <c r="AH2" s="7" t="s">
        <v>3</v>
      </c>
      <c r="AI2" s="7" t="s">
        <v>3</v>
      </c>
      <c r="AJ2" s="7" t="s">
        <v>3</v>
      </c>
      <c r="AK2" s="7" t="s">
        <v>3</v>
      </c>
      <c r="AL2" s="7" t="s">
        <v>3</v>
      </c>
      <c r="AM2" s="7" t="s">
        <v>3</v>
      </c>
      <c r="AN2" s="7" t="s">
        <v>3</v>
      </c>
      <c r="AO2" s="7" t="s">
        <v>3</v>
      </c>
      <c r="AP2" s="7" t="s">
        <v>3</v>
      </c>
      <c r="AQ2" s="7" t="s">
        <v>4</v>
      </c>
      <c r="AR2" s="7" t="s">
        <v>4</v>
      </c>
      <c r="AS2" s="7" t="s">
        <v>4</v>
      </c>
      <c r="AT2" s="7" t="s">
        <v>4</v>
      </c>
      <c r="AU2" s="7" t="s">
        <v>4</v>
      </c>
      <c r="AV2" s="7" t="s">
        <v>4</v>
      </c>
      <c r="AW2" s="7" t="s">
        <v>4</v>
      </c>
    </row>
    <row r="3" customFormat="false" ht="14.25" hidden="false" customHeight="true" outlineLevel="0" collapsed="false">
      <c r="G3" s="8" t="s">
        <v>5</v>
      </c>
      <c r="H3" s="9" t="s">
        <v>6</v>
      </c>
      <c r="I3" s="10"/>
      <c r="J3" s="11" t="n">
        <v>2018</v>
      </c>
      <c r="K3" s="12" t="n">
        <f aca="false">J3+1</f>
        <v>2019</v>
      </c>
      <c r="L3" s="12" t="n">
        <f aca="false">K3+1</f>
        <v>2020</v>
      </c>
      <c r="M3" s="12" t="n">
        <f aca="false">L3+1</f>
        <v>2021</v>
      </c>
      <c r="N3" s="12" t="n">
        <f aca="false">M3+1</f>
        <v>2022</v>
      </c>
      <c r="O3" s="12" t="n">
        <f aca="false">N3+1</f>
        <v>2023</v>
      </c>
      <c r="P3" s="12" t="n">
        <f aca="false">O3+1</f>
        <v>2024</v>
      </c>
      <c r="Q3" s="10"/>
      <c r="R3" s="13" t="s">
        <v>7</v>
      </c>
      <c r="S3" s="13" t="s">
        <v>8</v>
      </c>
      <c r="T3" s="13" t="s">
        <v>9</v>
      </c>
      <c r="U3" s="13" t="s">
        <v>10</v>
      </c>
      <c r="V3" s="13" t="s">
        <v>11</v>
      </c>
      <c r="W3" s="13" t="s">
        <v>12</v>
      </c>
      <c r="X3" s="13" t="s">
        <v>13</v>
      </c>
      <c r="Y3" s="13" t="s">
        <v>14</v>
      </c>
      <c r="Z3" s="13" t="s">
        <v>15</v>
      </c>
      <c r="AA3" s="13" t="s">
        <v>16</v>
      </c>
      <c r="AB3" s="13" t="s">
        <v>17</v>
      </c>
      <c r="AC3" s="13" t="s">
        <v>18</v>
      </c>
      <c r="AD3" s="13" t="s">
        <v>19</v>
      </c>
      <c r="AE3" s="13" t="s">
        <v>20</v>
      </c>
      <c r="AF3" s="13" t="s">
        <v>21</v>
      </c>
      <c r="AG3" s="13" t="s">
        <v>22</v>
      </c>
      <c r="AH3" s="13" t="s">
        <v>23</v>
      </c>
      <c r="AI3" s="13" t="s">
        <v>24</v>
      </c>
      <c r="AJ3" s="13" t="s">
        <v>25</v>
      </c>
      <c r="AK3" s="13" t="s">
        <v>26</v>
      </c>
      <c r="AL3" s="13" t="s">
        <v>27</v>
      </c>
      <c r="AM3" s="13" t="s">
        <v>28</v>
      </c>
      <c r="AN3" s="13" t="s">
        <v>29</v>
      </c>
      <c r="AO3" s="13" t="s">
        <v>30</v>
      </c>
      <c r="AP3" s="13" t="s">
        <v>2</v>
      </c>
      <c r="AQ3" s="13" t="s">
        <v>31</v>
      </c>
      <c r="AR3" s="13" t="s">
        <v>32</v>
      </c>
      <c r="AS3" s="13" t="s">
        <v>33</v>
      </c>
      <c r="AT3" s="13" t="s">
        <v>34</v>
      </c>
      <c r="AU3" s="13" t="s">
        <v>35</v>
      </c>
      <c r="AV3" s="13" t="s">
        <v>36</v>
      </c>
      <c r="AW3" s="13" t="s">
        <v>37</v>
      </c>
    </row>
    <row r="4" customFormat="false" ht="14.25" hidden="false" customHeight="true" outlineLevel="0" collapsed="false">
      <c r="G4" s="14"/>
      <c r="H4" s="15"/>
    </row>
    <row r="5" customFormat="false" ht="15" hidden="false" customHeight="true" outlineLevel="0" collapsed="false">
      <c r="A5" s="16" t="s">
        <v>38</v>
      </c>
      <c r="B5" s="16" t="s">
        <v>39</v>
      </c>
      <c r="C5" s="17"/>
      <c r="D5" s="17"/>
      <c r="E5" s="17"/>
      <c r="F5" s="17"/>
      <c r="G5" s="18"/>
      <c r="H5" s="19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</row>
    <row r="6" customFormat="false" ht="14.25" hidden="false" customHeight="true" outlineLevel="0" collapsed="false">
      <c r="G6" s="20"/>
      <c r="H6" s="21"/>
    </row>
    <row r="7" customFormat="false" ht="14.25" hidden="false" customHeight="true" outlineLevel="0" collapsed="false">
      <c r="B7" s="22" t="s">
        <v>40</v>
      </c>
      <c r="G7" s="23" t="n">
        <f aca="true">OFFSET(R7,0,MATCH($G$2,$R$3:$AW$3,0)-1)*4</f>
        <v>1901.648</v>
      </c>
      <c r="H7" s="24" t="n">
        <f aca="true">SUM(OFFSET(R7,0,MATCH($G$2,$R$3:$AW$3,0)-4),OFFSET(R7,0,MATCH($G$2,$R$3:$AW$3,0)-3),OFFSET(R7,0,MATCH($G$2,$R$3:$AW$3,0)-2),OFFSET(R7,0,MATCH($G$2,$R$3:$AW$3,0)-1))</f>
        <v>1784.854</v>
      </c>
      <c r="J7" s="25" t="n">
        <f aca="false">SUM(R7:U7)</f>
        <v>1483.143</v>
      </c>
      <c r="K7" s="25" t="n">
        <f aca="false">SUM(V7:Y7)</f>
        <v>1587.082</v>
      </c>
      <c r="L7" s="25" t="n">
        <f aca="false">SUM(Z7:AC7)</f>
        <v>1404.265</v>
      </c>
      <c r="M7" s="25" t="n">
        <f aca="false">SUM(AD7:AG7)</f>
        <v>1322.918</v>
      </c>
      <c r="N7" s="25" t="n">
        <f aca="false">SUM(AH7:AK7)</f>
        <v>1616.967</v>
      </c>
      <c r="O7" s="25" t="n">
        <f aca="false">SUM(AL7:AO7)</f>
        <v>1721.937</v>
      </c>
      <c r="P7" s="26"/>
      <c r="R7" s="27" t="n">
        <v>340.403</v>
      </c>
      <c r="S7" s="27" t="n">
        <v>378.163</v>
      </c>
      <c r="T7" s="27" t="n">
        <v>382.04</v>
      </c>
      <c r="U7" s="27" t="n">
        <v>382.537</v>
      </c>
      <c r="V7" s="27" t="n">
        <v>368.121</v>
      </c>
      <c r="W7" s="27" t="n">
        <v>404.286</v>
      </c>
      <c r="X7" s="27" t="n">
        <v>412.665</v>
      </c>
      <c r="Y7" s="27" t="n">
        <v>402.01</v>
      </c>
      <c r="Z7" s="27" t="n">
        <v>403.257</v>
      </c>
      <c r="AA7" s="27" t="n">
        <v>380.987</v>
      </c>
      <c r="AB7" s="27" t="n">
        <v>320.602</v>
      </c>
      <c r="AC7" s="27" t="n">
        <v>299.419</v>
      </c>
      <c r="AD7" s="27" t="n">
        <v>300.951</v>
      </c>
      <c r="AE7" s="27" t="n">
        <v>332.887</v>
      </c>
      <c r="AF7" s="27" t="n">
        <v>338.514</v>
      </c>
      <c r="AG7" s="27" t="n">
        <v>350.566</v>
      </c>
      <c r="AH7" s="27" t="n">
        <v>355.536</v>
      </c>
      <c r="AI7" s="27" t="n">
        <v>405.655</v>
      </c>
      <c r="AJ7" s="27" t="n">
        <v>433.04</v>
      </c>
      <c r="AK7" s="27" t="n">
        <v>422.736</v>
      </c>
      <c r="AL7" s="27" t="n">
        <v>412.495</v>
      </c>
      <c r="AM7" s="27" t="n">
        <v>426.962</v>
      </c>
      <c r="AN7" s="27" t="n">
        <v>429.885</v>
      </c>
      <c r="AO7" s="27" t="n">
        <v>452.595</v>
      </c>
      <c r="AP7" s="27" t="n">
        <v>475.412</v>
      </c>
      <c r="AQ7" s="26"/>
      <c r="AR7" s="26"/>
      <c r="AS7" s="26"/>
      <c r="AT7" s="26"/>
      <c r="AU7" s="26"/>
      <c r="AV7" s="26"/>
      <c r="AW7" s="26"/>
    </row>
    <row r="8" customFormat="false" ht="14.25" hidden="false" customHeight="true" outlineLevel="0" collapsed="false">
      <c r="B8" s="28" t="s">
        <v>41</v>
      </c>
      <c r="C8" s="29"/>
      <c r="D8" s="29"/>
      <c r="E8" s="29"/>
      <c r="F8" s="29"/>
      <c r="G8" s="30" t="n">
        <f aca="true">OFFSET(R8,0,MATCH($G$2,$R$3:$AW$3,0)-1)*4</f>
        <v>1330.44</v>
      </c>
      <c r="H8" s="31" t="n">
        <f aca="true">SUM(OFFSET(R8,0,MATCH($G$2,$R$3:$AW$3,0)-4),OFFSET(R8,0,MATCH($G$2,$R$3:$AW$3,0)-3),OFFSET(R8,0,MATCH($G$2,$R$3:$AW$3,0)-2),OFFSET(R8,0,MATCH($G$2,$R$3:$AW$3,0)-1))</f>
        <v>1364.364</v>
      </c>
      <c r="I8" s="29"/>
      <c r="J8" s="32" t="n">
        <f aca="false">SUM(R8:U8)</f>
        <v>1487.554</v>
      </c>
      <c r="K8" s="32" t="n">
        <f aca="false">SUM(V8:Y8)</f>
        <v>1251.317</v>
      </c>
      <c r="L8" s="32" t="n">
        <f aca="false">SUM(Z8:AC8)</f>
        <v>767.143</v>
      </c>
      <c r="M8" s="32" t="n">
        <f aca="false">SUM(AD8:AG8)</f>
        <v>923.742</v>
      </c>
      <c r="N8" s="32" t="n">
        <f aca="false">SUM(AH8:AK8)</f>
        <v>1167.787</v>
      </c>
      <c r="O8" s="32" t="n">
        <f aca="false">SUM(AL8:AO8)</f>
        <v>1369.703</v>
      </c>
      <c r="P8" s="33"/>
      <c r="Q8" s="29"/>
      <c r="R8" s="34" t="n">
        <v>401.285</v>
      </c>
      <c r="S8" s="34" t="n">
        <v>424.508</v>
      </c>
      <c r="T8" s="34" t="n">
        <v>322.805</v>
      </c>
      <c r="U8" s="34" t="n">
        <v>338.956</v>
      </c>
      <c r="V8" s="34" t="n">
        <v>376.5</v>
      </c>
      <c r="W8" s="34" t="n">
        <v>366.756</v>
      </c>
      <c r="X8" s="34" t="n">
        <v>254.144</v>
      </c>
      <c r="Y8" s="34" t="n">
        <v>253.917</v>
      </c>
      <c r="Z8" s="34" t="n">
        <v>240.669</v>
      </c>
      <c r="AA8" s="34" t="n">
        <v>160.172</v>
      </c>
      <c r="AB8" s="34" t="n">
        <v>175.965</v>
      </c>
      <c r="AC8" s="34" t="n">
        <v>190.337</v>
      </c>
      <c r="AD8" s="34" t="n">
        <v>195.899</v>
      </c>
      <c r="AE8" s="34" t="n">
        <v>226.737</v>
      </c>
      <c r="AF8" s="34" t="n">
        <v>260.406</v>
      </c>
      <c r="AG8" s="34" t="n">
        <v>240.7</v>
      </c>
      <c r="AH8" s="34" t="n">
        <v>255.246</v>
      </c>
      <c r="AI8" s="34" t="n">
        <v>292.309</v>
      </c>
      <c r="AJ8" s="34" t="n">
        <v>312.803</v>
      </c>
      <c r="AK8" s="34" t="n">
        <v>307.429</v>
      </c>
      <c r="AL8" s="34" t="n">
        <v>337.949</v>
      </c>
      <c r="AM8" s="34" t="n">
        <v>350.286</v>
      </c>
      <c r="AN8" s="34" t="n">
        <v>334.887</v>
      </c>
      <c r="AO8" s="34" t="n">
        <v>346.581</v>
      </c>
      <c r="AP8" s="34" t="n">
        <v>332.61</v>
      </c>
      <c r="AQ8" s="33"/>
      <c r="AR8" s="33"/>
      <c r="AS8" s="33"/>
      <c r="AT8" s="33"/>
      <c r="AU8" s="33"/>
      <c r="AV8" s="33"/>
      <c r="AW8" s="33"/>
    </row>
    <row r="9" customFormat="false" ht="14.25" hidden="false" customHeight="true" outlineLevel="0" collapsed="false">
      <c r="B9" s="35" t="s">
        <v>42</v>
      </c>
      <c r="C9" s="36"/>
      <c r="D9" s="36"/>
      <c r="E9" s="36"/>
      <c r="F9" s="36"/>
      <c r="G9" s="37" t="n">
        <f aca="false">SUM(G7:G8)</f>
        <v>3232.088</v>
      </c>
      <c r="H9" s="38" t="n">
        <f aca="false">SUM(H7:H8)</f>
        <v>3149.218</v>
      </c>
      <c r="I9" s="36"/>
      <c r="J9" s="39" t="n">
        <f aca="false">SUM(J7:J8)</f>
        <v>2970.697</v>
      </c>
      <c r="K9" s="39" t="n">
        <f aca="false">SUM(K7:K8)</f>
        <v>2838.399</v>
      </c>
      <c r="L9" s="39" t="n">
        <f aca="false">SUM(L7:L8)</f>
        <v>2171.408</v>
      </c>
      <c r="M9" s="39" t="n">
        <f aca="false">SUM(M7:M8)</f>
        <v>2246.66</v>
      </c>
      <c r="N9" s="39" t="n">
        <f aca="false">SUM(N7:N8)</f>
        <v>2784.754</v>
      </c>
      <c r="O9" s="39" t="n">
        <f aca="false">SUM(O7:O8)</f>
        <v>3091.64</v>
      </c>
      <c r="R9" s="39" t="n">
        <f aca="false">SUM(R7:R8)</f>
        <v>741.688</v>
      </c>
      <c r="S9" s="39" t="n">
        <f aca="false">SUM(S7:S8)</f>
        <v>802.671</v>
      </c>
      <c r="T9" s="39" t="n">
        <f aca="false">SUM(T7:T8)</f>
        <v>704.845</v>
      </c>
      <c r="U9" s="39" t="n">
        <f aca="false">SUM(U7:U8)</f>
        <v>721.493</v>
      </c>
      <c r="V9" s="39" t="n">
        <f aca="false">SUM(V7:V8)</f>
        <v>744.621</v>
      </c>
      <c r="W9" s="39" t="n">
        <f aca="false">SUM(W7:W8)</f>
        <v>771.042</v>
      </c>
      <c r="X9" s="39" t="n">
        <f aca="false">SUM(X7:X8)</f>
        <v>666.809</v>
      </c>
      <c r="Y9" s="39" t="n">
        <f aca="false">SUM(Y7:Y8)</f>
        <v>655.927</v>
      </c>
      <c r="Z9" s="39" t="n">
        <f aca="false">SUM(Z7:Z8)</f>
        <v>643.926</v>
      </c>
      <c r="AA9" s="39" t="n">
        <f aca="false">SUM(AA7:AA8)</f>
        <v>541.159</v>
      </c>
      <c r="AB9" s="39" t="n">
        <f aca="false">SUM(AB7:AB8)</f>
        <v>496.567</v>
      </c>
      <c r="AC9" s="39" t="n">
        <f aca="false">SUM(AC7:AC8)</f>
        <v>489.756</v>
      </c>
      <c r="AD9" s="39" t="n">
        <f aca="false">SUM(AD7:AD8)</f>
        <v>496.85</v>
      </c>
      <c r="AE9" s="39" t="n">
        <f aca="false">SUM(AE7:AE8)</f>
        <v>559.624</v>
      </c>
      <c r="AF9" s="39" t="n">
        <f aca="false">SUM(AF7:AF8)</f>
        <v>598.92</v>
      </c>
      <c r="AG9" s="39" t="n">
        <f aca="false">SUM(AG7:AG8)</f>
        <v>591.266</v>
      </c>
      <c r="AH9" s="39" t="n">
        <f aca="false">SUM(AH7:AH8)</f>
        <v>610.782</v>
      </c>
      <c r="AI9" s="39" t="n">
        <f aca="false">SUM(AI7:AI8)</f>
        <v>697.964</v>
      </c>
      <c r="AJ9" s="39" t="n">
        <f aca="false">SUM(AJ7:AJ8)</f>
        <v>745.843</v>
      </c>
      <c r="AK9" s="39" t="n">
        <f aca="false">SUM(AK7:AK8)</f>
        <v>730.165</v>
      </c>
      <c r="AL9" s="39" t="n">
        <f aca="false">SUM(AL7:AL8)</f>
        <v>750.444</v>
      </c>
      <c r="AM9" s="39" t="n">
        <f aca="false">SUM(AM7:AM8)</f>
        <v>777.248</v>
      </c>
      <c r="AN9" s="39" t="n">
        <f aca="false">SUM(AN7:AN8)</f>
        <v>764.772</v>
      </c>
      <c r="AO9" s="39" t="n">
        <f aca="false">SUM(AO7:AO8)</f>
        <v>799.176</v>
      </c>
      <c r="AP9" s="39" t="n">
        <f aca="false">SUM(AP7:AP8)</f>
        <v>808.022</v>
      </c>
    </row>
    <row r="10" customFormat="false" ht="14.25" hidden="false" customHeight="true" outlineLevel="0" collapsed="false">
      <c r="B10" s="22"/>
      <c r="C10" s="4" t="s">
        <v>43</v>
      </c>
      <c r="G10" s="40" t="n">
        <f aca="false">G9/G7</f>
        <v>1.69962474653564</v>
      </c>
      <c r="H10" s="41" t="n">
        <f aca="false">H9/H7</f>
        <v>1.76441210317483</v>
      </c>
      <c r="J10" s="42"/>
      <c r="K10" s="43" t="n">
        <f aca="false">K9/J9-1</f>
        <v>-0.0445343298222607</v>
      </c>
      <c r="L10" s="43" t="n">
        <f aca="false">L9/K9-1</f>
        <v>-0.234988456520736</v>
      </c>
      <c r="M10" s="43" t="n">
        <f aca="false">M9/L9-1</f>
        <v>0.0346558546344122</v>
      </c>
      <c r="N10" s="43" t="n">
        <f aca="false">N9/M9-1</f>
        <v>0.239508425841026</v>
      </c>
      <c r="O10" s="43" t="n">
        <f aca="false">O9/N9-1</f>
        <v>0.110202193802397</v>
      </c>
      <c r="P10" s="26"/>
      <c r="R10" s="42"/>
      <c r="S10" s="42"/>
      <c r="T10" s="42"/>
      <c r="U10" s="42"/>
      <c r="V10" s="43" t="n">
        <f aca="false">V9/R9-1</f>
        <v>0.00395449299435868</v>
      </c>
      <c r="W10" s="43" t="n">
        <f aca="false">W9/S9-1</f>
        <v>-0.0394046875992781</v>
      </c>
      <c r="X10" s="43" t="n">
        <f aca="false">X9/T9-1</f>
        <v>-0.0539636373954558</v>
      </c>
      <c r="Y10" s="43" t="n">
        <f aca="false">Y9/U9-1</f>
        <v>-0.0908754485490503</v>
      </c>
      <c r="Z10" s="43" t="n">
        <f aca="false">Z9/V9-1</f>
        <v>-0.135229868617726</v>
      </c>
      <c r="AA10" s="43" t="n">
        <f aca="false">AA9/W9-1</f>
        <v>-0.298145885697537</v>
      </c>
      <c r="AB10" s="43" t="n">
        <f aca="false">AB9/X9-1</f>
        <v>-0.255308491637035</v>
      </c>
      <c r="AC10" s="43" t="n">
        <f aca="false">AC9/Y9-1</f>
        <v>-0.253337642755978</v>
      </c>
      <c r="AD10" s="43" t="n">
        <f aca="false">AD9/Z9-1</f>
        <v>-0.228405127297236</v>
      </c>
      <c r="AE10" s="43" t="n">
        <f aca="false">AE9/AA9-1</f>
        <v>0.0341212102173298</v>
      </c>
      <c r="AF10" s="43" t="n">
        <f aca="false">AF9/AB9-1</f>
        <v>0.206121228353878</v>
      </c>
      <c r="AG10" s="43" t="n">
        <f aca="false">AG9/AC9-1</f>
        <v>0.207266475551091</v>
      </c>
      <c r="AH10" s="43" t="n">
        <f aca="false">AH9/AD9-1</f>
        <v>0.229308644460099</v>
      </c>
      <c r="AI10" s="43" t="n">
        <f aca="false">AI9/AE9-1</f>
        <v>0.247201692565008</v>
      </c>
      <c r="AJ10" s="43" t="n">
        <f aca="false">AJ9/AF9-1</f>
        <v>0.245313230481533</v>
      </c>
      <c r="AK10" s="43" t="n">
        <f aca="false">AK9/AG9-1</f>
        <v>0.234917955708598</v>
      </c>
      <c r="AL10" s="43" t="n">
        <f aca="false">AL9/AH9-1</f>
        <v>0.228660962503807</v>
      </c>
      <c r="AM10" s="43" t="n">
        <f aca="false">AM9/AI9-1</f>
        <v>0.113593251227857</v>
      </c>
      <c r="AN10" s="43" t="n">
        <f aca="false">AN9/AJ9-1</f>
        <v>0.0253793358655909</v>
      </c>
      <c r="AO10" s="43" t="n">
        <f aca="false">AO9/AK9-1</f>
        <v>0.0945142536276049</v>
      </c>
      <c r="AP10" s="43" t="n">
        <f aca="false">AP9/AL9-1</f>
        <v>0.0767252453214364</v>
      </c>
      <c r="AQ10" s="26"/>
      <c r="AR10" s="26"/>
      <c r="AS10" s="26"/>
      <c r="AT10" s="26"/>
      <c r="AU10" s="26"/>
      <c r="AV10" s="26"/>
      <c r="AW10" s="26"/>
    </row>
    <row r="11" customFormat="false" ht="14.25" hidden="false" customHeight="true" outlineLevel="0" collapsed="false">
      <c r="B11" s="22"/>
      <c r="C11" s="4" t="s">
        <v>44</v>
      </c>
      <c r="G11" s="44"/>
      <c r="H11" s="21"/>
      <c r="J11" s="42"/>
      <c r="K11" s="42"/>
      <c r="L11" s="42"/>
      <c r="M11" s="42"/>
      <c r="N11" s="42"/>
      <c r="O11" s="42"/>
      <c r="P11" s="26"/>
      <c r="R11" s="42"/>
      <c r="S11" s="43" t="n">
        <f aca="false">S9/R9-1</f>
        <v>0.0822219046283612</v>
      </c>
      <c r="T11" s="43" t="n">
        <f aca="false">T9/S9-1</f>
        <v>-0.121875587880962</v>
      </c>
      <c r="U11" s="43" t="n">
        <f aca="false">U9/T9-1</f>
        <v>0.0236193773099049</v>
      </c>
      <c r="V11" s="43" t="n">
        <f aca="false">V9/U9-1</f>
        <v>0.0320557510606478</v>
      </c>
      <c r="W11" s="43" t="n">
        <f aca="false">W9/V9-1</f>
        <v>0.0354824803490634</v>
      </c>
      <c r="X11" s="43" t="n">
        <f aca="false">X9/W9-1</f>
        <v>-0.135184594354134</v>
      </c>
      <c r="Y11" s="43" t="n">
        <f aca="false">Y9/X9-1</f>
        <v>-0.0163195157833802</v>
      </c>
      <c r="Z11" s="43" t="n">
        <f aca="false">Z9/Y9-1</f>
        <v>-0.0182962433319561</v>
      </c>
      <c r="AA11" s="43" t="n">
        <f aca="false">AA9/Z9-1</f>
        <v>-0.159594425446402</v>
      </c>
      <c r="AB11" s="43" t="n">
        <f aca="false">AB9/AA9-1</f>
        <v>-0.0824009209862535</v>
      </c>
      <c r="AC11" s="43" t="n">
        <f aca="false">AC9/AB9-1</f>
        <v>-0.0137161752593307</v>
      </c>
      <c r="AD11" s="43" t="n">
        <f aca="false">AD9/AC9-1</f>
        <v>0.0144847638415866</v>
      </c>
      <c r="AE11" s="43" t="n">
        <f aca="false">AE9/AD9-1</f>
        <v>0.12634396699205</v>
      </c>
      <c r="AF11" s="43" t="n">
        <f aca="false">AF9/AE9-1</f>
        <v>0.0702185753291496</v>
      </c>
      <c r="AG11" s="43" t="n">
        <f aca="false">AG9/AF9-1</f>
        <v>-0.0127796700727979</v>
      </c>
      <c r="AH11" s="43" t="n">
        <f aca="false">AH9/AG9-1</f>
        <v>0.0330071406101484</v>
      </c>
      <c r="AI11" s="43" t="n">
        <f aca="false">AI9/AH9-1</f>
        <v>0.142738325621907</v>
      </c>
      <c r="AJ11" s="43" t="n">
        <f aca="false">AJ9/AI9-1</f>
        <v>0.0685980938844986</v>
      </c>
      <c r="AK11" s="43" t="n">
        <f aca="false">AK9/AJ9-1</f>
        <v>-0.0210205096783105</v>
      </c>
      <c r="AL11" s="43" t="n">
        <f aca="false">AL9/AK9-1</f>
        <v>0.0277731745564358</v>
      </c>
      <c r="AM11" s="43" t="n">
        <f aca="false">AM9/AL9-1</f>
        <v>0.0357175218937058</v>
      </c>
      <c r="AN11" s="43" t="n">
        <f aca="false">AN9/AM9-1</f>
        <v>-0.01605150479641</v>
      </c>
      <c r="AO11" s="43" t="n">
        <f aca="false">AO9/AN9-1</f>
        <v>0.0449859565988295</v>
      </c>
      <c r="AP11" s="43" t="n">
        <f aca="false">AP9/AO9-1</f>
        <v>0.011068900967997</v>
      </c>
      <c r="AQ11" s="26"/>
      <c r="AR11" s="26"/>
      <c r="AS11" s="26"/>
      <c r="AT11" s="26"/>
      <c r="AU11" s="26"/>
      <c r="AV11" s="26"/>
      <c r="AW11" s="26"/>
    </row>
    <row r="12" customFormat="false" ht="14.25" hidden="false" customHeight="true" outlineLevel="0" collapsed="false">
      <c r="B12" s="22"/>
      <c r="C12" s="4"/>
      <c r="G12" s="44"/>
      <c r="H12" s="21"/>
      <c r="N12" s="45"/>
      <c r="O12" s="45"/>
      <c r="P12" s="26"/>
      <c r="AQ12" s="26"/>
      <c r="AR12" s="26"/>
      <c r="AS12" s="26"/>
      <c r="AT12" s="26"/>
      <c r="AU12" s="26"/>
      <c r="AV12" s="26"/>
      <c r="AW12" s="26"/>
    </row>
    <row r="13" customFormat="false" ht="14.25" hidden="false" customHeight="true" outlineLevel="0" collapsed="false">
      <c r="B13" s="28" t="s">
        <v>45</v>
      </c>
      <c r="C13" s="29"/>
      <c r="D13" s="29"/>
      <c r="E13" s="29"/>
      <c r="F13" s="29"/>
      <c r="G13" s="30" t="n">
        <f aca="true">OFFSET(R13,0,MATCH($G$2,$R$3:$AW$3,0)-1)*4</f>
        <v>-2202.724</v>
      </c>
      <c r="H13" s="31" t="n">
        <f aca="true">SUM(OFFSET(R13,0,MATCH($G$2,$R$3:$AW$3,0)-4),OFFSET(R13,0,MATCH($G$2,$R$3:$AW$3,0)-3),OFFSET(R13,0,MATCH($G$2,$R$3:$AW$3,0)-2),OFFSET(R13,0,MATCH($G$2,$R$3:$AW$3,0)-1))</f>
        <v>-2189.023</v>
      </c>
      <c r="I13" s="29"/>
      <c r="J13" s="32" t="n">
        <f aca="false">SUM(R13:U13)</f>
        <v>-2160.946</v>
      </c>
      <c r="K13" s="32" t="n">
        <f aca="false">SUM(V13:Y13)</f>
        <v>-2030.046</v>
      </c>
      <c r="L13" s="32" t="n">
        <f aca="false">SUM(Z13:AC13)</f>
        <v>-1510.818</v>
      </c>
      <c r="M13" s="32" t="n">
        <f aca="false">SUM(AD13:AG13)</f>
        <v>-1652.961</v>
      </c>
      <c r="N13" s="32" t="n">
        <f aca="false">SUM(AH13:AK13)</f>
        <v>-2060.941</v>
      </c>
      <c r="O13" s="32" t="n">
        <f aca="false">SUM(AL13:AO13)</f>
        <v>-2180.422</v>
      </c>
      <c r="P13" s="46"/>
      <c r="Q13" s="47"/>
      <c r="R13" s="34" t="n">
        <v>-553.317</v>
      </c>
      <c r="S13" s="34" t="n">
        <v>-588.628</v>
      </c>
      <c r="T13" s="34" t="n">
        <v>-498.421</v>
      </c>
      <c r="U13" s="34" t="n">
        <v>-520.58</v>
      </c>
      <c r="V13" s="34" t="n">
        <v>-536.655</v>
      </c>
      <c r="W13" s="34" t="n">
        <v>-563.495</v>
      </c>
      <c r="X13" s="34" t="n">
        <v>-458.514</v>
      </c>
      <c r="Y13" s="34" t="n">
        <v>-471.382</v>
      </c>
      <c r="Z13" s="34" t="n">
        <v>-453.568</v>
      </c>
      <c r="AA13" s="34" t="n">
        <v>-373.539</v>
      </c>
      <c r="AB13" s="34" t="n">
        <v>-340.764</v>
      </c>
      <c r="AC13" s="34" t="n">
        <v>-342.947</v>
      </c>
      <c r="AD13" s="34" t="n">
        <v>-363.04</v>
      </c>
      <c r="AE13" s="34" t="n">
        <v>-409.479</v>
      </c>
      <c r="AF13" s="34" t="n">
        <v>-446.519</v>
      </c>
      <c r="AG13" s="34" t="n">
        <v>-433.923</v>
      </c>
      <c r="AH13" s="34" t="n">
        <v>-450.618</v>
      </c>
      <c r="AI13" s="34" t="n">
        <v>-523.862</v>
      </c>
      <c r="AJ13" s="34" t="n">
        <v>-552.392</v>
      </c>
      <c r="AK13" s="34" t="n">
        <v>-534.069</v>
      </c>
      <c r="AL13" s="34" t="n">
        <v>-542.08</v>
      </c>
      <c r="AM13" s="34" t="n">
        <v>-546.069</v>
      </c>
      <c r="AN13" s="34" t="n">
        <v>-530.541</v>
      </c>
      <c r="AO13" s="34" t="n">
        <v>-561.732</v>
      </c>
      <c r="AP13" s="34" t="n">
        <v>-550.681</v>
      </c>
      <c r="AQ13" s="46"/>
      <c r="AR13" s="46"/>
      <c r="AS13" s="46"/>
      <c r="AT13" s="46"/>
      <c r="AU13" s="46"/>
      <c r="AV13" s="46"/>
      <c r="AW13" s="46"/>
    </row>
    <row r="14" customFormat="false" ht="14.25" hidden="false" customHeight="true" outlineLevel="0" collapsed="false">
      <c r="B14" s="36" t="s">
        <v>46</v>
      </c>
      <c r="G14" s="37" t="n">
        <f aca="false">G9+SUM(G13)</f>
        <v>1029.364</v>
      </c>
      <c r="H14" s="38" t="n">
        <f aca="false">H9+SUM(H13)</f>
        <v>960.195</v>
      </c>
      <c r="J14" s="39" t="n">
        <f aca="false">J9+SUM(J13)</f>
        <v>809.751</v>
      </c>
      <c r="K14" s="39" t="n">
        <f aca="false">K9+SUM(K13)</f>
        <v>808.353</v>
      </c>
      <c r="L14" s="39" t="n">
        <f aca="false">L9+SUM(L13)</f>
        <v>660.59</v>
      </c>
      <c r="M14" s="39" t="n">
        <f aca="false">M9+SUM(M13)</f>
        <v>593.699</v>
      </c>
      <c r="N14" s="39" t="n">
        <f aca="false">N9+SUM(N13)</f>
        <v>723.813</v>
      </c>
      <c r="O14" s="39" t="n">
        <f aca="false">O9+SUM(O13)</f>
        <v>911.218</v>
      </c>
      <c r="P14" s="26"/>
      <c r="R14" s="39" t="n">
        <f aca="false">R9+SUM(R13)</f>
        <v>188.371</v>
      </c>
      <c r="S14" s="39" t="n">
        <f aca="false">S9+SUM(S13)</f>
        <v>214.043</v>
      </c>
      <c r="T14" s="39" t="n">
        <f aca="false">T9+SUM(T13)</f>
        <v>206.424</v>
      </c>
      <c r="U14" s="39" t="n">
        <f aca="false">U9+SUM(U13)</f>
        <v>200.913</v>
      </c>
      <c r="V14" s="39" t="n">
        <f aca="false">V9+SUM(V13)</f>
        <v>207.966</v>
      </c>
      <c r="W14" s="39" t="n">
        <f aca="false">W9+SUM(W13)</f>
        <v>207.547</v>
      </c>
      <c r="X14" s="39" t="n">
        <f aca="false">X9+SUM(X13)</f>
        <v>208.295</v>
      </c>
      <c r="Y14" s="39" t="n">
        <f aca="false">Y9+SUM(Y13)</f>
        <v>184.545</v>
      </c>
      <c r="Z14" s="39" t="n">
        <f aca="false">Z9+SUM(Z13)</f>
        <v>190.358</v>
      </c>
      <c r="AA14" s="39" t="n">
        <f aca="false">AA9+SUM(AA13)</f>
        <v>167.62</v>
      </c>
      <c r="AB14" s="39" t="n">
        <f aca="false">AB9+SUM(AB13)</f>
        <v>155.803</v>
      </c>
      <c r="AC14" s="39" t="n">
        <f aca="false">AC9+SUM(AC13)</f>
        <v>146.809</v>
      </c>
      <c r="AD14" s="39" t="n">
        <f aca="false">AD9+SUM(AD13)</f>
        <v>133.81</v>
      </c>
      <c r="AE14" s="39" t="n">
        <f aca="false">AE9+SUM(AE13)</f>
        <v>150.145</v>
      </c>
      <c r="AF14" s="39" t="n">
        <f aca="false">AF9+SUM(AF13)</f>
        <v>152.401</v>
      </c>
      <c r="AG14" s="39" t="n">
        <f aca="false">AG9+SUM(AG13)</f>
        <v>157.343</v>
      </c>
      <c r="AH14" s="39" t="n">
        <f aca="false">AH9+SUM(AH13)</f>
        <v>160.164</v>
      </c>
      <c r="AI14" s="39" t="n">
        <f aca="false">AI9+SUM(AI13)</f>
        <v>174.102</v>
      </c>
      <c r="AJ14" s="39" t="n">
        <f aca="false">AJ9+SUM(AJ13)</f>
        <v>193.451</v>
      </c>
      <c r="AK14" s="39" t="n">
        <f aca="false">AK9+SUM(AK13)</f>
        <v>196.096</v>
      </c>
      <c r="AL14" s="39" t="n">
        <f aca="false">AL9+SUM(AL13)</f>
        <v>208.364</v>
      </c>
      <c r="AM14" s="39" t="n">
        <f aca="false">AM9+SUM(AM13)</f>
        <v>231.179</v>
      </c>
      <c r="AN14" s="39" t="n">
        <f aca="false">AN9+SUM(AN13)</f>
        <v>234.231</v>
      </c>
      <c r="AO14" s="39" t="n">
        <f aca="false">AO9+SUM(AO13)</f>
        <v>237.444</v>
      </c>
      <c r="AP14" s="39" t="n">
        <f aca="false">AP9+SUM(AP13)</f>
        <v>257.341</v>
      </c>
      <c r="AQ14" s="26"/>
      <c r="AR14" s="26"/>
      <c r="AS14" s="26"/>
      <c r="AT14" s="26"/>
      <c r="AU14" s="26"/>
      <c r="AV14" s="26"/>
      <c r="AW14" s="26"/>
    </row>
    <row r="15" customFormat="false" ht="14.25" hidden="false" customHeight="true" outlineLevel="0" collapsed="false">
      <c r="C15" s="4" t="s">
        <v>47</v>
      </c>
      <c r="G15" s="40" t="n">
        <f aca="false">G14/G9</f>
        <v>0.318482665075951</v>
      </c>
      <c r="H15" s="41" t="n">
        <f aca="false">H14/H9</f>
        <v>0.304899502035108</v>
      </c>
      <c r="J15" s="43" t="n">
        <f aca="false">J14/J9</f>
        <v>0.272579465357793</v>
      </c>
      <c r="K15" s="43" t="n">
        <f aca="false">K14/K9</f>
        <v>0.28479188443908</v>
      </c>
      <c r="L15" s="43" t="n">
        <f aca="false">L14/L9</f>
        <v>0.304221961050157</v>
      </c>
      <c r="M15" s="43" t="n">
        <f aca="false">M14/M9</f>
        <v>0.264258499283381</v>
      </c>
      <c r="N15" s="43" t="n">
        <f aca="false">N14/N9</f>
        <v>0.259919906749393</v>
      </c>
      <c r="O15" s="43" t="n">
        <f aca="false">O14/O9</f>
        <v>0.294736127104061</v>
      </c>
      <c r="P15" s="26"/>
      <c r="R15" s="43" t="n">
        <f aca="false">R14/R9</f>
        <v>0.253976065407557</v>
      </c>
      <c r="S15" s="43" t="n">
        <f aca="false">S14/S9</f>
        <v>0.266663427481496</v>
      </c>
      <c r="T15" s="43" t="n">
        <f aca="false">T14/T9</f>
        <v>0.292864388624449</v>
      </c>
      <c r="U15" s="43" t="n">
        <f aca="false">U14/U9</f>
        <v>0.278468398168797</v>
      </c>
      <c r="V15" s="43" t="n">
        <f aca="false">V14/V9</f>
        <v>0.279291075594161</v>
      </c>
      <c r="W15" s="43" t="n">
        <f aca="false">W14/W9</f>
        <v>0.269177295140861</v>
      </c>
      <c r="X15" s="43" t="n">
        <f aca="false">X14/X9</f>
        <v>0.312375807765042</v>
      </c>
      <c r="Y15" s="43" t="n">
        <f aca="false">Y14/Y9</f>
        <v>0.281349906315794</v>
      </c>
      <c r="Z15" s="43" t="n">
        <f aca="false">Z14/Z9</f>
        <v>0.295620925385836</v>
      </c>
      <c r="AA15" s="43" t="n">
        <f aca="false">AA14/AA9</f>
        <v>0.309742607995063</v>
      </c>
      <c r="AB15" s="43" t="n">
        <f aca="false">AB14/AB9</f>
        <v>0.313760278069223</v>
      </c>
      <c r="AC15" s="43" t="n">
        <f aca="false">AC14/AC9</f>
        <v>0.29975947206364</v>
      </c>
      <c r="AD15" s="43" t="n">
        <f aca="false">AD14/AD9</f>
        <v>0.269316695179632</v>
      </c>
      <c r="AE15" s="43" t="n">
        <f aca="false">AE14/AE9</f>
        <v>0.268296213171701</v>
      </c>
      <c r="AF15" s="43" t="n">
        <f aca="false">AF14/AF9</f>
        <v>0.254459694116076</v>
      </c>
      <c r="AG15" s="43" t="n">
        <f aca="false">AG14/AG9</f>
        <v>0.266112037560083</v>
      </c>
      <c r="AH15" s="43" t="n">
        <f aca="false">AH14/AH9</f>
        <v>0.262227767026533</v>
      </c>
      <c r="AI15" s="43" t="n">
        <f aca="false">AI14/AI9</f>
        <v>0.249442664664653</v>
      </c>
      <c r="AJ15" s="43" t="n">
        <f aca="false">AJ14/AJ9</f>
        <v>0.259372280761501</v>
      </c>
      <c r="AK15" s="43" t="n">
        <f aca="false">AK14/AK9</f>
        <v>0.268563954722563</v>
      </c>
      <c r="AL15" s="43" t="n">
        <f aca="false">AL14/AL9</f>
        <v>0.277654295323835</v>
      </c>
      <c r="AM15" s="43" t="n">
        <f aca="false">AM14/AM9</f>
        <v>0.297432737041459</v>
      </c>
      <c r="AN15" s="43" t="n">
        <f aca="false">AN14/AN9</f>
        <v>0.306275595863865</v>
      </c>
      <c r="AO15" s="43" t="n">
        <f aca="false">AO14/AO9</f>
        <v>0.297111024355086</v>
      </c>
      <c r="AP15" s="43" t="n">
        <f aca="false">AP14/AP9</f>
        <v>0.318482665075951</v>
      </c>
      <c r="AQ15" s="26"/>
      <c r="AR15" s="26"/>
      <c r="AS15" s="26"/>
      <c r="AT15" s="26"/>
      <c r="AU15" s="26"/>
      <c r="AV15" s="26"/>
      <c r="AW15" s="26"/>
    </row>
    <row r="16" customFormat="false" ht="14.25" hidden="false" customHeight="true" outlineLevel="0" collapsed="false">
      <c r="C16" s="4"/>
      <c r="G16" s="44"/>
      <c r="H16" s="21"/>
      <c r="J16" s="42"/>
      <c r="K16" s="42"/>
      <c r="L16" s="42"/>
      <c r="M16" s="42"/>
      <c r="N16" s="42"/>
      <c r="O16" s="42"/>
      <c r="P16" s="26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26"/>
      <c r="AR16" s="26"/>
      <c r="AS16" s="26"/>
      <c r="AT16" s="26"/>
      <c r="AU16" s="26"/>
      <c r="AV16" s="26"/>
      <c r="AW16" s="26"/>
    </row>
    <row r="17" customFormat="false" ht="14.25" hidden="false" customHeight="true" outlineLevel="0" collapsed="false">
      <c r="B17" s="22" t="s">
        <v>48</v>
      </c>
      <c r="G17" s="23" t="n">
        <f aca="true">OFFSET(R17,0,MATCH($G$2,$R$3:$AW$3,0)-1)*4</f>
        <v>-360.824</v>
      </c>
      <c r="H17" s="24" t="n">
        <f aca="true">SUM(OFFSET(R17,0,MATCH($G$2,$R$3:$AW$3,0)-4),OFFSET(R17,0,MATCH($G$2,$R$3:$AW$3,0)-3),OFFSET(R17,0,MATCH($G$2,$R$3:$AW$3,0)-2),OFFSET(R17,0,MATCH($G$2,$R$3:$AW$3,0)-1))</f>
        <v>-336.57</v>
      </c>
      <c r="J17" s="25" t="n">
        <f aca="false">SUM(R17:U17)</f>
        <v>-304.397</v>
      </c>
      <c r="K17" s="25" t="n">
        <f aca="false">SUM(V17:Y17)</f>
        <v>-277.388</v>
      </c>
      <c r="L17" s="25" t="n">
        <f aca="false">SUM(Z17:AC17)</f>
        <v>-258.272</v>
      </c>
      <c r="M17" s="25" t="n">
        <f aca="false">SUM(AD17:AG17)</f>
        <v>-266.911</v>
      </c>
      <c r="N17" s="25" t="n">
        <f aca="false">SUM(AH17:AK17)</f>
        <v>-301.392</v>
      </c>
      <c r="O17" s="25" t="n">
        <f aca="false">SUM(AL17:AO17)</f>
        <v>-335.213</v>
      </c>
      <c r="P17" s="26"/>
      <c r="R17" s="27" t="n">
        <v>-76.796</v>
      </c>
      <c r="S17" s="27" t="n">
        <v>-92.588</v>
      </c>
      <c r="T17" s="27" t="n">
        <v>-70.032</v>
      </c>
      <c r="U17" s="27" t="n">
        <v>-64.981</v>
      </c>
      <c r="V17" s="27" t="n">
        <v>-72.796</v>
      </c>
      <c r="W17" s="27" t="n">
        <v>-69.15</v>
      </c>
      <c r="X17" s="27" t="n">
        <v>-64.656</v>
      </c>
      <c r="Y17" s="27" t="n">
        <v>-70.786</v>
      </c>
      <c r="Z17" s="27" t="n">
        <v>-72.08</v>
      </c>
      <c r="AA17" s="27" t="n">
        <v>-65.612</v>
      </c>
      <c r="AB17" s="27" t="n">
        <v>-61.72</v>
      </c>
      <c r="AC17" s="27" t="n">
        <v>-58.86</v>
      </c>
      <c r="AD17" s="27" t="n">
        <v>-69.629</v>
      </c>
      <c r="AE17" s="27" t="n">
        <v>-62.74</v>
      </c>
      <c r="AF17" s="27" t="n">
        <v>-66.065</v>
      </c>
      <c r="AG17" s="27" t="n">
        <v>-68.477</v>
      </c>
      <c r="AH17" s="27" t="n">
        <v>-75.765</v>
      </c>
      <c r="AI17" s="27" t="n">
        <v>-69.275</v>
      </c>
      <c r="AJ17" s="27" t="n">
        <v>-75.381</v>
      </c>
      <c r="AK17" s="27" t="n">
        <v>-80.971</v>
      </c>
      <c r="AL17" s="27" t="n">
        <v>-88.849</v>
      </c>
      <c r="AM17" s="27" t="n">
        <v>-82.896</v>
      </c>
      <c r="AN17" s="27" t="n">
        <v>-79.125</v>
      </c>
      <c r="AO17" s="27" t="n">
        <v>-84.343</v>
      </c>
      <c r="AP17" s="27" t="n">
        <v>-90.206</v>
      </c>
      <c r="AQ17" s="26"/>
      <c r="AR17" s="26"/>
      <c r="AS17" s="26"/>
      <c r="AT17" s="26"/>
      <c r="AU17" s="26"/>
      <c r="AV17" s="26"/>
      <c r="AW17" s="26"/>
    </row>
    <row r="18" customFormat="false" ht="14.25" hidden="false" customHeight="true" outlineLevel="0" collapsed="false">
      <c r="B18" s="22" t="s">
        <v>49</v>
      </c>
      <c r="G18" s="23" t="n">
        <f aca="true">OFFSET(R18,0,MATCH($G$2,$R$3:$AW$3,0)-1)*4</f>
        <v>-32.176</v>
      </c>
      <c r="H18" s="24" t="n">
        <f aca="true">SUM(OFFSET(R18,0,MATCH($G$2,$R$3:$AW$3,0)-4),OFFSET(R18,0,MATCH($G$2,$R$3:$AW$3,0)-3),OFFSET(R18,0,MATCH($G$2,$R$3:$AW$3,0)-2),OFFSET(R18,0,MATCH($G$2,$R$3:$AW$3,0)-1))</f>
        <v>-33.624</v>
      </c>
      <c r="J18" s="25" t="n">
        <f aca="false">SUM(R18:U18)</f>
        <v>-39.251</v>
      </c>
      <c r="K18" s="25" t="n">
        <f aca="false">SUM(V18:Y18)</f>
        <v>-41.933</v>
      </c>
      <c r="L18" s="25" t="n">
        <f aca="false">SUM(Z18:AC18)</f>
        <v>-42</v>
      </c>
      <c r="M18" s="25" t="n">
        <f aca="false">SUM(AD18:AG18)</f>
        <v>-36.251</v>
      </c>
      <c r="N18" s="25" t="n">
        <f aca="false">SUM(AH18:AK18)</f>
        <v>-35.071</v>
      </c>
      <c r="O18" s="25" t="n">
        <f aca="false">SUM(AL18:AO18)</f>
        <v>-34.766</v>
      </c>
      <c r="P18" s="26"/>
      <c r="R18" s="27" t="n">
        <v>-8.535</v>
      </c>
      <c r="S18" s="27" t="n">
        <v>-10.552</v>
      </c>
      <c r="T18" s="27" t="n">
        <v>-10.523</v>
      </c>
      <c r="U18" s="27" t="n">
        <v>-9.641</v>
      </c>
      <c r="V18" s="27" t="n">
        <v>-9.998</v>
      </c>
      <c r="W18" s="27" t="n">
        <v>-10.579</v>
      </c>
      <c r="X18" s="27" t="n">
        <v>-10.909</v>
      </c>
      <c r="Y18" s="27" t="n">
        <v>-10.447</v>
      </c>
      <c r="Z18" s="27" t="n">
        <v>-11.406</v>
      </c>
      <c r="AA18" s="27" t="n">
        <v>-13.065</v>
      </c>
      <c r="AB18" s="27" t="n">
        <v>-9.077</v>
      </c>
      <c r="AC18" s="27" t="n">
        <v>-8.452</v>
      </c>
      <c r="AD18" s="27" t="n">
        <v>-8.26</v>
      </c>
      <c r="AE18" s="27" t="n">
        <v>-10.364</v>
      </c>
      <c r="AF18" s="27" t="n">
        <v>-9.917</v>
      </c>
      <c r="AG18" s="27" t="n">
        <v>-7.71</v>
      </c>
      <c r="AH18" s="27" t="n">
        <v>-9.59</v>
      </c>
      <c r="AI18" s="27" t="n">
        <v>-9.621</v>
      </c>
      <c r="AJ18" s="27" t="n">
        <v>-9.121</v>
      </c>
      <c r="AK18" s="27" t="n">
        <v>-6.739</v>
      </c>
      <c r="AL18" s="27" t="n">
        <v>-9.186</v>
      </c>
      <c r="AM18" s="27" t="n">
        <v>-9.758</v>
      </c>
      <c r="AN18" s="27" t="n">
        <v>-9.666</v>
      </c>
      <c r="AO18" s="27" t="n">
        <v>-6.156</v>
      </c>
      <c r="AP18" s="27" t="n">
        <v>-8.044</v>
      </c>
      <c r="AQ18" s="26"/>
      <c r="AR18" s="26"/>
      <c r="AS18" s="26"/>
      <c r="AT18" s="26"/>
      <c r="AU18" s="26"/>
      <c r="AV18" s="26"/>
      <c r="AW18" s="26"/>
    </row>
    <row r="19" customFormat="false" ht="14.25" hidden="false" customHeight="true" outlineLevel="0" collapsed="false">
      <c r="B19" s="28" t="s">
        <v>50</v>
      </c>
      <c r="C19" s="29"/>
      <c r="D19" s="29"/>
      <c r="E19" s="29"/>
      <c r="F19" s="29"/>
      <c r="G19" s="30" t="n">
        <f aca="true">OFFSET(R19,0,MATCH($G$2,$R$3:$AW$3,0)-1)*4</f>
        <v>-230.568</v>
      </c>
      <c r="H19" s="31" t="n">
        <f aca="true">SUM(OFFSET(R19,0,MATCH($G$2,$R$3:$AW$3,0)-4),OFFSET(R19,0,MATCH($G$2,$R$3:$AW$3,0)-3),OFFSET(R19,0,MATCH($G$2,$R$3:$AW$3,0)-2),OFFSET(R19,0,MATCH($G$2,$R$3:$AW$3,0)-1))</f>
        <v>-217.689</v>
      </c>
      <c r="I19" s="29"/>
      <c r="J19" s="32" t="n">
        <f aca="false">SUM(R19:U19)</f>
        <v>-224.972</v>
      </c>
      <c r="K19" s="32" t="n">
        <f aca="false">SUM(V19:Y19)</f>
        <v>-219.632</v>
      </c>
      <c r="L19" s="32" t="n">
        <f aca="false">SUM(Z19:AC19)</f>
        <v>-219.924</v>
      </c>
      <c r="M19" s="32" t="n">
        <f aca="false">SUM(AD19:AG19)</f>
        <v>-213.718</v>
      </c>
      <c r="N19" s="32" t="n">
        <f aca="false">SUM(AH19:AK19)</f>
        <v>-201.443</v>
      </c>
      <c r="O19" s="32" t="n">
        <f aca="false">SUM(AL19:AO19)</f>
        <v>-211.156</v>
      </c>
      <c r="P19" s="33"/>
      <c r="Q19" s="29"/>
      <c r="R19" s="34" t="n">
        <v>-54.218</v>
      </c>
      <c r="S19" s="34" t="n">
        <v>-55.492</v>
      </c>
      <c r="T19" s="34" t="n">
        <v>-57.93</v>
      </c>
      <c r="U19" s="34" t="n">
        <v>-57.332</v>
      </c>
      <c r="V19" s="34" t="n">
        <v>-55.223</v>
      </c>
      <c r="W19" s="34" t="n">
        <v>-55.093</v>
      </c>
      <c r="X19" s="34" t="n">
        <v>-54.455</v>
      </c>
      <c r="Y19" s="34" t="n">
        <v>-54.861</v>
      </c>
      <c r="Z19" s="34" t="n">
        <v>-55.789</v>
      </c>
      <c r="AA19" s="34" t="n">
        <v>-54.502</v>
      </c>
      <c r="AB19" s="34" t="n">
        <v>-54.779</v>
      </c>
      <c r="AC19" s="34" t="n">
        <v>-54.854</v>
      </c>
      <c r="AD19" s="34" t="n">
        <v>-54.89</v>
      </c>
      <c r="AE19" s="34" t="n">
        <v>-55.132</v>
      </c>
      <c r="AF19" s="34" t="n">
        <v>-53.462</v>
      </c>
      <c r="AG19" s="34" t="n">
        <v>-50.234</v>
      </c>
      <c r="AH19" s="34" t="n">
        <v>-49.964</v>
      </c>
      <c r="AI19" s="34" t="n">
        <v>-50.115</v>
      </c>
      <c r="AJ19" s="34" t="n">
        <v>-50.419</v>
      </c>
      <c r="AK19" s="34" t="n">
        <v>-50.945</v>
      </c>
      <c r="AL19" s="34" t="n">
        <v>-51.109</v>
      </c>
      <c r="AM19" s="34" t="n">
        <v>-51.697</v>
      </c>
      <c r="AN19" s="34" t="n">
        <v>-53.445</v>
      </c>
      <c r="AO19" s="34" t="n">
        <v>-54.905</v>
      </c>
      <c r="AP19" s="34" t="n">
        <v>-57.642</v>
      </c>
      <c r="AQ19" s="33"/>
      <c r="AR19" s="33"/>
      <c r="AS19" s="33"/>
      <c r="AT19" s="33"/>
      <c r="AU19" s="33"/>
      <c r="AV19" s="33"/>
      <c r="AW19" s="33"/>
    </row>
    <row r="20" customFormat="false" ht="14.25" hidden="false" customHeight="true" outlineLevel="0" collapsed="false">
      <c r="B20" s="35" t="s">
        <v>51</v>
      </c>
      <c r="G20" s="37" t="n">
        <f aca="false">G14+SUM(G17:G19)</f>
        <v>405.796</v>
      </c>
      <c r="H20" s="38" t="n">
        <f aca="false">H14+SUM(H17:H19)</f>
        <v>372.312</v>
      </c>
      <c r="J20" s="39" t="n">
        <f aca="false">J14+SUM(J17:J19)</f>
        <v>241.131</v>
      </c>
      <c r="K20" s="39" t="n">
        <f aca="false">K14+SUM(K17:K19)</f>
        <v>269.4</v>
      </c>
      <c r="L20" s="39" t="n">
        <f aca="false">L14+SUM(L17:L19)</f>
        <v>140.394</v>
      </c>
      <c r="M20" s="39" t="n">
        <f aca="false">M14+SUM(M17:M19)</f>
        <v>76.8189999999999</v>
      </c>
      <c r="N20" s="39" t="n">
        <f aca="false">N14+SUM(N17:N19)</f>
        <v>185.907</v>
      </c>
      <c r="O20" s="39" t="n">
        <f aca="false">O14+SUM(O17:O19)</f>
        <v>330.083</v>
      </c>
      <c r="P20" s="26"/>
      <c r="R20" s="39" t="n">
        <f aca="false">R14+SUM(R17:R19)</f>
        <v>48.8220000000001</v>
      </c>
      <c r="S20" s="39" t="n">
        <f aca="false">S14+SUM(S17:S19)</f>
        <v>55.411</v>
      </c>
      <c r="T20" s="39" t="n">
        <f aca="false">T14+SUM(T17:T19)</f>
        <v>67.9390000000001</v>
      </c>
      <c r="U20" s="39" t="n">
        <f aca="false">U14+SUM(U17:U19)</f>
        <v>68.9589999999999</v>
      </c>
      <c r="V20" s="39" t="n">
        <f aca="false">V14+SUM(V17:V19)</f>
        <v>69.949</v>
      </c>
      <c r="W20" s="39" t="n">
        <f aca="false">W14+SUM(W17:W19)</f>
        <v>72.7249999999999</v>
      </c>
      <c r="X20" s="39" t="n">
        <f aca="false">X14+SUM(X17:X19)</f>
        <v>78.275</v>
      </c>
      <c r="Y20" s="39" t="n">
        <f aca="false">Y14+SUM(Y17:Y19)</f>
        <v>48.451</v>
      </c>
      <c r="Z20" s="39" t="n">
        <f aca="false">Z14+SUM(Z17:Z19)</f>
        <v>51.0830000000001</v>
      </c>
      <c r="AA20" s="39" t="n">
        <f aca="false">AA14+SUM(AA17:AA19)</f>
        <v>34.441</v>
      </c>
      <c r="AB20" s="39" t="n">
        <f aca="false">AB14+SUM(AB17:AB19)</f>
        <v>30.227</v>
      </c>
      <c r="AC20" s="39" t="n">
        <f aca="false">AC14+SUM(AC17:AC19)</f>
        <v>24.643</v>
      </c>
      <c r="AD20" s="39" t="n">
        <f aca="false">AD14+SUM(AD17:AD19)</f>
        <v>1.03100000000001</v>
      </c>
      <c r="AE20" s="39" t="n">
        <f aca="false">AE14+SUM(AE17:AE19)</f>
        <v>21.9090000000001</v>
      </c>
      <c r="AF20" s="39" t="n">
        <f aca="false">AF14+SUM(AF17:AF19)</f>
        <v>22.9570000000001</v>
      </c>
      <c r="AG20" s="39" t="n">
        <f aca="false">AG14+SUM(AG17:AG19)</f>
        <v>30.922</v>
      </c>
      <c r="AH20" s="39" t="n">
        <f aca="false">AH14+SUM(AH17:AH19)</f>
        <v>24.8450000000001</v>
      </c>
      <c r="AI20" s="39" t="n">
        <f aca="false">AI14+SUM(AI17:AI19)</f>
        <v>45.091</v>
      </c>
      <c r="AJ20" s="39" t="n">
        <f aca="false">AJ14+SUM(AJ17:AJ19)</f>
        <v>58.53</v>
      </c>
      <c r="AK20" s="39" t="n">
        <f aca="false">AK14+SUM(AK17:AK19)</f>
        <v>57.441</v>
      </c>
      <c r="AL20" s="39" t="n">
        <f aca="false">AL14+SUM(AL17:AL19)</f>
        <v>59.2199999999999</v>
      </c>
      <c r="AM20" s="39" t="n">
        <f aca="false">AM14+SUM(AM17:AM19)</f>
        <v>86.8280000000001</v>
      </c>
      <c r="AN20" s="39" t="n">
        <f aca="false">AN14+SUM(AN17:AN19)</f>
        <v>91.9949999999999</v>
      </c>
      <c r="AO20" s="39" t="n">
        <f aca="false">AO14+SUM(AO17:AO19)</f>
        <v>92.0400000000001</v>
      </c>
      <c r="AP20" s="39" t="n">
        <f aca="false">AP14+SUM(AP17:AP19)</f>
        <v>101.449</v>
      </c>
      <c r="AQ20" s="26"/>
      <c r="AR20" s="26"/>
      <c r="AS20" s="26"/>
      <c r="AT20" s="26"/>
      <c r="AU20" s="26"/>
      <c r="AV20" s="26"/>
      <c r="AW20" s="26"/>
    </row>
    <row r="21" customFormat="false" ht="14.25" hidden="false" customHeight="true" outlineLevel="0" collapsed="false">
      <c r="B21" s="35"/>
      <c r="C21" s="4" t="s">
        <v>52</v>
      </c>
      <c r="G21" s="40" t="n">
        <f aca="false">G20/G9</f>
        <v>0.125552274566781</v>
      </c>
      <c r="H21" s="40" t="n">
        <f aca="false">H20/H9</f>
        <v>0.118223635200866</v>
      </c>
      <c r="J21" s="43" t="n">
        <f aca="false">J20/J9</f>
        <v>0.0811698399399199</v>
      </c>
      <c r="K21" s="43" t="n">
        <f aca="false">K20/K9</f>
        <v>0.0949126602708075</v>
      </c>
      <c r="L21" s="43" t="n">
        <f aca="false">L20/L9</f>
        <v>0.0646557441070494</v>
      </c>
      <c r="M21" s="43" t="n">
        <f aca="false">M20/M9</f>
        <v>0.0341925346959486</v>
      </c>
      <c r="N21" s="43" t="n">
        <f aca="false">N20/N9</f>
        <v>0.0667588591308245</v>
      </c>
      <c r="O21" s="43" t="n">
        <f aca="false">O20/O9</f>
        <v>0.106766311730991</v>
      </c>
      <c r="P21" s="26"/>
      <c r="R21" s="43" t="n">
        <f aca="false">R20/R9</f>
        <v>0.0658255223220547</v>
      </c>
      <c r="S21" s="43" t="n">
        <f aca="false">S20/S9</f>
        <v>0.0690332651858607</v>
      </c>
      <c r="T21" s="43" t="n">
        <f aca="false">T20/T9</f>
        <v>0.0963885676992815</v>
      </c>
      <c r="U21" s="43" t="n">
        <f aca="false">U20/U9</f>
        <v>0.0955781968778628</v>
      </c>
      <c r="V21" s="43" t="n">
        <f aca="false">V20/V9</f>
        <v>0.093939064302511</v>
      </c>
      <c r="W21" s="43" t="n">
        <f aca="false">W20/W9</f>
        <v>0.0943204131551847</v>
      </c>
      <c r="X21" s="43" t="n">
        <f aca="false">X20/X9</f>
        <v>0.117387437782033</v>
      </c>
      <c r="Y21" s="43" t="n">
        <f aca="false">Y20/Y9</f>
        <v>0.0738664516020838</v>
      </c>
      <c r="Z21" s="43" t="n">
        <f aca="false">Z20/Z9</f>
        <v>0.0793305441929664</v>
      </c>
      <c r="AA21" s="43" t="n">
        <f aca="false">AA20/AA9</f>
        <v>0.0636430328239944</v>
      </c>
      <c r="AB21" s="43" t="n">
        <f aca="false">AB20/AB9</f>
        <v>0.060871946786637</v>
      </c>
      <c r="AC21" s="43" t="n">
        <f aca="false">AC20/AC9</f>
        <v>0.0503168924934048</v>
      </c>
      <c r="AD21" s="43" t="n">
        <f aca="false">AD20/AD9</f>
        <v>0.00207507295964578</v>
      </c>
      <c r="AE21" s="43" t="n">
        <f aca="false">AE20/AE9</f>
        <v>0.0391495003788259</v>
      </c>
      <c r="AF21" s="43" t="n">
        <f aca="false">AF20/AF9</f>
        <v>0.0383306618580112</v>
      </c>
      <c r="AG21" s="43" t="n">
        <f aca="false">AG20/AG9</f>
        <v>0.0522979504994367</v>
      </c>
      <c r="AH21" s="43" t="n">
        <f aca="false">AH20/AH9</f>
        <v>0.0406773611534067</v>
      </c>
      <c r="AI21" s="43" t="n">
        <f aca="false">AI20/AI9</f>
        <v>0.0646036185247376</v>
      </c>
      <c r="AJ21" s="43" t="n">
        <f aca="false">AJ20/AJ9</f>
        <v>0.0784749605479974</v>
      </c>
      <c r="AK21" s="43" t="n">
        <f aca="false">AK20/AK9</f>
        <v>0.078668520129012</v>
      </c>
      <c r="AL21" s="43" t="n">
        <f aca="false">AL20/AL9</f>
        <v>0.0789132833362648</v>
      </c>
      <c r="AM21" s="43" t="n">
        <f aca="false">AM20/AM9</f>
        <v>0.11171209189345</v>
      </c>
      <c r="AN21" s="43" t="n">
        <f aca="false">AN20/AN9</f>
        <v>0.120290753322559</v>
      </c>
      <c r="AO21" s="43" t="n">
        <f aca="false">AO20/AO9</f>
        <v>0.115168623682393</v>
      </c>
      <c r="AP21" s="43" t="n">
        <f aca="false">AP20/AP9</f>
        <v>0.125552274566781</v>
      </c>
      <c r="AQ21" s="26"/>
      <c r="AR21" s="26"/>
      <c r="AS21" s="26"/>
      <c r="AT21" s="26"/>
      <c r="AU21" s="26"/>
      <c r="AV21" s="26"/>
      <c r="AW21" s="26"/>
    </row>
    <row r="22" customFormat="false" ht="14.25" hidden="false" customHeight="true" outlineLevel="0" collapsed="false">
      <c r="B22" s="28" t="s">
        <v>53</v>
      </c>
      <c r="C22" s="48"/>
      <c r="D22" s="29"/>
      <c r="E22" s="29"/>
      <c r="F22" s="29"/>
      <c r="G22" s="30" t="n">
        <f aca="true">OFFSET(R22,0,MATCH($G$2,$R$3:$AW$3,0)-1)*4</f>
        <v>230.568</v>
      </c>
      <c r="H22" s="31" t="n">
        <f aca="true">SUM(OFFSET(R22,0,MATCH($G$2,$R$3:$AW$3,0)-4),OFFSET(R22,0,MATCH($G$2,$R$3:$AW$3,0)-3),OFFSET(R22,0,MATCH($G$2,$R$3:$AW$3,0)-2),OFFSET(R22,0,MATCH($G$2,$R$3:$AW$3,0)-1))</f>
        <v>217.689</v>
      </c>
      <c r="I22" s="29"/>
      <c r="J22" s="32" t="n">
        <f aca="false">SUM(R22:U22)</f>
        <v>224.972</v>
      </c>
      <c r="K22" s="32" t="n">
        <f aca="false">SUM(V22:Y22)</f>
        <v>219.632</v>
      </c>
      <c r="L22" s="32" t="n">
        <f aca="false">SUM(Z22:AC22)</f>
        <v>219.924</v>
      </c>
      <c r="M22" s="32" t="n">
        <f aca="false">SUM(AD22:AG22)</f>
        <v>213.718</v>
      </c>
      <c r="N22" s="32" t="n">
        <f aca="false">SUM(AH22:AK22)</f>
        <v>201.443</v>
      </c>
      <c r="O22" s="32" t="n">
        <f aca="false">SUM(AL22:AO22)</f>
        <v>211.156</v>
      </c>
      <c r="P22" s="33"/>
      <c r="Q22" s="29"/>
      <c r="R22" s="32" t="n">
        <f aca="false">-R19</f>
        <v>54.218</v>
      </c>
      <c r="S22" s="32" t="n">
        <f aca="false">-S19</f>
        <v>55.492</v>
      </c>
      <c r="T22" s="32" t="n">
        <f aca="false">-T19</f>
        <v>57.93</v>
      </c>
      <c r="U22" s="32" t="n">
        <f aca="false">-U19</f>
        <v>57.332</v>
      </c>
      <c r="V22" s="32" t="n">
        <f aca="false">-V19</f>
        <v>55.223</v>
      </c>
      <c r="W22" s="32" t="n">
        <f aca="false">-W19</f>
        <v>55.093</v>
      </c>
      <c r="X22" s="32" t="n">
        <f aca="false">-X19</f>
        <v>54.455</v>
      </c>
      <c r="Y22" s="32" t="n">
        <f aca="false">-Y19</f>
        <v>54.861</v>
      </c>
      <c r="Z22" s="32" t="n">
        <f aca="false">-Z19</f>
        <v>55.789</v>
      </c>
      <c r="AA22" s="32" t="n">
        <f aca="false">-AA19</f>
        <v>54.502</v>
      </c>
      <c r="AB22" s="32" t="n">
        <f aca="false">-AB19</f>
        <v>54.779</v>
      </c>
      <c r="AC22" s="32" t="n">
        <f aca="false">-AC19</f>
        <v>54.854</v>
      </c>
      <c r="AD22" s="32" t="n">
        <f aca="false">-AD19</f>
        <v>54.89</v>
      </c>
      <c r="AE22" s="32" t="n">
        <f aca="false">-AE19</f>
        <v>55.132</v>
      </c>
      <c r="AF22" s="32" t="n">
        <f aca="false">-AF19</f>
        <v>53.462</v>
      </c>
      <c r="AG22" s="32" t="n">
        <f aca="false">-AG19</f>
        <v>50.234</v>
      </c>
      <c r="AH22" s="32" t="n">
        <f aca="false">-AH19</f>
        <v>49.964</v>
      </c>
      <c r="AI22" s="32" t="n">
        <f aca="false">-AI19</f>
        <v>50.115</v>
      </c>
      <c r="AJ22" s="32" t="n">
        <f aca="false">-AJ19</f>
        <v>50.419</v>
      </c>
      <c r="AK22" s="32" t="n">
        <f aca="false">-AK19</f>
        <v>50.945</v>
      </c>
      <c r="AL22" s="32" t="n">
        <f aca="false">-AL19</f>
        <v>51.109</v>
      </c>
      <c r="AM22" s="32" t="n">
        <f aca="false">-AM19</f>
        <v>51.697</v>
      </c>
      <c r="AN22" s="32" t="n">
        <f aca="false">-AN19</f>
        <v>53.445</v>
      </c>
      <c r="AO22" s="32" t="n">
        <f aca="false">-AO19</f>
        <v>54.905</v>
      </c>
      <c r="AP22" s="32" t="n">
        <f aca="false">-AP19</f>
        <v>57.642</v>
      </c>
      <c r="AQ22" s="33"/>
      <c r="AR22" s="33"/>
      <c r="AS22" s="33"/>
      <c r="AT22" s="33"/>
      <c r="AU22" s="33"/>
      <c r="AV22" s="33"/>
      <c r="AW22" s="33"/>
    </row>
    <row r="23" customFormat="false" ht="14.25" hidden="false" customHeight="true" outlineLevel="0" collapsed="false">
      <c r="B23" s="35" t="s">
        <v>54</v>
      </c>
      <c r="C23" s="4"/>
      <c r="G23" s="37" t="n">
        <f aca="false">G20+G22</f>
        <v>636.364</v>
      </c>
      <c r="H23" s="37" t="n">
        <f aca="false">H20+H22</f>
        <v>590.001</v>
      </c>
      <c r="J23" s="39" t="n">
        <f aca="false">J20+J22</f>
        <v>466.103</v>
      </c>
      <c r="K23" s="39" t="n">
        <f aca="false">K20+K22</f>
        <v>489.032</v>
      </c>
      <c r="L23" s="39" t="n">
        <f aca="false">L20+L22</f>
        <v>360.318</v>
      </c>
      <c r="M23" s="39" t="n">
        <f aca="false">M20+M22</f>
        <v>290.537</v>
      </c>
      <c r="N23" s="39" t="n">
        <f aca="false">N20+N22</f>
        <v>387.35</v>
      </c>
      <c r="O23" s="39" t="n">
        <f aca="false">O20+O22</f>
        <v>541.239</v>
      </c>
      <c r="P23" s="26"/>
      <c r="R23" s="39" t="n">
        <f aca="false">R20+R22</f>
        <v>103.04</v>
      </c>
      <c r="S23" s="39" t="n">
        <f aca="false">S20+S22</f>
        <v>110.903</v>
      </c>
      <c r="T23" s="39" t="n">
        <f aca="false">T20+T22</f>
        <v>125.869</v>
      </c>
      <c r="U23" s="39" t="n">
        <f aca="false">U20+U22</f>
        <v>126.291</v>
      </c>
      <c r="V23" s="39" t="n">
        <f aca="false">V20+V22</f>
        <v>125.172</v>
      </c>
      <c r="W23" s="39" t="n">
        <f aca="false">W20+W22</f>
        <v>127.818</v>
      </c>
      <c r="X23" s="39" t="n">
        <f aca="false">X20+X22</f>
        <v>132.73</v>
      </c>
      <c r="Y23" s="39" t="n">
        <f aca="false">Y20+Y22</f>
        <v>103.312</v>
      </c>
      <c r="Z23" s="39" t="n">
        <f aca="false">Z20+Z22</f>
        <v>106.872</v>
      </c>
      <c r="AA23" s="39" t="n">
        <f aca="false">AA20+AA22</f>
        <v>88.943</v>
      </c>
      <c r="AB23" s="39" t="n">
        <f aca="false">AB20+AB22</f>
        <v>85.006</v>
      </c>
      <c r="AC23" s="39" t="n">
        <f aca="false">AC20+AC22</f>
        <v>79.497</v>
      </c>
      <c r="AD23" s="39" t="n">
        <f aca="false">AD20+AD22</f>
        <v>55.921</v>
      </c>
      <c r="AE23" s="39" t="n">
        <f aca="false">AE20+AE22</f>
        <v>77.0410000000001</v>
      </c>
      <c r="AF23" s="39" t="n">
        <f aca="false">AF20+AF22</f>
        <v>76.4190000000001</v>
      </c>
      <c r="AG23" s="39" t="n">
        <f aca="false">AG20+AG22</f>
        <v>81.156</v>
      </c>
      <c r="AH23" s="39" t="n">
        <f aca="false">AH20+AH22</f>
        <v>74.8090000000001</v>
      </c>
      <c r="AI23" s="39" t="n">
        <f aca="false">AI20+AI22</f>
        <v>95.206</v>
      </c>
      <c r="AJ23" s="39" t="n">
        <f aca="false">AJ20+AJ22</f>
        <v>108.949</v>
      </c>
      <c r="AK23" s="39" t="n">
        <f aca="false">AK20+AK22</f>
        <v>108.386</v>
      </c>
      <c r="AL23" s="39" t="n">
        <f aca="false">AL20+AL22</f>
        <v>110.329</v>
      </c>
      <c r="AM23" s="39" t="n">
        <f aca="false">AM20+AM22</f>
        <v>138.525</v>
      </c>
      <c r="AN23" s="39" t="n">
        <f aca="false">AN20+AN22</f>
        <v>145.44</v>
      </c>
      <c r="AO23" s="39" t="n">
        <f aca="false">AO20+AO22</f>
        <v>146.945</v>
      </c>
      <c r="AP23" s="39" t="n">
        <f aca="false">AP20+AP22</f>
        <v>159.091</v>
      </c>
      <c r="AQ23" s="26"/>
      <c r="AR23" s="26"/>
      <c r="AS23" s="26"/>
      <c r="AT23" s="26"/>
      <c r="AU23" s="26"/>
      <c r="AV23" s="26"/>
      <c r="AW23" s="26"/>
    </row>
    <row r="24" customFormat="false" ht="14.25" hidden="false" customHeight="true" outlineLevel="0" collapsed="false">
      <c r="B24" s="35"/>
      <c r="C24" s="4" t="s">
        <v>52</v>
      </c>
      <c r="G24" s="40" t="n">
        <f aca="false">G23/G9</f>
        <v>0.196889441129078</v>
      </c>
      <c r="H24" s="40" t="n">
        <f aca="false">H23/H9</f>
        <v>0.187348414749312</v>
      </c>
      <c r="J24" s="43" t="n">
        <f aca="false">J23/J9</f>
        <v>0.156900215673292</v>
      </c>
      <c r="K24" s="43" t="n">
        <f aca="false">K23/K9</f>
        <v>0.172291492492775</v>
      </c>
      <c r="L24" s="43" t="n">
        <f aca="false">L23/L9</f>
        <v>0.16593749309204</v>
      </c>
      <c r="M24" s="43" t="n">
        <f aca="false">M23/M9</f>
        <v>0.129319523203333</v>
      </c>
      <c r="N24" s="43" t="n">
        <f aca="false">N23/N9</f>
        <v>0.139096667066463</v>
      </c>
      <c r="O24" s="43" t="n">
        <f aca="false">O23/O9</f>
        <v>0.175065337490782</v>
      </c>
      <c r="P24" s="26"/>
      <c r="R24" s="43" t="n">
        <f aca="false">R23/R9</f>
        <v>0.138926340995136</v>
      </c>
      <c r="S24" s="43" t="n">
        <f aca="false">S23/S9</f>
        <v>0.138167443448187</v>
      </c>
      <c r="T24" s="43" t="n">
        <f aca="false">T23/T9</f>
        <v>0.178576850229483</v>
      </c>
      <c r="U24" s="43" t="n">
        <f aca="false">U23/U9</f>
        <v>0.175041199290915</v>
      </c>
      <c r="V24" s="43" t="n">
        <f aca="false">V23/V9</f>
        <v>0.168101624853449</v>
      </c>
      <c r="W24" s="43" t="n">
        <f aca="false">W23/W9</f>
        <v>0.165773070727665</v>
      </c>
      <c r="X24" s="43" t="n">
        <f aca="false">X23/X9</f>
        <v>0.199052502290761</v>
      </c>
      <c r="Y24" s="43" t="n">
        <f aca="false">Y23/Y9</f>
        <v>0.157505332148242</v>
      </c>
      <c r="Z24" s="43" t="n">
        <f aca="false">Z23/Z9</f>
        <v>0.165969381574902</v>
      </c>
      <c r="AA24" s="43" t="n">
        <f aca="false">AA23/AA9</f>
        <v>0.164356501508799</v>
      </c>
      <c r="AB24" s="43" t="n">
        <f aca="false">AB23/AB9</f>
        <v>0.171187372499582</v>
      </c>
      <c r="AC24" s="43" t="n">
        <f aca="false">AC23/AC9</f>
        <v>0.16231960404773</v>
      </c>
      <c r="AD24" s="43" t="n">
        <f aca="false">AD23/AD9</f>
        <v>0.112551071752038</v>
      </c>
      <c r="AE24" s="43" t="n">
        <f aca="false">AE23/AE9</f>
        <v>0.13766564693437</v>
      </c>
      <c r="AF24" s="43" t="n">
        <f aca="false">AF23/AF9</f>
        <v>0.127594670406732</v>
      </c>
      <c r="AG24" s="43" t="n">
        <f aca="false">AG23/AG9</f>
        <v>0.137258019233306</v>
      </c>
      <c r="AH24" s="43" t="n">
        <f aca="false">AH23/AH9</f>
        <v>0.122480688690891</v>
      </c>
      <c r="AI24" s="43" t="n">
        <f aca="false">AI23/AI9</f>
        <v>0.136405316033492</v>
      </c>
      <c r="AJ24" s="43" t="n">
        <f aca="false">AJ23/AJ9</f>
        <v>0.146074978246092</v>
      </c>
      <c r="AK24" s="43" t="n">
        <f aca="false">AK23/AK9</f>
        <v>0.148440421000733</v>
      </c>
      <c r="AL24" s="43" t="n">
        <f aca="false">AL23/AL9</f>
        <v>0.147018298500621</v>
      </c>
      <c r="AM24" s="43" t="n">
        <f aca="false">AM23/AM9</f>
        <v>0.178224968092552</v>
      </c>
      <c r="AN24" s="43" t="n">
        <f aca="false">AN23/AN9</f>
        <v>0.190174326465927</v>
      </c>
      <c r="AO24" s="43" t="n">
        <f aca="false">AO23/AO9</f>
        <v>0.183870636755859</v>
      </c>
      <c r="AP24" s="43" t="n">
        <f aca="false">AP23/AP9</f>
        <v>0.196889441129078</v>
      </c>
      <c r="AQ24" s="26"/>
      <c r="AR24" s="26"/>
      <c r="AS24" s="26"/>
      <c r="AT24" s="26"/>
      <c r="AU24" s="26"/>
      <c r="AV24" s="26"/>
      <c r="AW24" s="26"/>
    </row>
    <row r="25" customFormat="false" ht="14.25" hidden="false" customHeight="true" outlineLevel="0" collapsed="false">
      <c r="C25" s="4"/>
      <c r="G25" s="44"/>
      <c r="H25" s="21"/>
      <c r="J25" s="42"/>
      <c r="K25" s="42"/>
      <c r="L25" s="42"/>
      <c r="M25" s="42"/>
      <c r="N25" s="42"/>
      <c r="O25" s="42"/>
      <c r="P25" s="26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26"/>
      <c r="AR25" s="26"/>
      <c r="AS25" s="26"/>
      <c r="AT25" s="26"/>
      <c r="AU25" s="26"/>
      <c r="AV25" s="26"/>
      <c r="AW25" s="26"/>
    </row>
    <row r="26" customFormat="false" ht="14.25" hidden="false" customHeight="true" outlineLevel="0" collapsed="false">
      <c r="B26" s="22" t="s">
        <v>55</v>
      </c>
      <c r="G26" s="23" t="n">
        <f aca="true">OFFSET(R26,0,MATCH($G$2,$R$3:$AW$3,0)-1)*4</f>
        <v>0</v>
      </c>
      <c r="H26" s="24" t="n">
        <f aca="true">SUM(OFFSET(R26,0,MATCH($G$2,$R$3:$AW$3,0)-4),OFFSET(R26,0,MATCH($G$2,$R$3:$AW$3,0)-3),OFFSET(R26,0,MATCH($G$2,$R$3:$AW$3,0)-2),OFFSET(R26,0,MATCH($G$2,$R$3:$AW$3,0)-1))</f>
        <v>0</v>
      </c>
      <c r="J26" s="25" t="n">
        <f aca="false">SUM(R26:U26)</f>
        <v>-87.81</v>
      </c>
      <c r="K26" s="25" t="n">
        <f aca="false">SUM(V26:Y26)</f>
        <v>-35.525</v>
      </c>
      <c r="L26" s="25" t="n">
        <f aca="false">SUM(Z26:AC26)</f>
        <v>-561.274</v>
      </c>
      <c r="M26" s="25" t="n">
        <f aca="false">SUM(AD26:AG26)</f>
        <v>-340.713</v>
      </c>
      <c r="N26" s="25" t="n">
        <f aca="false">SUM(AH26:AK26)</f>
        <v>0</v>
      </c>
      <c r="O26" s="25" t="n">
        <f aca="false">SUM(AL26:AO26)</f>
        <v>0</v>
      </c>
      <c r="P26" s="26"/>
      <c r="R26" s="27" t="n">
        <v>0</v>
      </c>
      <c r="S26" s="27" t="n">
        <v>0</v>
      </c>
      <c r="T26" s="27" t="n">
        <v>0</v>
      </c>
      <c r="U26" s="25" t="n">
        <f aca="false">-82.705-2.702-2.403</f>
        <v>-87.81</v>
      </c>
      <c r="V26" s="27" t="n">
        <v>0</v>
      </c>
      <c r="W26" s="27" t="n">
        <v>0</v>
      </c>
      <c r="X26" s="27" t="n">
        <v>0</v>
      </c>
      <c r="Y26" s="27" t="n">
        <v>-35.525</v>
      </c>
      <c r="Z26" s="27" t="n">
        <v>-561.274</v>
      </c>
      <c r="AA26" s="27" t="n">
        <v>0</v>
      </c>
      <c r="AB26" s="27" t="n">
        <v>0</v>
      </c>
      <c r="AC26" s="27" t="n">
        <v>0</v>
      </c>
      <c r="AD26" s="27" t="n">
        <v>0</v>
      </c>
      <c r="AE26" s="27" t="n">
        <v>0</v>
      </c>
      <c r="AF26" s="27" t="n">
        <v>-340.713</v>
      </c>
      <c r="AG26" s="27" t="n">
        <v>0</v>
      </c>
      <c r="AH26" s="27" t="n">
        <v>0</v>
      </c>
      <c r="AI26" s="27" t="n">
        <v>0</v>
      </c>
      <c r="AJ26" s="27" t="n">
        <v>0</v>
      </c>
      <c r="AK26" s="27" t="n">
        <v>0</v>
      </c>
      <c r="AL26" s="27" t="n">
        <v>0</v>
      </c>
      <c r="AM26" s="27" t="n">
        <v>0</v>
      </c>
      <c r="AN26" s="27" t="n">
        <v>0</v>
      </c>
      <c r="AO26" s="27" t="n">
        <v>0</v>
      </c>
      <c r="AP26" s="27" t="n">
        <v>0</v>
      </c>
      <c r="AQ26" s="26"/>
      <c r="AR26" s="26"/>
      <c r="AS26" s="26"/>
      <c r="AT26" s="26"/>
      <c r="AU26" s="26"/>
      <c r="AV26" s="26"/>
      <c r="AW26" s="26"/>
    </row>
    <row r="27" customFormat="false" ht="14.25" hidden="false" customHeight="true" outlineLevel="0" collapsed="false">
      <c r="B27" s="22" t="s">
        <v>56</v>
      </c>
      <c r="G27" s="23" t="n">
        <f aca="true">OFFSET(R27,0,MATCH($G$2,$R$3:$AW$3,0)-1)*4</f>
        <v>0.296</v>
      </c>
      <c r="H27" s="24" t="n">
        <f aca="true">SUM(OFFSET(R27,0,MATCH($G$2,$R$3:$AW$3,0)-4),OFFSET(R27,0,MATCH($G$2,$R$3:$AW$3,0)-3),OFFSET(R27,0,MATCH($G$2,$R$3:$AW$3,0)-2),OFFSET(R27,0,MATCH($G$2,$R$3:$AW$3,0)-1))</f>
        <v>2.853</v>
      </c>
      <c r="J27" s="25" t="n">
        <f aca="false">SUM(R27:U27)</f>
        <v>1.968</v>
      </c>
      <c r="K27" s="25" t="n">
        <f aca="false">SUM(V27:Y27)</f>
        <v>8.152</v>
      </c>
      <c r="L27" s="25" t="n">
        <f aca="false">SUM(Z27:AC27)</f>
        <v>0.118</v>
      </c>
      <c r="M27" s="25" t="n">
        <f aca="false">SUM(AD27:AG27)</f>
        <v>5.761</v>
      </c>
      <c r="N27" s="25" t="n">
        <f aca="false">SUM(AH27:AK27)</f>
        <v>8.279</v>
      </c>
      <c r="O27" s="25" t="n">
        <f aca="false">SUM(AL27:AO27)</f>
        <v>5.009</v>
      </c>
      <c r="P27" s="26"/>
      <c r="R27" s="27" t="n">
        <v>1.898</v>
      </c>
      <c r="S27" s="27" t="n">
        <v>0.442</v>
      </c>
      <c r="T27" s="27" t="n">
        <v>0.018</v>
      </c>
      <c r="U27" s="27" t="n">
        <v>-0.39</v>
      </c>
      <c r="V27" s="27" t="n">
        <v>2.157</v>
      </c>
      <c r="W27" s="27" t="n">
        <v>3.118</v>
      </c>
      <c r="X27" s="27" t="n">
        <v>-0.374</v>
      </c>
      <c r="Y27" s="27" t="n">
        <v>3.251</v>
      </c>
      <c r="Z27" s="27" t="n">
        <v>0.492</v>
      </c>
      <c r="AA27" s="27" t="n">
        <v>-0.189</v>
      </c>
      <c r="AB27" s="27" t="n">
        <v>-0.316</v>
      </c>
      <c r="AC27" s="27" t="n">
        <v>0.131</v>
      </c>
      <c r="AD27" s="27" t="n">
        <v>2.133</v>
      </c>
      <c r="AE27" s="27" t="n">
        <v>2.119</v>
      </c>
      <c r="AF27" s="27" t="n">
        <v>0.83</v>
      </c>
      <c r="AG27" s="27" t="n">
        <v>0.679</v>
      </c>
      <c r="AH27" s="27" t="n">
        <v>4.849</v>
      </c>
      <c r="AI27" s="27" t="n">
        <v>2.745</v>
      </c>
      <c r="AJ27" s="27" t="n">
        <v>0.377</v>
      </c>
      <c r="AK27" s="27" t="n">
        <v>0.308</v>
      </c>
      <c r="AL27" s="27" t="n">
        <v>2.23</v>
      </c>
      <c r="AM27" s="27" t="n">
        <v>0.472</v>
      </c>
      <c r="AN27" s="27" t="n">
        <v>1.528</v>
      </c>
      <c r="AO27" s="27" t="n">
        <v>0.779</v>
      </c>
      <c r="AP27" s="27" t="n">
        <v>0.074</v>
      </c>
      <c r="AQ27" s="26"/>
      <c r="AR27" s="26"/>
      <c r="AS27" s="26"/>
      <c r="AT27" s="26"/>
      <c r="AU27" s="26"/>
      <c r="AV27" s="26"/>
      <c r="AW27" s="26"/>
    </row>
    <row r="28" customFormat="false" ht="14.25" hidden="false" customHeight="true" outlineLevel="0" collapsed="false">
      <c r="B28" s="28" t="s">
        <v>57</v>
      </c>
      <c r="C28" s="29"/>
      <c r="D28" s="29"/>
      <c r="E28" s="29"/>
      <c r="F28" s="29"/>
      <c r="G28" s="30" t="n">
        <f aca="true">OFFSET(R28,0,MATCH($G$2,$R$3:$AW$3,0)-1)*4</f>
        <v>13.076</v>
      </c>
      <c r="H28" s="31" t="n">
        <f aca="true">SUM(OFFSET(R28,0,MATCH($G$2,$R$3:$AW$3,0)-4),OFFSET(R28,0,MATCH($G$2,$R$3:$AW$3,0)-3),OFFSET(R28,0,MATCH($G$2,$R$3:$AW$3,0)-2),OFFSET(R28,0,MATCH($G$2,$R$3:$AW$3,0)-1))</f>
        <v>7.867</v>
      </c>
      <c r="I28" s="29"/>
      <c r="J28" s="32" t="n">
        <f aca="false">SUM(R28:U28)</f>
        <v>5.726</v>
      </c>
      <c r="K28" s="32" t="n">
        <f aca="false">SUM(V28:Y28)</f>
        <v>3.787</v>
      </c>
      <c r="L28" s="32" t="n">
        <f aca="false">SUM(Z28:AC28)</f>
        <v>8.147</v>
      </c>
      <c r="M28" s="32" t="n">
        <f aca="false">SUM(AD28:AG28)</f>
        <v>10.001</v>
      </c>
      <c r="N28" s="32" t="n">
        <f aca="false">SUM(AH28:AK28)</f>
        <v>16.686</v>
      </c>
      <c r="O28" s="32" t="n">
        <f aca="false">SUM(AL28:AO28)</f>
        <v>11.041</v>
      </c>
      <c r="P28" s="33"/>
      <c r="Q28" s="29"/>
      <c r="R28" s="34" t="n">
        <v>1.591</v>
      </c>
      <c r="S28" s="34" t="n">
        <v>1.541</v>
      </c>
      <c r="T28" s="34" t="n">
        <v>1.454</v>
      </c>
      <c r="U28" s="34" t="n">
        <v>1.14</v>
      </c>
      <c r="V28" s="34" t="n">
        <v>-0.568</v>
      </c>
      <c r="W28" s="34" t="n">
        <v>2.381</v>
      </c>
      <c r="X28" s="34" t="n">
        <v>0.864</v>
      </c>
      <c r="Y28" s="34" t="n">
        <v>1.11</v>
      </c>
      <c r="Z28" s="34" t="n">
        <v>2.723</v>
      </c>
      <c r="AA28" s="34" t="n">
        <v>2.29</v>
      </c>
      <c r="AB28" s="34" t="n">
        <v>1.172</v>
      </c>
      <c r="AC28" s="34" t="n">
        <v>1.962</v>
      </c>
      <c r="AD28" s="34" t="n">
        <v>3.791</v>
      </c>
      <c r="AE28" s="34" t="n">
        <v>2.523</v>
      </c>
      <c r="AF28" s="34" t="n">
        <v>1.832</v>
      </c>
      <c r="AG28" s="34" t="n">
        <v>1.855</v>
      </c>
      <c r="AH28" s="34" t="n">
        <v>4.308</v>
      </c>
      <c r="AI28" s="34" t="n">
        <v>3.749</v>
      </c>
      <c r="AJ28" s="34" t="n">
        <v>3.805</v>
      </c>
      <c r="AK28" s="34" t="n">
        <v>4.824</v>
      </c>
      <c r="AL28" s="34" t="n">
        <v>6.443</v>
      </c>
      <c r="AM28" s="34" t="n">
        <v>1.264</v>
      </c>
      <c r="AN28" s="34" t="n">
        <v>1.589</v>
      </c>
      <c r="AO28" s="34" t="n">
        <v>1.745</v>
      </c>
      <c r="AP28" s="34" t="n">
        <v>3.269</v>
      </c>
      <c r="AQ28" s="33"/>
      <c r="AR28" s="33"/>
      <c r="AS28" s="33"/>
      <c r="AT28" s="33"/>
      <c r="AU28" s="33"/>
      <c r="AV28" s="33"/>
      <c r="AW28" s="33"/>
    </row>
    <row r="29" customFormat="false" ht="14.25" hidden="false" customHeight="true" outlineLevel="0" collapsed="false">
      <c r="B29" s="35" t="s">
        <v>58</v>
      </c>
      <c r="G29" s="37" t="n">
        <f aca="false">SUM(G26:G28)</f>
        <v>13.372</v>
      </c>
      <c r="H29" s="38" t="n">
        <f aca="false">SUM(H26:H28)</f>
        <v>10.72</v>
      </c>
      <c r="J29" s="39" t="n">
        <f aca="false">SUM(J26:J28)</f>
        <v>-80.116</v>
      </c>
      <c r="K29" s="39" t="n">
        <f aca="false">SUM(K26:K28)</f>
        <v>-23.586</v>
      </c>
      <c r="L29" s="39" t="n">
        <f aca="false">SUM(L26:L28)</f>
        <v>-553.009</v>
      </c>
      <c r="M29" s="39" t="n">
        <f aca="false">SUM(M26:M28)</f>
        <v>-324.951</v>
      </c>
      <c r="N29" s="39" t="n">
        <f aca="false">SUM(N26:N28)</f>
        <v>24.965</v>
      </c>
      <c r="O29" s="39" t="n">
        <f aca="false">SUM(O26:O28)</f>
        <v>16.05</v>
      </c>
      <c r="P29" s="26"/>
      <c r="R29" s="39" t="n">
        <f aca="false">SUM(R26:R28)</f>
        <v>3.489</v>
      </c>
      <c r="S29" s="39" t="n">
        <f aca="false">SUM(S26:S28)</f>
        <v>1.983</v>
      </c>
      <c r="T29" s="39" t="n">
        <f aca="false">SUM(T26:T28)</f>
        <v>1.472</v>
      </c>
      <c r="U29" s="39" t="n">
        <f aca="false">SUM(U26:U28)</f>
        <v>-87.06</v>
      </c>
      <c r="V29" s="39" t="n">
        <f aca="false">SUM(V26:V28)</f>
        <v>1.589</v>
      </c>
      <c r="W29" s="39" t="n">
        <f aca="false">SUM(W26:W28)</f>
        <v>5.499</v>
      </c>
      <c r="X29" s="39" t="n">
        <f aca="false">SUM(X26:X28)</f>
        <v>0.49</v>
      </c>
      <c r="Y29" s="39" t="n">
        <f aca="false">SUM(Y26:Y28)</f>
        <v>-31.164</v>
      </c>
      <c r="Z29" s="39" t="n">
        <f aca="false">SUM(Z26:Z28)</f>
        <v>-558.059</v>
      </c>
      <c r="AA29" s="39" t="n">
        <f aca="false">SUM(AA26:AA28)</f>
        <v>2.101</v>
      </c>
      <c r="AB29" s="39" t="n">
        <f aca="false">SUM(AB26:AB28)</f>
        <v>0.856</v>
      </c>
      <c r="AC29" s="39" t="n">
        <f aca="false">SUM(AC26:AC28)</f>
        <v>2.093</v>
      </c>
      <c r="AD29" s="39" t="n">
        <f aca="false">SUM(AD26:AD28)</f>
        <v>5.924</v>
      </c>
      <c r="AE29" s="39" t="n">
        <f aca="false">SUM(AE26:AE28)</f>
        <v>4.642</v>
      </c>
      <c r="AF29" s="39" t="n">
        <f aca="false">SUM(AF26:AF28)</f>
        <v>-338.051</v>
      </c>
      <c r="AG29" s="39" t="n">
        <f aca="false">SUM(AG26:AG28)</f>
        <v>2.534</v>
      </c>
      <c r="AH29" s="39" t="n">
        <f aca="false">SUM(AH26:AH28)</f>
        <v>9.157</v>
      </c>
      <c r="AI29" s="39" t="n">
        <f aca="false">SUM(AI26:AI28)</f>
        <v>6.494</v>
      </c>
      <c r="AJ29" s="39" t="n">
        <f aca="false">SUM(AJ26:AJ28)</f>
        <v>4.182</v>
      </c>
      <c r="AK29" s="39" t="n">
        <f aca="false">SUM(AK26:AK28)</f>
        <v>5.132</v>
      </c>
      <c r="AL29" s="39" t="n">
        <f aca="false">SUM(AL26:AL28)</f>
        <v>8.673</v>
      </c>
      <c r="AM29" s="39" t="n">
        <f aca="false">SUM(AM26:AM28)</f>
        <v>1.736</v>
      </c>
      <c r="AN29" s="39" t="n">
        <f aca="false">SUM(AN26:AN28)</f>
        <v>3.117</v>
      </c>
      <c r="AO29" s="39" t="n">
        <f aca="false">SUM(AO26:AO28)</f>
        <v>2.524</v>
      </c>
      <c r="AP29" s="39" t="n">
        <f aca="false">SUM(AP26:AP28)</f>
        <v>3.343</v>
      </c>
      <c r="AQ29" s="26"/>
      <c r="AR29" s="26"/>
      <c r="AS29" s="26"/>
      <c r="AT29" s="26"/>
      <c r="AU29" s="26"/>
      <c r="AV29" s="26"/>
      <c r="AW29" s="26"/>
    </row>
    <row r="30" customFormat="false" ht="14.25" hidden="false" customHeight="true" outlineLevel="0" collapsed="false">
      <c r="B30" s="28" t="s">
        <v>59</v>
      </c>
      <c r="C30" s="29"/>
      <c r="D30" s="29"/>
      <c r="E30" s="29"/>
      <c r="F30" s="29"/>
      <c r="G30" s="30" t="n">
        <f aca="false">G20</f>
        <v>405.796</v>
      </c>
      <c r="H30" s="31" t="n">
        <f aca="false">H20</f>
        <v>372.312</v>
      </c>
      <c r="I30" s="29"/>
      <c r="J30" s="32" t="n">
        <f aca="false">J20</f>
        <v>241.131</v>
      </c>
      <c r="K30" s="32" t="n">
        <f aca="false">K20</f>
        <v>269.4</v>
      </c>
      <c r="L30" s="32" t="n">
        <f aca="false">L20</f>
        <v>140.394</v>
      </c>
      <c r="M30" s="32" t="n">
        <f aca="false">M20</f>
        <v>76.8189999999999</v>
      </c>
      <c r="N30" s="32" t="n">
        <f aca="false">N20</f>
        <v>185.907</v>
      </c>
      <c r="O30" s="32" t="n">
        <f aca="false">O20</f>
        <v>330.083</v>
      </c>
      <c r="P30" s="33"/>
      <c r="Q30" s="29"/>
      <c r="R30" s="32" t="n">
        <f aca="false">R20</f>
        <v>48.8220000000001</v>
      </c>
      <c r="S30" s="32" t="n">
        <f aca="false">S20</f>
        <v>55.411</v>
      </c>
      <c r="T30" s="32" t="n">
        <f aca="false">T20</f>
        <v>67.9390000000001</v>
      </c>
      <c r="U30" s="32" t="n">
        <f aca="false">U20</f>
        <v>68.9589999999999</v>
      </c>
      <c r="V30" s="32" t="n">
        <f aca="false">V20</f>
        <v>69.949</v>
      </c>
      <c r="W30" s="32" t="n">
        <f aca="false">W20</f>
        <v>72.7249999999999</v>
      </c>
      <c r="X30" s="32" t="n">
        <f aca="false">X20</f>
        <v>78.275</v>
      </c>
      <c r="Y30" s="32" t="n">
        <f aca="false">Y20</f>
        <v>48.451</v>
      </c>
      <c r="Z30" s="32" t="n">
        <f aca="false">Z20</f>
        <v>51.0830000000001</v>
      </c>
      <c r="AA30" s="32" t="n">
        <f aca="false">AA20</f>
        <v>34.441</v>
      </c>
      <c r="AB30" s="32" t="n">
        <f aca="false">AB20</f>
        <v>30.227</v>
      </c>
      <c r="AC30" s="32" t="n">
        <f aca="false">AC20</f>
        <v>24.643</v>
      </c>
      <c r="AD30" s="32" t="n">
        <f aca="false">AD20</f>
        <v>1.03100000000001</v>
      </c>
      <c r="AE30" s="32" t="n">
        <f aca="false">AE20</f>
        <v>21.9090000000001</v>
      </c>
      <c r="AF30" s="32" t="n">
        <f aca="false">AF20</f>
        <v>22.9570000000001</v>
      </c>
      <c r="AG30" s="32" t="n">
        <f aca="false">AG20</f>
        <v>30.922</v>
      </c>
      <c r="AH30" s="32" t="n">
        <f aca="false">AH20</f>
        <v>24.8450000000001</v>
      </c>
      <c r="AI30" s="32" t="n">
        <f aca="false">AI20</f>
        <v>45.091</v>
      </c>
      <c r="AJ30" s="32" t="n">
        <f aca="false">AJ20</f>
        <v>58.53</v>
      </c>
      <c r="AK30" s="32" t="n">
        <f aca="false">AK20</f>
        <v>57.441</v>
      </c>
      <c r="AL30" s="32" t="n">
        <f aca="false">AL20</f>
        <v>59.2199999999999</v>
      </c>
      <c r="AM30" s="32" t="n">
        <f aca="false">AM20</f>
        <v>86.8280000000001</v>
      </c>
      <c r="AN30" s="32" t="n">
        <f aca="false">AN20</f>
        <v>91.9949999999999</v>
      </c>
      <c r="AO30" s="32" t="n">
        <f aca="false">AO20</f>
        <v>92.0400000000001</v>
      </c>
      <c r="AP30" s="32" t="n">
        <f aca="false">AP20</f>
        <v>101.449</v>
      </c>
      <c r="AQ30" s="33"/>
      <c r="AR30" s="33"/>
      <c r="AS30" s="33"/>
      <c r="AT30" s="33"/>
      <c r="AU30" s="33"/>
      <c r="AV30" s="33"/>
      <c r="AW30" s="33"/>
    </row>
    <row r="31" customFormat="false" ht="14.25" hidden="false" customHeight="true" outlineLevel="0" collapsed="false">
      <c r="B31" s="35" t="s">
        <v>60</v>
      </c>
      <c r="G31" s="37" t="n">
        <f aca="false">SUM(G29:G30)</f>
        <v>419.168</v>
      </c>
      <c r="H31" s="38" t="n">
        <f aca="false">SUM(H29:H30)</f>
        <v>383.032</v>
      </c>
      <c r="J31" s="39" t="n">
        <f aca="false">SUM(J29:J30)</f>
        <v>161.015</v>
      </c>
      <c r="K31" s="39" t="n">
        <f aca="false">SUM(K29:K30)</f>
        <v>245.814</v>
      </c>
      <c r="L31" s="39" t="n">
        <f aca="false">SUM(L29:L30)</f>
        <v>-412.615</v>
      </c>
      <c r="M31" s="39" t="n">
        <f aca="false">SUM(M29:M30)</f>
        <v>-248.132</v>
      </c>
      <c r="N31" s="39" t="n">
        <f aca="false">SUM(N29:N30)</f>
        <v>210.872</v>
      </c>
      <c r="O31" s="39" t="n">
        <f aca="false">SUM(O29:O30)</f>
        <v>346.133</v>
      </c>
      <c r="R31" s="39" t="n">
        <f aca="false">SUM(R29:R30)</f>
        <v>52.3110000000001</v>
      </c>
      <c r="S31" s="39" t="n">
        <f aca="false">SUM(S29:S30)</f>
        <v>57.394</v>
      </c>
      <c r="T31" s="39" t="n">
        <f aca="false">SUM(T29:T30)</f>
        <v>69.411</v>
      </c>
      <c r="U31" s="39" t="n">
        <f aca="false">SUM(U29:U30)</f>
        <v>-18.1010000000001</v>
      </c>
      <c r="V31" s="39" t="n">
        <f aca="false">SUM(V29:V30)</f>
        <v>71.538</v>
      </c>
      <c r="W31" s="39" t="n">
        <f aca="false">SUM(W29:W30)</f>
        <v>78.2239999999999</v>
      </c>
      <c r="X31" s="39" t="n">
        <f aca="false">SUM(X29:X30)</f>
        <v>78.7649999999999</v>
      </c>
      <c r="Y31" s="39" t="n">
        <f aca="false">SUM(Y29:Y30)</f>
        <v>17.287</v>
      </c>
      <c r="Z31" s="39" t="n">
        <f aca="false">SUM(Z29:Z30)</f>
        <v>-506.976</v>
      </c>
      <c r="AA31" s="39" t="n">
        <f aca="false">SUM(AA29:AA30)</f>
        <v>36.542</v>
      </c>
      <c r="AB31" s="39" t="n">
        <f aca="false">SUM(AB29:AB30)</f>
        <v>31.083</v>
      </c>
      <c r="AC31" s="39" t="n">
        <f aca="false">SUM(AC29:AC30)</f>
        <v>26.736</v>
      </c>
      <c r="AD31" s="39" t="n">
        <f aca="false">SUM(AD29:AD30)</f>
        <v>6.95500000000001</v>
      </c>
      <c r="AE31" s="39" t="n">
        <f aca="false">SUM(AE29:AE30)</f>
        <v>26.551</v>
      </c>
      <c r="AF31" s="39" t="n">
        <f aca="false">SUM(AF29:AF30)</f>
        <v>-315.094</v>
      </c>
      <c r="AG31" s="39" t="n">
        <f aca="false">SUM(AG29:AG30)</f>
        <v>33.456</v>
      </c>
      <c r="AH31" s="39" t="n">
        <f aca="false">SUM(AH29:AH30)</f>
        <v>34.0020000000001</v>
      </c>
      <c r="AI31" s="39" t="n">
        <f aca="false">SUM(AI29:AI30)</f>
        <v>51.585</v>
      </c>
      <c r="AJ31" s="39" t="n">
        <f aca="false">SUM(AJ29:AJ30)</f>
        <v>62.712</v>
      </c>
      <c r="AK31" s="39" t="n">
        <f aca="false">SUM(AK29:AK30)</f>
        <v>62.573</v>
      </c>
      <c r="AL31" s="39" t="n">
        <f aca="false">SUM(AL29:AL30)</f>
        <v>67.8929999999999</v>
      </c>
      <c r="AM31" s="39" t="n">
        <f aca="false">SUM(AM29:AM30)</f>
        <v>88.5640000000001</v>
      </c>
      <c r="AN31" s="39" t="n">
        <f aca="false">SUM(AN29:AN30)</f>
        <v>95.1119999999999</v>
      </c>
      <c r="AO31" s="39" t="n">
        <f aca="false">SUM(AO29:AO30)</f>
        <v>94.5640000000001</v>
      </c>
      <c r="AP31" s="39" t="n">
        <f aca="false">SUM(AP29:AP30)</f>
        <v>104.792</v>
      </c>
    </row>
    <row r="32" customFormat="false" ht="14.25" hidden="false" customHeight="true" outlineLevel="0" collapsed="false">
      <c r="B32" s="35"/>
      <c r="C32" s="4" t="s">
        <v>52</v>
      </c>
      <c r="G32" s="40" t="n">
        <f aca="false">G31/G9</f>
        <v>0.129689538156139</v>
      </c>
      <c r="H32" s="40" t="n">
        <f aca="false">H31/H9</f>
        <v>0.12162765486543</v>
      </c>
      <c r="J32" s="43" t="n">
        <f aca="false">J31/J9</f>
        <v>0.0542010847959251</v>
      </c>
      <c r="K32" s="43" t="n">
        <f aca="false">K31/K9</f>
        <v>0.0866030462947597</v>
      </c>
      <c r="L32" s="43" t="n">
        <f aca="false">L31/L9</f>
        <v>-0.190021865996625</v>
      </c>
      <c r="M32" s="43" t="n">
        <f aca="false">M31/M9</f>
        <v>-0.110444838115247</v>
      </c>
      <c r="N32" s="43" t="n">
        <f aca="false">N31/N9</f>
        <v>0.0757237443594659</v>
      </c>
      <c r="O32" s="43" t="n">
        <f aca="false">O31/O9</f>
        <v>0.111957731171805</v>
      </c>
      <c r="P32" s="26"/>
      <c r="R32" s="43" t="n">
        <f aca="false">R31/R9</f>
        <v>0.0705296566750441</v>
      </c>
      <c r="S32" s="43" t="n">
        <f aca="false">S31/S9</f>
        <v>0.0715037667986012</v>
      </c>
      <c r="T32" s="43" t="n">
        <f aca="false">T31/T9</f>
        <v>0.0984769701139968</v>
      </c>
      <c r="U32" s="43" t="n">
        <f aca="false">U31/U9</f>
        <v>-0.0250882544944998</v>
      </c>
      <c r="V32" s="43" t="n">
        <f aca="false">V31/V9</f>
        <v>0.0960730358128498</v>
      </c>
      <c r="W32" s="43" t="n">
        <f aca="false">W31/W9</f>
        <v>0.101452320366465</v>
      </c>
      <c r="X32" s="43" t="n">
        <f aca="false">X31/X9</f>
        <v>0.118122280893029</v>
      </c>
      <c r="Y32" s="43" t="n">
        <f aca="false">Y31/Y9</f>
        <v>0.0263550669510479</v>
      </c>
      <c r="Z32" s="43" t="n">
        <f aca="false">Z31/Z9</f>
        <v>-0.787320282144221</v>
      </c>
      <c r="AA32" s="43" t="n">
        <f aca="false">AA31/AA9</f>
        <v>0.0675254407669465</v>
      </c>
      <c r="AB32" s="43" t="n">
        <f aca="false">AB31/AB9</f>
        <v>0.0625957826436312</v>
      </c>
      <c r="AC32" s="43" t="n">
        <f aca="false">AC31/AC9</f>
        <v>0.0545904491216034</v>
      </c>
      <c r="AD32" s="43" t="n">
        <f aca="false">AD31/AD9</f>
        <v>0.0139981885881051</v>
      </c>
      <c r="AE32" s="43" t="n">
        <f aca="false">AE31/AE9</f>
        <v>0.047444355495833</v>
      </c>
      <c r="AF32" s="43" t="n">
        <f aca="false">AF31/AF9</f>
        <v>-0.526103653242503</v>
      </c>
      <c r="AG32" s="43" t="n">
        <f aca="false">AG31/AG9</f>
        <v>0.0565836696173972</v>
      </c>
      <c r="AH32" s="43" t="n">
        <f aca="false">AH31/AH9</f>
        <v>0.0556696169828188</v>
      </c>
      <c r="AI32" s="43" t="n">
        <f aca="false">AI31/AI9</f>
        <v>0.0739078233261314</v>
      </c>
      <c r="AJ32" s="43" t="n">
        <f aca="false">AJ31/AJ9</f>
        <v>0.0840820387132413</v>
      </c>
      <c r="AK32" s="43" t="n">
        <f aca="false">AK31/AK9</f>
        <v>0.0856970684708251</v>
      </c>
      <c r="AL32" s="43" t="n">
        <f aca="false">AL31/AL9</f>
        <v>0.0904704414986327</v>
      </c>
      <c r="AM32" s="43" t="n">
        <f aca="false">AM31/AM9</f>
        <v>0.113945613240562</v>
      </c>
      <c r="AN32" s="43" t="n">
        <f aca="false">AN31/AN9</f>
        <v>0.124366477852222</v>
      </c>
      <c r="AO32" s="43" t="n">
        <f aca="false">AO31/AO9</f>
        <v>0.118326876682984</v>
      </c>
      <c r="AP32" s="43" t="n">
        <f aca="false">AP31/AP9</f>
        <v>0.129689538156139</v>
      </c>
      <c r="AQ32" s="26"/>
      <c r="AR32" s="26"/>
      <c r="AS32" s="26"/>
      <c r="AT32" s="26"/>
      <c r="AU32" s="26"/>
      <c r="AV32" s="26"/>
      <c r="AW32" s="26"/>
    </row>
    <row r="33" customFormat="false" ht="14.25" hidden="false" customHeight="true" outlineLevel="0" collapsed="false">
      <c r="B33" s="22"/>
      <c r="G33" s="44"/>
      <c r="H33" s="21"/>
      <c r="P33" s="26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26"/>
      <c r="AR33" s="26"/>
      <c r="AS33" s="26"/>
      <c r="AT33" s="26"/>
      <c r="AU33" s="26"/>
      <c r="AV33" s="26"/>
      <c r="AW33" s="26"/>
    </row>
    <row r="34" customFormat="false" ht="14.25" hidden="false" customHeight="true" outlineLevel="0" collapsed="false">
      <c r="B34" s="22" t="s">
        <v>61</v>
      </c>
      <c r="G34" s="23" t="n">
        <f aca="true">OFFSET(R34,0,MATCH($G$2,$R$3:$AW$3,0)-1)*4</f>
        <v>-52.604</v>
      </c>
      <c r="H34" s="24" t="n">
        <f aca="true">SUM(OFFSET(R34,0,MATCH($G$2,$R$3:$AW$3,0)-4),OFFSET(R34,0,MATCH($G$2,$R$3:$AW$3,0)-3),OFFSET(R34,0,MATCH($G$2,$R$3:$AW$3,0)-2),OFFSET(R34,0,MATCH($G$2,$R$3:$AW$3,0)-1))</f>
        <v>-51.938</v>
      </c>
      <c r="J34" s="25" t="n">
        <f aca="false">SUM(R34:U34)</f>
        <v>-46.856</v>
      </c>
      <c r="K34" s="25" t="n">
        <f aca="false">SUM(V34:Y34)</f>
        <v>-55.994</v>
      </c>
      <c r="L34" s="25" t="n">
        <f aca="false">SUM(Z34:AC34)</f>
        <v>-48.739</v>
      </c>
      <c r="M34" s="25" t="n">
        <f aca="false">SUM(AD34:AG34)</f>
        <v>-42.469</v>
      </c>
      <c r="N34" s="25" t="n">
        <f aca="false">SUM(AH34:AK34)</f>
        <v>-44.597</v>
      </c>
      <c r="O34" s="25" t="n">
        <f aca="false">SUM(AL34:AO34)</f>
        <v>-52.008</v>
      </c>
      <c r="P34" s="26"/>
      <c r="R34" s="27" t="n">
        <v>-9.78</v>
      </c>
      <c r="S34" s="27" t="n">
        <v>-12.54</v>
      </c>
      <c r="T34" s="27" t="n">
        <v>-12.345</v>
      </c>
      <c r="U34" s="27" t="n">
        <v>-12.191</v>
      </c>
      <c r="V34" s="27" t="n">
        <v>-13.201</v>
      </c>
      <c r="W34" s="27" t="n">
        <v>-15.515</v>
      </c>
      <c r="X34" s="27" t="n">
        <v>-14.31</v>
      </c>
      <c r="Y34" s="27" t="n">
        <v>-12.968</v>
      </c>
      <c r="Z34" s="27" t="n">
        <v>-12.799</v>
      </c>
      <c r="AA34" s="27" t="n">
        <v>-12.708</v>
      </c>
      <c r="AB34" s="27" t="n">
        <v>-11.809</v>
      </c>
      <c r="AC34" s="27" t="n">
        <v>-11.423</v>
      </c>
      <c r="AD34" s="27" t="n">
        <v>-10.966</v>
      </c>
      <c r="AE34" s="27" t="n">
        <v>-10.706</v>
      </c>
      <c r="AF34" s="27" t="n">
        <v>-10.5</v>
      </c>
      <c r="AG34" s="27" t="n">
        <v>-10.297</v>
      </c>
      <c r="AH34" s="27" t="n">
        <v>-10.203</v>
      </c>
      <c r="AI34" s="27" t="n">
        <v>-10.649</v>
      </c>
      <c r="AJ34" s="27" t="n">
        <v>-11.755</v>
      </c>
      <c r="AK34" s="27" t="n">
        <v>-11.99</v>
      </c>
      <c r="AL34" s="27" t="n">
        <v>-13.221</v>
      </c>
      <c r="AM34" s="27" t="n">
        <v>-12.286</v>
      </c>
      <c r="AN34" s="27" t="n">
        <v>-13.386</v>
      </c>
      <c r="AO34" s="27" t="n">
        <v>-13.115</v>
      </c>
      <c r="AP34" s="27" t="n">
        <v>-13.151</v>
      </c>
      <c r="AQ34" s="26"/>
      <c r="AR34" s="26"/>
      <c r="AS34" s="26"/>
      <c r="AT34" s="26"/>
      <c r="AU34" s="26"/>
      <c r="AV34" s="26"/>
      <c r="AW34" s="26"/>
    </row>
    <row r="35" customFormat="false" ht="14.25" hidden="false" customHeight="true" outlineLevel="0" collapsed="false">
      <c r="B35" s="22"/>
      <c r="G35" s="44"/>
      <c r="H35" s="21"/>
      <c r="J35" s="51"/>
      <c r="K35" s="51"/>
      <c r="L35" s="51"/>
      <c r="M35" s="51"/>
      <c r="N35" s="51"/>
      <c r="O35" s="51"/>
      <c r="P35" s="26"/>
      <c r="AQ35" s="26"/>
      <c r="AR35" s="26"/>
      <c r="AS35" s="26"/>
      <c r="AT35" s="26"/>
      <c r="AU35" s="26"/>
      <c r="AV35" s="26"/>
      <c r="AW35" s="26"/>
    </row>
    <row r="36" customFormat="false" ht="14.25" hidden="false" customHeight="true" outlineLevel="0" collapsed="false">
      <c r="B36" s="35" t="s">
        <v>62</v>
      </c>
      <c r="G36" s="37" t="n">
        <f aca="false">G31+G34</f>
        <v>366.564</v>
      </c>
      <c r="H36" s="38" t="n">
        <f aca="false">H31+H34</f>
        <v>331.094</v>
      </c>
      <c r="J36" s="39" t="n">
        <f aca="false">J31+J34</f>
        <v>114.159</v>
      </c>
      <c r="K36" s="39" t="n">
        <f aca="false">K31+K34</f>
        <v>189.82</v>
      </c>
      <c r="L36" s="39" t="n">
        <f aca="false">L31+L34</f>
        <v>-461.354</v>
      </c>
      <c r="M36" s="39" t="n">
        <f aca="false">M31+M34</f>
        <v>-290.601</v>
      </c>
      <c r="N36" s="39" t="n">
        <f aca="false">N31+N34</f>
        <v>166.275</v>
      </c>
      <c r="O36" s="39" t="n">
        <f aca="false">O31+O34</f>
        <v>294.125</v>
      </c>
      <c r="P36" s="26"/>
      <c r="R36" s="39" t="n">
        <f aca="false">R31+R34</f>
        <v>42.5310000000001</v>
      </c>
      <c r="S36" s="39" t="n">
        <f aca="false">S31+S34</f>
        <v>44.854</v>
      </c>
      <c r="T36" s="39" t="n">
        <f aca="false">T31+T34</f>
        <v>57.066</v>
      </c>
      <c r="U36" s="39" t="n">
        <f aca="false">U31+U34</f>
        <v>-30.2920000000001</v>
      </c>
      <c r="V36" s="39" t="n">
        <f aca="false">V31+V34</f>
        <v>58.337</v>
      </c>
      <c r="W36" s="39" t="n">
        <f aca="false">W31+W34</f>
        <v>62.7089999999999</v>
      </c>
      <c r="X36" s="39" t="n">
        <f aca="false">X31+X34</f>
        <v>64.4549999999999</v>
      </c>
      <c r="Y36" s="39" t="n">
        <f aca="false">Y31+Y34</f>
        <v>4.31900000000002</v>
      </c>
      <c r="Z36" s="39" t="n">
        <f aca="false">Z31+Z34</f>
        <v>-519.775</v>
      </c>
      <c r="AA36" s="39" t="n">
        <f aca="false">AA31+AA34</f>
        <v>23.834</v>
      </c>
      <c r="AB36" s="39" t="n">
        <f aca="false">AB31+AB34</f>
        <v>19.274</v>
      </c>
      <c r="AC36" s="39" t="n">
        <f aca="false">AC31+AC34</f>
        <v>15.313</v>
      </c>
      <c r="AD36" s="39" t="n">
        <f aca="false">AD31+AD34</f>
        <v>-4.01099999999999</v>
      </c>
      <c r="AE36" s="39" t="n">
        <f aca="false">AE31+AE34</f>
        <v>15.845</v>
      </c>
      <c r="AF36" s="39" t="n">
        <f aca="false">AF31+AF34</f>
        <v>-325.594</v>
      </c>
      <c r="AG36" s="39" t="n">
        <f aca="false">AG31+AG34</f>
        <v>23.159</v>
      </c>
      <c r="AH36" s="39" t="n">
        <f aca="false">AH31+AH34</f>
        <v>23.7990000000001</v>
      </c>
      <c r="AI36" s="39" t="n">
        <f aca="false">AI31+AI34</f>
        <v>40.936</v>
      </c>
      <c r="AJ36" s="39" t="n">
        <f aca="false">AJ31+AJ34</f>
        <v>50.957</v>
      </c>
      <c r="AK36" s="39" t="n">
        <f aca="false">AK31+AK34</f>
        <v>50.583</v>
      </c>
      <c r="AL36" s="39" t="n">
        <f aca="false">AL31+AL34</f>
        <v>54.6719999999999</v>
      </c>
      <c r="AM36" s="39" t="n">
        <f aca="false">AM31+AM34</f>
        <v>76.2780000000001</v>
      </c>
      <c r="AN36" s="39" t="n">
        <f aca="false">AN31+AN34</f>
        <v>81.7259999999999</v>
      </c>
      <c r="AO36" s="39" t="n">
        <f aca="false">AO31+AO34</f>
        <v>81.4490000000001</v>
      </c>
      <c r="AP36" s="39" t="n">
        <f aca="false">AP31+AP34</f>
        <v>91.6409999999999</v>
      </c>
      <c r="AQ36" s="26"/>
      <c r="AR36" s="26"/>
      <c r="AS36" s="26"/>
      <c r="AT36" s="26"/>
      <c r="AU36" s="26"/>
      <c r="AV36" s="26"/>
      <c r="AW36" s="26"/>
    </row>
    <row r="37" customFormat="false" ht="14.25" hidden="false" customHeight="true" outlineLevel="0" collapsed="false">
      <c r="B37" s="28" t="s">
        <v>63</v>
      </c>
      <c r="C37" s="29"/>
      <c r="D37" s="29"/>
      <c r="E37" s="29"/>
      <c r="F37" s="29"/>
      <c r="G37" s="30" t="n">
        <f aca="true">OFFSET(R37,0,MATCH($G$2,$R$3:$AW$3,0)-1)*4</f>
        <v>-86.904</v>
      </c>
      <c r="H37" s="31" t="n">
        <f aca="true">SUM(OFFSET(R37,0,MATCH($G$2,$R$3:$AW$3,0)-4),OFFSET(R37,0,MATCH($G$2,$R$3:$AW$3,0)-3),OFFSET(R37,0,MATCH($G$2,$R$3:$AW$3,0)-2),OFFSET(R37,0,MATCH($G$2,$R$3:$AW$3,0)-1))</f>
        <v>-78.895</v>
      </c>
      <c r="I37" s="29"/>
      <c r="J37" s="32" t="n">
        <f aca="false">SUM(R37:U37)</f>
        <v>-35.081</v>
      </c>
      <c r="K37" s="32" t="n">
        <f aca="false">SUM(V37:Y37)</f>
        <v>-46.801</v>
      </c>
      <c r="L37" s="32" t="n">
        <f aca="false">SUM(Z37:AC37)</f>
        <v>189.759</v>
      </c>
      <c r="M37" s="32" t="n">
        <f aca="false">SUM(AD37:AG37)</f>
        <v>43.83</v>
      </c>
      <c r="N37" s="32" t="n">
        <f aca="false">SUM(AH37:AK37)</f>
        <v>-43.414</v>
      </c>
      <c r="O37" s="32" t="n">
        <f aca="false">SUM(AL37:AO37)</f>
        <v>-71.22</v>
      </c>
      <c r="P37" s="33"/>
      <c r="Q37" s="29"/>
      <c r="R37" s="34" t="n">
        <v>-9.865</v>
      </c>
      <c r="S37" s="34" t="n">
        <v>-16.061</v>
      </c>
      <c r="T37" s="34" t="n">
        <v>-15.116</v>
      </c>
      <c r="U37" s="34" t="n">
        <v>5.961</v>
      </c>
      <c r="V37" s="34" t="n">
        <v>-13.88</v>
      </c>
      <c r="W37" s="34" t="n">
        <v>-15.269</v>
      </c>
      <c r="X37" s="34" t="n">
        <v>-16.305</v>
      </c>
      <c r="Y37" s="34" t="n">
        <v>-1.347</v>
      </c>
      <c r="Z37" s="34" t="n">
        <v>172.809</v>
      </c>
      <c r="AA37" s="34" t="n">
        <v>1.429</v>
      </c>
      <c r="AB37" s="34" t="n">
        <v>8.419</v>
      </c>
      <c r="AC37" s="34" t="n">
        <v>7.102</v>
      </c>
      <c r="AD37" s="34" t="n">
        <v>0.891</v>
      </c>
      <c r="AE37" s="34" t="n">
        <v>-5.493</v>
      </c>
      <c r="AF37" s="34" t="n">
        <v>60.442</v>
      </c>
      <c r="AG37" s="34" t="n">
        <v>-12.01</v>
      </c>
      <c r="AH37" s="34" t="n">
        <v>-6.213</v>
      </c>
      <c r="AI37" s="34" t="n">
        <v>-11.03</v>
      </c>
      <c r="AJ37" s="34" t="n">
        <v>-11.713</v>
      </c>
      <c r="AK37" s="34" t="n">
        <v>-14.458</v>
      </c>
      <c r="AL37" s="34" t="n">
        <v>-14.051</v>
      </c>
      <c r="AM37" s="34" t="n">
        <v>-18.96</v>
      </c>
      <c r="AN37" s="34" t="n">
        <v>-18.722</v>
      </c>
      <c r="AO37" s="34" t="n">
        <v>-19.487</v>
      </c>
      <c r="AP37" s="34" t="n">
        <v>-21.726</v>
      </c>
      <c r="AQ37" s="33"/>
      <c r="AR37" s="33"/>
      <c r="AS37" s="33"/>
      <c r="AT37" s="33"/>
      <c r="AU37" s="33"/>
      <c r="AV37" s="33"/>
      <c r="AW37" s="33"/>
    </row>
    <row r="38" customFormat="false" ht="14.25" hidden="false" customHeight="true" outlineLevel="0" collapsed="false">
      <c r="B38" s="35" t="s">
        <v>64</v>
      </c>
      <c r="G38" s="37" t="n">
        <f aca="false">SUM(G36:G37)</f>
        <v>279.66</v>
      </c>
      <c r="H38" s="38" t="n">
        <f aca="false">SUM(H36:H37)</f>
        <v>252.199</v>
      </c>
      <c r="J38" s="39" t="n">
        <f aca="false">SUM(J36:J37)</f>
        <v>79.0780000000002</v>
      </c>
      <c r="K38" s="39" t="n">
        <f aca="false">SUM(K36:K37)</f>
        <v>143.019</v>
      </c>
      <c r="L38" s="39" t="n">
        <f aca="false">SUM(L36:L37)</f>
        <v>-271.595</v>
      </c>
      <c r="M38" s="39" t="n">
        <f aca="false">SUM(M36:M37)</f>
        <v>-246.771</v>
      </c>
      <c r="N38" s="39" t="n">
        <f aca="false">SUM(N36:N37)</f>
        <v>122.861</v>
      </c>
      <c r="O38" s="39" t="n">
        <f aca="false">SUM(O36:O37)</f>
        <v>222.905</v>
      </c>
      <c r="P38" s="26"/>
      <c r="R38" s="39" t="n">
        <f aca="false">SUM(R36:R37)</f>
        <v>32.6660000000001</v>
      </c>
      <c r="S38" s="39" t="n">
        <f aca="false">SUM(S36:S37)</f>
        <v>28.793</v>
      </c>
      <c r="T38" s="39" t="n">
        <f aca="false">SUM(T36:T37)</f>
        <v>41.95</v>
      </c>
      <c r="U38" s="39" t="n">
        <f aca="false">SUM(U36:U37)</f>
        <v>-24.3310000000001</v>
      </c>
      <c r="V38" s="39" t="n">
        <f aca="false">SUM(V36:V37)</f>
        <v>44.457</v>
      </c>
      <c r="W38" s="39" t="n">
        <f aca="false">SUM(W36:W37)</f>
        <v>47.4399999999999</v>
      </c>
      <c r="X38" s="39" t="n">
        <f aca="false">SUM(X36:X37)</f>
        <v>48.1499999999999</v>
      </c>
      <c r="Y38" s="39" t="n">
        <f aca="false">SUM(Y36:Y37)</f>
        <v>2.97200000000002</v>
      </c>
      <c r="Z38" s="39" t="n">
        <f aca="false">SUM(Z36:Z37)</f>
        <v>-346.966</v>
      </c>
      <c r="AA38" s="39" t="n">
        <f aca="false">SUM(AA36:AA37)</f>
        <v>25.263</v>
      </c>
      <c r="AB38" s="39" t="n">
        <f aca="false">SUM(AB36:AB37)</f>
        <v>27.693</v>
      </c>
      <c r="AC38" s="39" t="n">
        <f aca="false">SUM(AC36:AC37)</f>
        <v>22.415</v>
      </c>
      <c r="AD38" s="39" t="n">
        <f aca="false">SUM(AD36:AD37)</f>
        <v>-3.11999999999999</v>
      </c>
      <c r="AE38" s="39" t="n">
        <f aca="false">SUM(AE36:AE37)</f>
        <v>10.352</v>
      </c>
      <c r="AF38" s="39" t="n">
        <f aca="false">SUM(AF36:AF37)</f>
        <v>-265.152</v>
      </c>
      <c r="AG38" s="39" t="n">
        <f aca="false">SUM(AG36:AG37)</f>
        <v>11.149</v>
      </c>
      <c r="AH38" s="39" t="n">
        <f aca="false">SUM(AH36:AH37)</f>
        <v>17.5860000000001</v>
      </c>
      <c r="AI38" s="39" t="n">
        <f aca="false">SUM(AI36:AI37)</f>
        <v>29.906</v>
      </c>
      <c r="AJ38" s="39" t="n">
        <f aca="false">SUM(AJ36:AJ37)</f>
        <v>39.244</v>
      </c>
      <c r="AK38" s="39" t="n">
        <f aca="false">SUM(AK36:AK37)</f>
        <v>36.125</v>
      </c>
      <c r="AL38" s="39" t="n">
        <f aca="false">SUM(AL36:AL37)</f>
        <v>40.6209999999999</v>
      </c>
      <c r="AM38" s="39" t="n">
        <f aca="false">SUM(AM36:AM37)</f>
        <v>57.3180000000001</v>
      </c>
      <c r="AN38" s="39" t="n">
        <f aca="false">SUM(AN36:AN37)</f>
        <v>63.0039999999999</v>
      </c>
      <c r="AO38" s="39" t="n">
        <f aca="false">SUM(AO36:AO37)</f>
        <v>61.9620000000001</v>
      </c>
      <c r="AP38" s="39" t="n">
        <f aca="false">SUM(AP36:AP37)</f>
        <v>69.9149999999999</v>
      </c>
      <c r="AQ38" s="26"/>
      <c r="AR38" s="26"/>
      <c r="AS38" s="26"/>
      <c r="AT38" s="26"/>
      <c r="AU38" s="26"/>
      <c r="AV38" s="26"/>
      <c r="AW38" s="26"/>
    </row>
    <row r="39" customFormat="false" ht="14.25" hidden="false" customHeight="true" outlineLevel="0" collapsed="false">
      <c r="B39" s="28" t="s">
        <v>65</v>
      </c>
      <c r="C39" s="29"/>
      <c r="D39" s="29"/>
      <c r="E39" s="29"/>
      <c r="F39" s="29"/>
      <c r="G39" s="30" t="n">
        <f aca="true">OFFSET(R39,0,MATCH($G$2,$R$3:$AW$3,0)-1)*4</f>
        <v>0.612</v>
      </c>
      <c r="H39" s="31" t="n">
        <f aca="true">SUM(OFFSET(R39,0,MATCH($G$2,$R$3:$AW$3,0)-4),OFFSET(R39,0,MATCH($G$2,$R$3:$AW$3,0)-3),OFFSET(R39,0,MATCH($G$2,$R$3:$AW$3,0)-2),OFFSET(R39,0,MATCH($G$2,$R$3:$AW$3,0)-1))</f>
        <v>-0.254</v>
      </c>
      <c r="I39" s="29"/>
      <c r="J39" s="32" t="n">
        <f aca="false">SUM(R39:U39)</f>
        <v>-0.626</v>
      </c>
      <c r="K39" s="32" t="n">
        <f aca="false">SUM(V39:Y39)</f>
        <v>-0.672</v>
      </c>
      <c r="L39" s="32" t="n">
        <f aca="false">SUM(Z39:AC39)</f>
        <v>-0.954</v>
      </c>
      <c r="M39" s="32" t="n">
        <f aca="false">SUM(AD39:AG39)</f>
        <v>-0.183</v>
      </c>
      <c r="N39" s="32" t="n">
        <f aca="false">SUM(AH39:AK39)</f>
        <v>-0.4709</v>
      </c>
      <c r="O39" s="32" t="n">
        <f aca="false">SUM(AL39:AO39)</f>
        <v>-0.33</v>
      </c>
      <c r="P39" s="33"/>
      <c r="Q39" s="29"/>
      <c r="R39" s="34" t="n">
        <v>-0.195</v>
      </c>
      <c r="S39" s="34" t="n">
        <v>-0.191</v>
      </c>
      <c r="T39" s="34" t="n">
        <v>-0.134</v>
      </c>
      <c r="U39" s="34" t="n">
        <v>-0.106</v>
      </c>
      <c r="V39" s="34" t="n">
        <v>-0.161</v>
      </c>
      <c r="W39" s="34" t="n">
        <v>-0.153</v>
      </c>
      <c r="X39" s="34" t="n">
        <v>-0.163</v>
      </c>
      <c r="Y39" s="34" t="n">
        <v>-0.195</v>
      </c>
      <c r="Z39" s="34" t="n">
        <v>-0.278</v>
      </c>
      <c r="AA39" s="34" t="n">
        <v>-0.261</v>
      </c>
      <c r="AB39" s="34" t="n">
        <v>-0.204</v>
      </c>
      <c r="AC39" s="34" t="n">
        <v>-0.211</v>
      </c>
      <c r="AD39" s="34" t="n">
        <v>-0.255</v>
      </c>
      <c r="AE39" s="34" t="n">
        <v>-0.162</v>
      </c>
      <c r="AF39" s="34" t="n">
        <v>0.422</v>
      </c>
      <c r="AG39" s="34" t="n">
        <v>-0.188</v>
      </c>
      <c r="AH39" s="34" t="n">
        <v>-0.152</v>
      </c>
      <c r="AI39" s="34" t="n">
        <v>-0.1499</v>
      </c>
      <c r="AJ39" s="34" t="n">
        <v>-0.153</v>
      </c>
      <c r="AK39" s="34" t="n">
        <v>-0.016</v>
      </c>
      <c r="AL39" s="34" t="n">
        <v>0.077</v>
      </c>
      <c r="AM39" s="34" t="n">
        <v>0.049</v>
      </c>
      <c r="AN39" s="34" t="n">
        <v>-0.4</v>
      </c>
      <c r="AO39" s="34" t="n">
        <v>-0.056</v>
      </c>
      <c r="AP39" s="34" t="n">
        <v>0.153</v>
      </c>
      <c r="AQ39" s="33"/>
      <c r="AR39" s="33"/>
      <c r="AS39" s="33"/>
      <c r="AT39" s="33"/>
      <c r="AU39" s="33"/>
      <c r="AV39" s="33"/>
      <c r="AW39" s="33"/>
    </row>
    <row r="40" customFormat="false" ht="14.25" hidden="false" customHeight="true" outlineLevel="0" collapsed="false">
      <c r="B40" s="35" t="s">
        <v>66</v>
      </c>
      <c r="G40" s="37" t="n">
        <f aca="false">SUM(G38:G39)</f>
        <v>280.272</v>
      </c>
      <c r="H40" s="38" t="n">
        <f aca="false">SUM(H38:H39)</f>
        <v>251.945</v>
      </c>
      <c r="J40" s="39" t="n">
        <f aca="false">SUM(J38:J39)</f>
        <v>78.4520000000002</v>
      </c>
      <c r="K40" s="39" t="n">
        <f aca="false">SUM(K38:K39)</f>
        <v>142.347</v>
      </c>
      <c r="L40" s="39" t="n">
        <f aca="false">SUM(L38:L39)</f>
        <v>-272.549</v>
      </c>
      <c r="M40" s="39" t="n">
        <f aca="false">SUM(M38:M39)</f>
        <v>-246.954</v>
      </c>
      <c r="N40" s="39" t="n">
        <f aca="false">SUM(N38:N39)</f>
        <v>122.3901</v>
      </c>
      <c r="O40" s="39" t="n">
        <f aca="false">SUM(O38:O39)</f>
        <v>222.575</v>
      </c>
      <c r="P40" s="26"/>
      <c r="R40" s="39" t="n">
        <f aca="false">SUM(R38:R39)</f>
        <v>32.4710000000001</v>
      </c>
      <c r="S40" s="39" t="n">
        <f aca="false">SUM(S38:S39)</f>
        <v>28.602</v>
      </c>
      <c r="T40" s="39" t="n">
        <f aca="false">SUM(T38:T39)</f>
        <v>41.816</v>
      </c>
      <c r="U40" s="39" t="n">
        <f aca="false">SUM(U38:U39)</f>
        <v>-24.4370000000001</v>
      </c>
      <c r="V40" s="39" t="n">
        <f aca="false">SUM(V38:V39)</f>
        <v>44.296</v>
      </c>
      <c r="W40" s="39" t="n">
        <f aca="false">SUM(W38:W39)</f>
        <v>47.2869999999999</v>
      </c>
      <c r="X40" s="39" t="n">
        <f aca="false">SUM(X38:X39)</f>
        <v>47.9869999999999</v>
      </c>
      <c r="Y40" s="39" t="n">
        <f aca="false">SUM(Y38:Y39)</f>
        <v>2.77700000000002</v>
      </c>
      <c r="Z40" s="39" t="n">
        <f aca="false">SUM(Z38:Z39)</f>
        <v>-347.244</v>
      </c>
      <c r="AA40" s="39" t="n">
        <f aca="false">SUM(AA38:AA39)</f>
        <v>25.002</v>
      </c>
      <c r="AB40" s="39" t="n">
        <f aca="false">SUM(AB38:AB39)</f>
        <v>27.489</v>
      </c>
      <c r="AC40" s="39" t="n">
        <f aca="false">SUM(AC38:AC39)</f>
        <v>22.204</v>
      </c>
      <c r="AD40" s="39" t="n">
        <f aca="false">SUM(AD38:AD39)</f>
        <v>-3.37499999999999</v>
      </c>
      <c r="AE40" s="39" t="n">
        <f aca="false">SUM(AE38:AE39)</f>
        <v>10.19</v>
      </c>
      <c r="AF40" s="39" t="n">
        <f aca="false">SUM(AF38:AF39)</f>
        <v>-264.73</v>
      </c>
      <c r="AG40" s="39" t="n">
        <f aca="false">SUM(AG38:AG39)</f>
        <v>10.961</v>
      </c>
      <c r="AH40" s="39" t="n">
        <f aca="false">SUM(AH38:AH39)</f>
        <v>17.4340000000001</v>
      </c>
      <c r="AI40" s="39" t="n">
        <f aca="false">SUM(AI38:AI39)</f>
        <v>29.7561</v>
      </c>
      <c r="AJ40" s="39" t="n">
        <f aca="false">SUM(AJ38:AJ39)</f>
        <v>39.091</v>
      </c>
      <c r="AK40" s="39" t="n">
        <f aca="false">SUM(AK38:AK39)</f>
        <v>36.109</v>
      </c>
      <c r="AL40" s="39" t="n">
        <f aca="false">SUM(AL38:AL39)</f>
        <v>40.6979999999999</v>
      </c>
      <c r="AM40" s="39" t="n">
        <f aca="false">SUM(AM38:AM39)</f>
        <v>57.3670000000001</v>
      </c>
      <c r="AN40" s="39" t="n">
        <f aca="false">SUM(AN38:AN39)</f>
        <v>62.6039999999999</v>
      </c>
      <c r="AO40" s="39" t="n">
        <f aca="false">SUM(AO38:AO39)</f>
        <v>61.9060000000001</v>
      </c>
      <c r="AP40" s="39" t="n">
        <f aca="false">SUM(AP38:AP39)</f>
        <v>70.0679999999999</v>
      </c>
      <c r="AQ40" s="26"/>
      <c r="AR40" s="26"/>
      <c r="AS40" s="26"/>
      <c r="AT40" s="26"/>
      <c r="AU40" s="26"/>
      <c r="AV40" s="26"/>
      <c r="AW40" s="26"/>
    </row>
    <row r="41" customFormat="false" ht="14.25" hidden="false" customHeight="true" outlineLevel="0" collapsed="false">
      <c r="G41" s="44"/>
      <c r="H41" s="21"/>
      <c r="P41" s="26"/>
      <c r="AQ41" s="26"/>
      <c r="AR41" s="26"/>
      <c r="AS41" s="26"/>
      <c r="AT41" s="26"/>
      <c r="AU41" s="26"/>
      <c r="AV41" s="26"/>
      <c r="AW41" s="26"/>
    </row>
    <row r="42" customFormat="false" ht="14.25" hidden="false" customHeight="true" outlineLevel="0" collapsed="false">
      <c r="B42" s="1" t="s">
        <v>67</v>
      </c>
      <c r="G42" s="52" t="n">
        <f aca="true">OFFSET(R42,0,MATCH($G$2,$R$3:$AW$3,0)-1)</f>
        <v>58.819</v>
      </c>
      <c r="H42" s="53" t="n">
        <f aca="true">AVERAGE(OFFSET(R42,0,MATCH($G$2,$R$3:$AW$3,0)-4),OFFSET(R42,0,MATCH($G$2,$R$3:$AW$3,0)-3),OFFSET(R42,0,MATCH($G$2,$R$3:$AW$3,0)-2),OFFSET(R42,0,MATCH($G$2,$R$3:$AW$3,0)-1))</f>
        <v>59.50075</v>
      </c>
      <c r="J42" s="54" t="n">
        <v>59.689</v>
      </c>
      <c r="K42" s="54" t="n">
        <v>59.75</v>
      </c>
      <c r="L42" s="54" t="n">
        <v>59.912</v>
      </c>
      <c r="M42" s="54" t="n">
        <v>60.053</v>
      </c>
      <c r="N42" s="54" t="n">
        <v>60.329</v>
      </c>
      <c r="O42" s="54" t="n">
        <v>59.857</v>
      </c>
      <c r="P42" s="55"/>
      <c r="Q42" s="56"/>
      <c r="R42" s="54" t="n">
        <v>59.493</v>
      </c>
      <c r="S42" s="54" t="n">
        <v>59.72</v>
      </c>
      <c r="T42" s="54" t="n">
        <v>59.784</v>
      </c>
      <c r="U42" s="54" t="n">
        <v>59.645</v>
      </c>
      <c r="V42" s="54" t="n">
        <v>59.823</v>
      </c>
      <c r="W42" s="54" t="n">
        <v>59.907</v>
      </c>
      <c r="X42" s="54" t="n">
        <v>59.906</v>
      </c>
      <c r="Y42" s="54" t="n">
        <v>59.998</v>
      </c>
      <c r="Z42" s="54" t="n">
        <v>59.883</v>
      </c>
      <c r="AA42" s="54" t="n">
        <v>59.937</v>
      </c>
      <c r="AB42" s="54" t="n">
        <v>59.931</v>
      </c>
      <c r="AC42" s="54" t="n">
        <v>59.975</v>
      </c>
      <c r="AD42" s="54" t="n">
        <v>60.016</v>
      </c>
      <c r="AE42" s="54" t="n">
        <v>60.274</v>
      </c>
      <c r="AF42" s="54" t="n">
        <v>60.062</v>
      </c>
      <c r="AG42" s="54" t="n">
        <v>60.311</v>
      </c>
      <c r="AH42" s="54" t="n">
        <v>60.463</v>
      </c>
      <c r="AI42" s="54" t="n">
        <v>60.467</v>
      </c>
      <c r="AJ42" s="54" t="n">
        <v>60.182</v>
      </c>
      <c r="AK42" s="54" t="n">
        <v>60.211</v>
      </c>
      <c r="AL42" s="54" t="n">
        <v>60.272</v>
      </c>
      <c r="AM42" s="54" t="n">
        <v>60.085</v>
      </c>
      <c r="AN42" s="54" t="n">
        <v>59.764</v>
      </c>
      <c r="AO42" s="54" t="n">
        <v>59.335</v>
      </c>
      <c r="AP42" s="54" t="n">
        <v>58.819</v>
      </c>
      <c r="AQ42" s="55"/>
      <c r="AR42" s="55"/>
      <c r="AS42" s="55"/>
      <c r="AT42" s="55"/>
      <c r="AU42" s="55"/>
      <c r="AV42" s="55"/>
      <c r="AW42" s="55"/>
    </row>
    <row r="43" customFormat="false" ht="15" hidden="false" customHeight="true" outlineLevel="0" collapsed="false">
      <c r="B43" s="1" t="s">
        <v>68</v>
      </c>
      <c r="G43" s="57" t="n">
        <f aca="true">OFFSET(R43,0,MATCH($G$2,$R$3:$AW$3,0)-1)*4</f>
        <v>4.76499090429963</v>
      </c>
      <c r="H43" s="58" t="n">
        <f aca="true">SUM(OFFSET(R43,0,MATCH($G$2,$R$3:$AW$3,0)-4),OFFSET(R43,0,MATCH($G$2,$R$3:$AW$3,0)-3),OFFSET(R43,0,MATCH($G$2,$R$3:$AW$3,0)-2),OFFSET(R43,0,MATCH($G$2,$R$3:$AW$3,0)-1))</f>
        <v>4.23686230012354</v>
      </c>
      <c r="J43" s="59" t="n">
        <f aca="false">J40/J42</f>
        <v>1.31434602690613</v>
      </c>
      <c r="K43" s="59" t="n">
        <f aca="false">K40/K42</f>
        <v>2.38237656903765</v>
      </c>
      <c r="L43" s="59" t="n">
        <f aca="false">L40/L42</f>
        <v>-4.54915542796101</v>
      </c>
      <c r="M43" s="59" t="n">
        <f aca="false">M40/M42</f>
        <v>-4.11226749704428</v>
      </c>
      <c r="N43" s="59" t="n">
        <f aca="false">N40/N42</f>
        <v>2.02871090188798</v>
      </c>
      <c r="O43" s="59" t="n">
        <f aca="false">O40/O42</f>
        <v>3.71844562874852</v>
      </c>
      <c r="P43" s="26"/>
      <c r="R43" s="59" t="n">
        <f aca="false">R40/R42</f>
        <v>0.54579530364917</v>
      </c>
      <c r="S43" s="59" t="n">
        <f aca="false">S40/S42</f>
        <v>0.478935030140656</v>
      </c>
      <c r="T43" s="59" t="n">
        <f aca="false">T40/T42</f>
        <v>0.699451358222937</v>
      </c>
      <c r="U43" s="59" t="n">
        <f aca="false">U40/U42</f>
        <v>-0.409707435660996</v>
      </c>
      <c r="V43" s="59" t="n">
        <f aca="false">V40/V42</f>
        <v>0.740450997108136</v>
      </c>
      <c r="W43" s="59" t="n">
        <f aca="false">W40/W42</f>
        <v>0.789340143889694</v>
      </c>
      <c r="X43" s="59" t="n">
        <f aca="false">X40/X42</f>
        <v>0.80103829332621</v>
      </c>
      <c r="Y43" s="59" t="n">
        <f aca="false">Y40/Y42</f>
        <v>0.0462848761625392</v>
      </c>
      <c r="Z43" s="59" t="n">
        <f aca="false">Z40/Z42</f>
        <v>-5.79870747958519</v>
      </c>
      <c r="AA43" s="59" t="n">
        <f aca="false">AA40/AA42</f>
        <v>0.417137994894639</v>
      </c>
      <c r="AB43" s="59" t="n">
        <f aca="false">AB40/AB42</f>
        <v>0.458677479100966</v>
      </c>
      <c r="AC43" s="59" t="n">
        <f aca="false">AC40/AC42</f>
        <v>0.370220925385577</v>
      </c>
      <c r="AD43" s="59" t="n">
        <f aca="false">AD40/AD42</f>
        <v>-0.0562350039989335</v>
      </c>
      <c r="AE43" s="59" t="n">
        <f aca="false">AE40/AE42</f>
        <v>0.169061286790325</v>
      </c>
      <c r="AF43" s="59" t="n">
        <f aca="false">AF40/AF42</f>
        <v>-4.40761213412807</v>
      </c>
      <c r="AG43" s="59" t="n">
        <f aca="false">AG40/AG42</f>
        <v>0.181741307555835</v>
      </c>
      <c r="AH43" s="59" t="n">
        <f aca="false">AH40/AH42</f>
        <v>0.288341630418604</v>
      </c>
      <c r="AI43" s="59" t="n">
        <f aca="false">AI40/AI42</f>
        <v>0.492104784427869</v>
      </c>
      <c r="AJ43" s="59" t="n">
        <f aca="false">AJ40/AJ42</f>
        <v>0.649546375992822</v>
      </c>
      <c r="AK43" s="59" t="n">
        <f aca="false">AK40/AK42</f>
        <v>0.599707694607298</v>
      </c>
      <c r="AL43" s="59" t="n">
        <f aca="false">AL40/AL42</f>
        <v>0.675238916910007</v>
      </c>
      <c r="AM43" s="59" t="n">
        <f aca="false">AM40/AM42</f>
        <v>0.954764084214032</v>
      </c>
      <c r="AN43" s="59" t="n">
        <f aca="false">AN40/AN42</f>
        <v>1.04752024630212</v>
      </c>
      <c r="AO43" s="59" t="n">
        <f aca="false">AO40/AO42</f>
        <v>1.04333024353249</v>
      </c>
      <c r="AP43" s="59" t="n">
        <f aca="false">AP40/AP42</f>
        <v>1.19124772607491</v>
      </c>
      <c r="AQ43" s="26"/>
      <c r="AR43" s="26"/>
      <c r="AS43" s="26"/>
      <c r="AT43" s="26"/>
      <c r="AU43" s="26"/>
      <c r="AV43" s="26"/>
      <c r="AW43" s="26"/>
    </row>
    <row r="44" customFormat="false" ht="14.25" hidden="false" customHeight="true" outlineLevel="0" collapsed="false">
      <c r="G44" s="44"/>
      <c r="H44" s="21"/>
      <c r="P44" s="26"/>
      <c r="AQ44" s="26"/>
      <c r="AR44" s="26"/>
      <c r="AS44" s="26"/>
      <c r="AT44" s="26"/>
      <c r="AU44" s="26"/>
      <c r="AV44" s="26"/>
      <c r="AW44" s="26"/>
    </row>
    <row r="45" customFormat="false" ht="14.25" hidden="false" customHeight="true" outlineLevel="0" collapsed="false">
      <c r="C45" s="4"/>
      <c r="G45" s="60"/>
      <c r="H45" s="21"/>
      <c r="J45" s="42"/>
      <c r="K45" s="42"/>
      <c r="L45" s="42"/>
      <c r="M45" s="42"/>
      <c r="N45" s="42"/>
      <c r="O45" s="42"/>
      <c r="P45" s="26"/>
      <c r="R45" s="61"/>
      <c r="S45" s="61"/>
      <c r="T45" s="61"/>
      <c r="U45" s="61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26"/>
      <c r="AR45" s="26"/>
      <c r="AS45" s="26"/>
      <c r="AT45" s="26"/>
      <c r="AU45" s="26"/>
      <c r="AV45" s="26"/>
      <c r="AW45" s="26"/>
    </row>
    <row r="46" customFormat="false" ht="15" hidden="false" customHeight="true" outlineLevel="0" collapsed="false">
      <c r="A46" s="16" t="s">
        <v>38</v>
      </c>
      <c r="B46" s="16" t="s">
        <v>69</v>
      </c>
      <c r="C46" s="17"/>
      <c r="D46" s="17"/>
      <c r="E46" s="17"/>
      <c r="F46" s="17"/>
      <c r="G46" s="18"/>
      <c r="H46" s="19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</row>
    <row r="47" customFormat="false" ht="14.25" hidden="false" customHeight="true" outlineLevel="0" collapsed="false">
      <c r="G47" s="44"/>
      <c r="H47" s="21"/>
      <c r="P47" s="26"/>
      <c r="AQ47" s="26"/>
      <c r="AR47" s="26"/>
      <c r="AS47" s="26"/>
      <c r="AT47" s="26"/>
      <c r="AU47" s="26"/>
      <c r="AV47" s="26"/>
      <c r="AW47" s="26"/>
      <c r="AY47" s="62"/>
    </row>
    <row r="48" customFormat="false" ht="14.25" hidden="false" customHeight="true" outlineLevel="0" collapsed="false">
      <c r="B48" s="1" t="s">
        <v>70</v>
      </c>
      <c r="G48" s="23" t="n">
        <f aca="true">OFFSET(R48,0,MATCH($G$2,$R$3:$AW$3,0)-1)</f>
        <v>75.216</v>
      </c>
      <c r="H48" s="24" t="n">
        <f aca="false">G48</f>
        <v>75.216</v>
      </c>
      <c r="J48" s="25" t="n">
        <f aca="false">U48</f>
        <v>7.8</v>
      </c>
      <c r="K48" s="25" t="n">
        <f aca="false">Y48</f>
        <v>24.737</v>
      </c>
      <c r="L48" s="25" t="n">
        <f aca="false">AC48</f>
        <v>80.338</v>
      </c>
      <c r="M48" s="25" t="n">
        <f aca="false">AG48</f>
        <v>34.813</v>
      </c>
      <c r="N48" s="25" t="n">
        <f aca="false">AK48</f>
        <v>80.577</v>
      </c>
      <c r="O48" s="25" t="n">
        <f aca="false">AO48</f>
        <v>32.577</v>
      </c>
      <c r="P48" s="26"/>
      <c r="R48" s="27" t="n">
        <v>7.01</v>
      </c>
      <c r="S48" s="27" t="n">
        <v>4.198</v>
      </c>
      <c r="T48" s="27" t="n">
        <v>3.617</v>
      </c>
      <c r="U48" s="27" t="n">
        <v>7.8</v>
      </c>
      <c r="V48" s="27" t="n">
        <v>7.289</v>
      </c>
      <c r="W48" s="27" t="n">
        <v>22.521</v>
      </c>
      <c r="X48" s="27" t="n">
        <v>9.425</v>
      </c>
      <c r="Y48" s="27" t="n">
        <v>24.737</v>
      </c>
      <c r="Z48" s="27" t="n">
        <v>322.571</v>
      </c>
      <c r="AA48" s="27" t="n">
        <v>108.471</v>
      </c>
      <c r="AB48" s="27" t="n">
        <v>119.586</v>
      </c>
      <c r="AC48" s="27" t="n">
        <v>80.338</v>
      </c>
      <c r="AD48" s="27" t="n">
        <v>52.333</v>
      </c>
      <c r="AE48" s="27" t="n">
        <v>53.052</v>
      </c>
      <c r="AF48" s="27" t="n">
        <v>54.377</v>
      </c>
      <c r="AG48" s="27" t="n">
        <v>34.813</v>
      </c>
      <c r="AH48" s="27" t="n">
        <v>32.398</v>
      </c>
      <c r="AI48" s="27" t="n">
        <v>25.104</v>
      </c>
      <c r="AJ48" s="27" t="n">
        <v>36.991</v>
      </c>
      <c r="AK48" s="27" t="n">
        <v>80.577</v>
      </c>
      <c r="AL48" s="27" t="n">
        <v>26.699</v>
      </c>
      <c r="AM48" s="27" t="n">
        <v>36.603</v>
      </c>
      <c r="AN48" s="27" t="n">
        <v>42.116</v>
      </c>
      <c r="AO48" s="27" t="n">
        <v>32.577</v>
      </c>
      <c r="AP48" s="27" t="n">
        <v>75.216</v>
      </c>
      <c r="AQ48" s="26"/>
      <c r="AR48" s="26"/>
      <c r="AS48" s="26"/>
      <c r="AT48" s="26"/>
      <c r="AU48" s="26"/>
      <c r="AV48" s="26"/>
      <c r="AW48" s="26"/>
      <c r="AY48" s="62"/>
    </row>
    <row r="49" customFormat="false" ht="14.25" hidden="false" customHeight="true" outlineLevel="0" collapsed="false">
      <c r="B49" s="1" t="s">
        <v>71</v>
      </c>
      <c r="G49" s="23" t="n">
        <f aca="true">OFFSET(R49,0,MATCH($G$2,$R$3:$AW$3,0)-1)</f>
        <v>529.141</v>
      </c>
      <c r="H49" s="24" t="n">
        <f aca="false">G49</f>
        <v>529.141</v>
      </c>
      <c r="J49" s="25" t="n">
        <f aca="false">U49</f>
        <v>417.644</v>
      </c>
      <c r="K49" s="25" t="n">
        <f aca="false">Y49</f>
        <v>379.174</v>
      </c>
      <c r="L49" s="25" t="n">
        <f aca="false">AC49</f>
        <v>315.283</v>
      </c>
      <c r="M49" s="25" t="n">
        <f aca="false">AG49</f>
        <v>417.958</v>
      </c>
      <c r="N49" s="25" t="n">
        <f aca="false">AK49</f>
        <v>483.406</v>
      </c>
      <c r="O49" s="25" t="n">
        <f aca="false">AO49</f>
        <v>526.691</v>
      </c>
      <c r="P49" s="26"/>
      <c r="R49" s="27" t="n">
        <v>485.865</v>
      </c>
      <c r="S49" s="27" t="n">
        <v>448.281</v>
      </c>
      <c r="T49" s="27" t="n">
        <v>400.87</v>
      </c>
      <c r="U49" s="27" t="n">
        <v>417.644</v>
      </c>
      <c r="V49" s="27" t="n">
        <v>439.975</v>
      </c>
      <c r="W49" s="27" t="n">
        <v>450.958</v>
      </c>
      <c r="X49" s="27" t="n">
        <v>382.465</v>
      </c>
      <c r="Y49" s="27" t="n">
        <v>379.174</v>
      </c>
      <c r="Z49" s="27" t="n">
        <v>389.616</v>
      </c>
      <c r="AA49" s="27" t="n">
        <v>348.453</v>
      </c>
      <c r="AB49" s="27" t="n">
        <v>304.021</v>
      </c>
      <c r="AC49" s="27" t="n">
        <v>315.283</v>
      </c>
      <c r="AD49" s="27" t="n">
        <v>347.275</v>
      </c>
      <c r="AE49" s="27" t="n">
        <v>352.372</v>
      </c>
      <c r="AF49" s="27" t="n">
        <v>389.579</v>
      </c>
      <c r="AG49" s="27" t="n">
        <v>417.958</v>
      </c>
      <c r="AH49" s="27" t="n">
        <v>420.823</v>
      </c>
      <c r="AI49" s="27" t="n">
        <v>445.425</v>
      </c>
      <c r="AJ49" s="27" t="n">
        <v>482.744</v>
      </c>
      <c r="AK49" s="27" t="n">
        <v>483.406</v>
      </c>
      <c r="AL49" s="27" t="n">
        <v>526.489</v>
      </c>
      <c r="AM49" s="27" t="n">
        <v>519.741</v>
      </c>
      <c r="AN49" s="27" t="n">
        <v>514.631</v>
      </c>
      <c r="AO49" s="27" t="n">
        <v>526.691</v>
      </c>
      <c r="AP49" s="27" t="n">
        <v>529.141</v>
      </c>
      <c r="AQ49" s="26"/>
      <c r="AR49" s="26"/>
      <c r="AS49" s="26"/>
      <c r="AT49" s="26"/>
      <c r="AU49" s="26"/>
      <c r="AV49" s="26"/>
      <c r="AW49" s="26"/>
      <c r="AY49" s="62"/>
    </row>
    <row r="50" customFormat="false" ht="14.25" hidden="false" customHeight="true" outlineLevel="0" collapsed="false">
      <c r="B50" s="1" t="s">
        <v>72</v>
      </c>
      <c r="G50" s="23" t="n">
        <f aca="true">OFFSET(R50,0,MATCH($G$2,$R$3:$AW$3,0)-1)</f>
        <v>55.949</v>
      </c>
      <c r="H50" s="24" t="n">
        <f aca="false">G50</f>
        <v>55.949</v>
      </c>
      <c r="J50" s="25" t="n">
        <f aca="false">U50</f>
        <v>104.239</v>
      </c>
      <c r="K50" s="25" t="n">
        <f aca="false">Y50</f>
        <v>104.175</v>
      </c>
      <c r="L50" s="25" t="n">
        <f aca="false">AC50</f>
        <v>284.899</v>
      </c>
      <c r="M50" s="25" t="n">
        <f aca="false">AG50</f>
        <v>149.964</v>
      </c>
      <c r="N50" s="25" t="n">
        <f aca="false">AK50</f>
        <v>114.556</v>
      </c>
      <c r="O50" s="25" t="n">
        <f aca="false">AO50</f>
        <v>52.025</v>
      </c>
      <c r="P50" s="26"/>
      <c r="R50" s="27" t="n">
        <v>110.64</v>
      </c>
      <c r="S50" s="27" t="n">
        <v>116.673</v>
      </c>
      <c r="T50" s="27" t="n">
        <v>111.221</v>
      </c>
      <c r="U50" s="27" t="n">
        <v>104.239</v>
      </c>
      <c r="V50" s="27" t="n">
        <v>122.18</v>
      </c>
      <c r="W50" s="27" t="n">
        <v>99.568</v>
      </c>
      <c r="X50" s="27" t="n">
        <v>99.736</v>
      </c>
      <c r="Y50" s="27" t="n">
        <v>104.175</v>
      </c>
      <c r="Z50" s="27" t="n">
        <v>253.688</v>
      </c>
      <c r="AA50" s="27" t="n">
        <v>228.409</v>
      </c>
      <c r="AB50" s="27" t="n">
        <v>257.656</v>
      </c>
      <c r="AC50" s="27" t="n">
        <v>284.899</v>
      </c>
      <c r="AD50" s="27" t="n">
        <v>171.749</v>
      </c>
      <c r="AE50" s="27" t="n">
        <v>165.478</v>
      </c>
      <c r="AF50" s="27" t="n">
        <v>150.811</v>
      </c>
      <c r="AG50" s="27" t="n">
        <v>149.964</v>
      </c>
      <c r="AH50" s="27" t="n">
        <v>125.757</v>
      </c>
      <c r="AI50" s="27" t="n">
        <v>127.181</v>
      </c>
      <c r="AJ50" s="27" t="n">
        <v>133.278</v>
      </c>
      <c r="AK50" s="27" t="n">
        <v>114.556</v>
      </c>
      <c r="AL50" s="27" t="n">
        <v>109.539</v>
      </c>
      <c r="AM50" s="27" t="n">
        <v>40.011</v>
      </c>
      <c r="AN50" s="27" t="n">
        <v>53.936</v>
      </c>
      <c r="AO50" s="27" t="n">
        <v>52.025</v>
      </c>
      <c r="AP50" s="27" t="n">
        <v>55.949</v>
      </c>
      <c r="AQ50" s="26"/>
      <c r="AR50" s="26"/>
      <c r="AS50" s="26"/>
      <c r="AT50" s="26"/>
      <c r="AU50" s="26"/>
      <c r="AV50" s="26"/>
      <c r="AW50" s="26"/>
      <c r="AY50" s="62"/>
    </row>
    <row r="51" customFormat="false" ht="14.25" hidden="false" customHeight="true" outlineLevel="0" collapsed="false">
      <c r="B51" s="1" t="s">
        <v>73</v>
      </c>
      <c r="G51" s="23" t="n">
        <f aca="true">OFFSET(R51,0,MATCH($G$2,$R$3:$AW$3,0)-1)</f>
        <v>446.803</v>
      </c>
      <c r="H51" s="24" t="n">
        <f aca="false">G51</f>
        <v>446.803</v>
      </c>
      <c r="J51" s="25" t="n">
        <f aca="false">U51</f>
        <v>507.441</v>
      </c>
      <c r="K51" s="25" t="n">
        <f aca="false">Y51</f>
        <v>351.401</v>
      </c>
      <c r="L51" s="25" t="n">
        <f aca="false">AC51</f>
        <v>309.675</v>
      </c>
      <c r="M51" s="25" t="n">
        <f aca="false">AG51</f>
        <v>331.35</v>
      </c>
      <c r="N51" s="25" t="n">
        <f aca="false">AK51</f>
        <v>461.848</v>
      </c>
      <c r="O51" s="25" t="n">
        <f aca="false">AO51</f>
        <v>454.389</v>
      </c>
      <c r="P51" s="26"/>
      <c r="R51" s="27" t="n">
        <v>372.182</v>
      </c>
      <c r="S51" s="27" t="n">
        <v>384.007</v>
      </c>
      <c r="T51" s="27" t="n">
        <v>453.173</v>
      </c>
      <c r="U51" s="27" t="n">
        <v>507.441</v>
      </c>
      <c r="V51" s="27" t="n">
        <v>491.566</v>
      </c>
      <c r="W51" s="27" t="n">
        <v>428.26</v>
      </c>
      <c r="X51" s="27" t="n">
        <v>410.261</v>
      </c>
      <c r="Y51" s="27" t="n">
        <v>351.401</v>
      </c>
      <c r="Z51" s="27" t="n">
        <v>341.498</v>
      </c>
      <c r="AA51" s="27" t="n">
        <v>335.958</v>
      </c>
      <c r="AB51" s="27" t="n">
        <v>321.433</v>
      </c>
      <c r="AC51" s="27" t="n">
        <v>309.675</v>
      </c>
      <c r="AD51" s="27" t="n">
        <v>326.475</v>
      </c>
      <c r="AE51" s="27" t="n">
        <v>325.545</v>
      </c>
      <c r="AF51" s="27" t="n">
        <v>308.82</v>
      </c>
      <c r="AG51" s="27" t="n">
        <v>331.35</v>
      </c>
      <c r="AH51" s="27" t="n">
        <v>360.457</v>
      </c>
      <c r="AI51" s="27" t="n">
        <v>370.385</v>
      </c>
      <c r="AJ51" s="27" t="n">
        <v>392.47</v>
      </c>
      <c r="AK51" s="27" t="n">
        <v>461.848</v>
      </c>
      <c r="AL51" s="27" t="n">
        <v>475.218</v>
      </c>
      <c r="AM51" s="27" t="n">
        <v>504.514</v>
      </c>
      <c r="AN51" s="27" t="n">
        <v>505.506</v>
      </c>
      <c r="AO51" s="27" t="n">
        <v>454.389</v>
      </c>
      <c r="AP51" s="27" t="n">
        <v>446.803</v>
      </c>
      <c r="AQ51" s="26"/>
      <c r="AR51" s="26"/>
      <c r="AS51" s="26"/>
      <c r="AT51" s="26"/>
      <c r="AU51" s="26"/>
      <c r="AV51" s="26"/>
      <c r="AW51" s="26"/>
      <c r="AY51" s="62"/>
    </row>
    <row r="52" customFormat="false" ht="14.25" hidden="false" customHeight="true" outlineLevel="0" collapsed="false">
      <c r="B52" s="29" t="s">
        <v>74</v>
      </c>
      <c r="C52" s="29"/>
      <c r="D52" s="29"/>
      <c r="E52" s="29"/>
      <c r="F52" s="29"/>
      <c r="G52" s="30" t="n">
        <f aca="true">OFFSET(R52,0,MATCH($G$2,$R$3:$AW$3,0)-1)</f>
        <v>68.369</v>
      </c>
      <c r="H52" s="31" t="n">
        <f aca="false">G52</f>
        <v>68.369</v>
      </c>
      <c r="I52" s="29"/>
      <c r="J52" s="32" t="n">
        <f aca="false">U52</f>
        <v>59.365</v>
      </c>
      <c r="K52" s="32" t="n">
        <f aca="false">Y52</f>
        <v>58.092</v>
      </c>
      <c r="L52" s="32" t="n">
        <f aca="false">AC52</f>
        <v>57.776</v>
      </c>
      <c r="M52" s="32" t="n">
        <f aca="false">AG52</f>
        <v>69.78</v>
      </c>
      <c r="N52" s="32" t="n">
        <f aca="false">AK52</f>
        <v>71.372</v>
      </c>
      <c r="O52" s="32" t="n">
        <f aca="false">AO52</f>
        <v>69.479</v>
      </c>
      <c r="P52" s="33"/>
      <c r="Q52" s="29"/>
      <c r="R52" s="34" t="n">
        <v>80.957</v>
      </c>
      <c r="S52" s="34" t="n">
        <v>82.173</v>
      </c>
      <c r="T52" s="34" t="n">
        <v>85.639</v>
      </c>
      <c r="U52" s="34" t="n">
        <v>59.365</v>
      </c>
      <c r="V52" s="34" t="n">
        <v>57.242</v>
      </c>
      <c r="W52" s="34" t="n">
        <v>52.953</v>
      </c>
      <c r="X52" s="34" t="n">
        <v>56.646</v>
      </c>
      <c r="Y52" s="34" t="n">
        <v>58.092</v>
      </c>
      <c r="Z52" s="34" t="n">
        <v>60.64</v>
      </c>
      <c r="AA52" s="34" t="n">
        <v>57.023</v>
      </c>
      <c r="AB52" s="34" t="n">
        <v>58.023</v>
      </c>
      <c r="AC52" s="34" t="n">
        <v>57.776</v>
      </c>
      <c r="AD52" s="34" t="n">
        <v>60.685</v>
      </c>
      <c r="AE52" s="34" t="n">
        <v>66.696</v>
      </c>
      <c r="AF52" s="34" t="n">
        <v>75.004</v>
      </c>
      <c r="AG52" s="34" t="n">
        <v>69.78</v>
      </c>
      <c r="AH52" s="34" t="n">
        <v>75.896</v>
      </c>
      <c r="AI52" s="34" t="n">
        <v>84.16</v>
      </c>
      <c r="AJ52" s="34" t="n">
        <v>80.899</v>
      </c>
      <c r="AK52" s="34" t="n">
        <v>71.372</v>
      </c>
      <c r="AL52" s="34" t="n">
        <v>62.421</v>
      </c>
      <c r="AM52" s="34" t="n">
        <v>67.787</v>
      </c>
      <c r="AN52" s="34" t="n">
        <v>79.382</v>
      </c>
      <c r="AO52" s="34" t="n">
        <v>69.479</v>
      </c>
      <c r="AP52" s="34" t="n">
        <v>68.369</v>
      </c>
      <c r="AQ52" s="33"/>
      <c r="AR52" s="33"/>
      <c r="AS52" s="33"/>
      <c r="AT52" s="33"/>
      <c r="AU52" s="33"/>
      <c r="AV52" s="33"/>
      <c r="AW52" s="33"/>
      <c r="AY52" s="62"/>
    </row>
    <row r="53" customFormat="false" ht="14.25" hidden="false" customHeight="true" outlineLevel="0" collapsed="false">
      <c r="B53" s="36" t="s">
        <v>75</v>
      </c>
      <c r="G53" s="37" t="n">
        <f aca="false">SUM(G48:G52)</f>
        <v>1175.478</v>
      </c>
      <c r="H53" s="38" t="n">
        <f aca="false">SUM(H48:H52)</f>
        <v>1175.478</v>
      </c>
      <c r="J53" s="39" t="n">
        <f aca="false">SUM(J48:J52)</f>
        <v>1096.489</v>
      </c>
      <c r="K53" s="39" t="n">
        <f aca="false">SUM(K48:K52)</f>
        <v>917.579</v>
      </c>
      <c r="L53" s="39" t="n">
        <f aca="false">SUM(L48:L52)</f>
        <v>1047.971</v>
      </c>
      <c r="M53" s="39" t="n">
        <f aca="false">SUM(M48:M52)</f>
        <v>1003.865</v>
      </c>
      <c r="N53" s="39" t="n">
        <f aca="false">SUM(N48:N52)</f>
        <v>1211.759</v>
      </c>
      <c r="O53" s="39" t="n">
        <f aca="false">SUM(O48:O52)</f>
        <v>1135.161</v>
      </c>
      <c r="P53" s="26"/>
      <c r="R53" s="39" t="n">
        <f aca="false">SUM(R48:R52)</f>
        <v>1056.654</v>
      </c>
      <c r="S53" s="39" t="n">
        <f aca="false">SUM(S48:S52)</f>
        <v>1035.332</v>
      </c>
      <c r="T53" s="39" t="n">
        <f aca="false">SUM(T48:T52)</f>
        <v>1054.52</v>
      </c>
      <c r="U53" s="39" t="n">
        <f aca="false">SUM(U48:U52)</f>
        <v>1096.489</v>
      </c>
      <c r="V53" s="39" t="n">
        <f aca="false">SUM(V48:V52)</f>
        <v>1118.252</v>
      </c>
      <c r="W53" s="39" t="n">
        <f aca="false">SUM(W48:W52)</f>
        <v>1054.26</v>
      </c>
      <c r="X53" s="39" t="n">
        <f aca="false">SUM(X48:X52)</f>
        <v>958.533</v>
      </c>
      <c r="Y53" s="39" t="n">
        <f aca="false">SUM(Y48:Y52)</f>
        <v>917.579</v>
      </c>
      <c r="Z53" s="39" t="n">
        <f aca="false">SUM(Z48:Z52)</f>
        <v>1368.013</v>
      </c>
      <c r="AA53" s="39" t="n">
        <f aca="false">SUM(AA48:AA52)</f>
        <v>1078.314</v>
      </c>
      <c r="AB53" s="39" t="n">
        <f aca="false">SUM(AB48:AB52)</f>
        <v>1060.719</v>
      </c>
      <c r="AC53" s="39" t="n">
        <f aca="false">SUM(AC48:AC52)</f>
        <v>1047.971</v>
      </c>
      <c r="AD53" s="39" t="n">
        <f aca="false">SUM(AD48:AD52)</f>
        <v>958.517</v>
      </c>
      <c r="AE53" s="39" t="n">
        <f aca="false">SUM(AE48:AE52)</f>
        <v>963.143</v>
      </c>
      <c r="AF53" s="39" t="n">
        <f aca="false">SUM(AF48:AF52)</f>
        <v>978.591</v>
      </c>
      <c r="AG53" s="39" t="n">
        <f aca="false">SUM(AG48:AG52)</f>
        <v>1003.865</v>
      </c>
      <c r="AH53" s="39" t="n">
        <f aca="false">SUM(AH48:AH52)</f>
        <v>1015.331</v>
      </c>
      <c r="AI53" s="39" t="n">
        <f aca="false">SUM(AI48:AI52)</f>
        <v>1052.255</v>
      </c>
      <c r="AJ53" s="39" t="n">
        <f aca="false">SUM(AJ48:AJ52)</f>
        <v>1126.382</v>
      </c>
      <c r="AK53" s="39" t="n">
        <f aca="false">SUM(AK48:AK52)</f>
        <v>1211.759</v>
      </c>
      <c r="AL53" s="39" t="n">
        <f aca="false">SUM(AL48:AL52)</f>
        <v>1200.366</v>
      </c>
      <c r="AM53" s="39" t="n">
        <f aca="false">SUM(AM48:AM52)</f>
        <v>1168.656</v>
      </c>
      <c r="AN53" s="39" t="n">
        <f aca="false">SUM(AN48:AN52)</f>
        <v>1195.571</v>
      </c>
      <c r="AO53" s="39" t="n">
        <f aca="false">SUM(AO48:AO52)</f>
        <v>1135.161</v>
      </c>
      <c r="AP53" s="39" t="n">
        <f aca="false">SUM(AP48:AP52)</f>
        <v>1175.478</v>
      </c>
      <c r="AQ53" s="26"/>
      <c r="AR53" s="26"/>
      <c r="AS53" s="26"/>
      <c r="AT53" s="26"/>
      <c r="AU53" s="26"/>
      <c r="AV53" s="26"/>
      <c r="AW53" s="26"/>
    </row>
    <row r="54" customFormat="false" ht="14.25" hidden="false" customHeight="true" outlineLevel="0" collapsed="false">
      <c r="B54" s="36"/>
      <c r="G54" s="44"/>
      <c r="H54" s="21"/>
      <c r="P54" s="26"/>
      <c r="R54" s="63"/>
      <c r="AQ54" s="26"/>
      <c r="AR54" s="26"/>
      <c r="AS54" s="26"/>
      <c r="AT54" s="26"/>
      <c r="AU54" s="26"/>
      <c r="AV54" s="26"/>
      <c r="AW54" s="26"/>
    </row>
    <row r="55" customFormat="false" ht="14.25" hidden="false" customHeight="true" outlineLevel="0" collapsed="false">
      <c r="B55" s="1" t="s">
        <v>76</v>
      </c>
      <c r="G55" s="23" t="n">
        <f aca="true">OFFSET(R55,0,MATCH($G$2,$R$3:$AW$3,0)-1)</f>
        <v>3883.321</v>
      </c>
      <c r="H55" s="24" t="n">
        <f aca="false">G55</f>
        <v>3883.321</v>
      </c>
      <c r="J55" s="25" t="n">
        <f aca="false">U55</f>
        <v>3539.802</v>
      </c>
      <c r="K55" s="25" t="n">
        <f aca="false">Y55</f>
        <v>3777.11</v>
      </c>
      <c r="L55" s="25" t="n">
        <f aca="false">AC55</f>
        <v>3917.07</v>
      </c>
      <c r="M55" s="25" t="n">
        <f aca="false">AG55</f>
        <v>3678.515</v>
      </c>
      <c r="N55" s="25" t="n">
        <f aca="false">AK55</f>
        <v>3633.462</v>
      </c>
      <c r="O55" s="25" t="n">
        <f aca="false">AO55</f>
        <v>3861.105</v>
      </c>
      <c r="P55" s="26"/>
      <c r="R55" s="27" t="n">
        <v>3443.868</v>
      </c>
      <c r="S55" s="27" t="n">
        <v>3549.066</v>
      </c>
      <c r="T55" s="27" t="n">
        <v>3561.5</v>
      </c>
      <c r="U55" s="27" t="n">
        <v>3539.802</v>
      </c>
      <c r="V55" s="27" t="n">
        <v>3792.44</v>
      </c>
      <c r="W55" s="27" t="n">
        <v>3796.418</v>
      </c>
      <c r="X55" s="27" t="n">
        <v>3793.732</v>
      </c>
      <c r="Y55" s="27" t="n">
        <v>3777.11</v>
      </c>
      <c r="Z55" s="27" t="n">
        <v>3776.784</v>
      </c>
      <c r="AA55" s="27" t="n">
        <v>3976.025</v>
      </c>
      <c r="AB55" s="27" t="n">
        <v>3958.144</v>
      </c>
      <c r="AC55" s="27" t="n">
        <v>3917.07</v>
      </c>
      <c r="AD55" s="27" t="n">
        <v>3881.273</v>
      </c>
      <c r="AE55" s="27" t="n">
        <v>3862.806</v>
      </c>
      <c r="AF55" s="27" t="n">
        <v>3705.247</v>
      </c>
      <c r="AG55" s="27" t="n">
        <v>3678.515</v>
      </c>
      <c r="AH55" s="27" t="n">
        <v>3660.314</v>
      </c>
      <c r="AI55" s="27" t="n">
        <v>3652.652</v>
      </c>
      <c r="AJ55" s="27" t="n">
        <v>3640.69</v>
      </c>
      <c r="AK55" s="27" t="n">
        <v>3633.462</v>
      </c>
      <c r="AL55" s="27" t="n">
        <v>3665.51</v>
      </c>
      <c r="AM55" s="27" t="n">
        <v>3697.939</v>
      </c>
      <c r="AN55" s="27" t="n">
        <v>3782.124</v>
      </c>
      <c r="AO55" s="27" t="n">
        <v>3861.105</v>
      </c>
      <c r="AP55" s="27" t="n">
        <v>3883.321</v>
      </c>
      <c r="AQ55" s="26"/>
      <c r="AR55" s="26"/>
      <c r="AS55" s="26"/>
      <c r="AT55" s="26"/>
      <c r="AU55" s="26"/>
      <c r="AV55" s="26"/>
      <c r="AW55" s="26"/>
    </row>
    <row r="56" customFormat="false" ht="14.25" hidden="false" customHeight="true" outlineLevel="0" collapsed="false">
      <c r="B56" s="1" t="s">
        <v>77</v>
      </c>
      <c r="G56" s="23" t="n">
        <f aca="true">OFFSET(R56,0,MATCH($G$2,$R$3:$AW$3,0)-1)</f>
        <v>149.412</v>
      </c>
      <c r="H56" s="24" t="n">
        <f aca="false">G56</f>
        <v>149.412</v>
      </c>
      <c r="J56" s="25" t="n">
        <f aca="false">U56</f>
        <v>0</v>
      </c>
      <c r="K56" s="25" t="n">
        <f aca="false">Y56</f>
        <v>159.641</v>
      </c>
      <c r="L56" s="25" t="n">
        <f aca="false">AC56</f>
        <v>174.317</v>
      </c>
      <c r="M56" s="25" t="n">
        <f aca="false">AG56</f>
        <v>167.73</v>
      </c>
      <c r="N56" s="25" t="n">
        <f aca="false">AK56</f>
        <v>154.507</v>
      </c>
      <c r="O56" s="25" t="n">
        <f aca="false">AO56</f>
        <v>152.216</v>
      </c>
      <c r="P56" s="26"/>
      <c r="R56" s="27" t="n">
        <v>0</v>
      </c>
      <c r="S56" s="27" t="n">
        <v>0</v>
      </c>
      <c r="T56" s="27" t="n">
        <v>0</v>
      </c>
      <c r="U56" s="27" t="n">
        <v>0</v>
      </c>
      <c r="V56" s="27" t="n">
        <v>159.704</v>
      </c>
      <c r="W56" s="27" t="n">
        <v>158.917</v>
      </c>
      <c r="X56" s="27" t="n">
        <v>156.798</v>
      </c>
      <c r="Y56" s="27" t="n">
        <v>159.641</v>
      </c>
      <c r="Z56" s="27" t="n">
        <v>157.33</v>
      </c>
      <c r="AA56" s="27" t="n">
        <v>183.048</v>
      </c>
      <c r="AB56" s="27" t="n">
        <v>178.714</v>
      </c>
      <c r="AC56" s="27" t="n">
        <v>174.317</v>
      </c>
      <c r="AD56" s="27" t="n">
        <v>172.198</v>
      </c>
      <c r="AE56" s="27" t="n">
        <v>164.911</v>
      </c>
      <c r="AF56" s="27" t="n">
        <v>159.627</v>
      </c>
      <c r="AG56" s="27" t="n">
        <v>167.73</v>
      </c>
      <c r="AH56" s="27" t="n">
        <v>164.986</v>
      </c>
      <c r="AI56" s="27" t="n">
        <v>159.968</v>
      </c>
      <c r="AJ56" s="27" t="n">
        <v>153.723</v>
      </c>
      <c r="AK56" s="27" t="n">
        <v>154.507</v>
      </c>
      <c r="AL56" s="27" t="n">
        <v>155.306</v>
      </c>
      <c r="AM56" s="27" t="n">
        <v>152.504</v>
      </c>
      <c r="AN56" s="27" t="n">
        <v>155.098</v>
      </c>
      <c r="AO56" s="27" t="n">
        <v>152.216</v>
      </c>
      <c r="AP56" s="27" t="n">
        <v>149.412</v>
      </c>
      <c r="AQ56" s="26"/>
      <c r="AR56" s="26"/>
      <c r="AS56" s="26"/>
      <c r="AT56" s="26"/>
      <c r="AU56" s="26"/>
      <c r="AV56" s="26"/>
      <c r="AW56" s="26"/>
    </row>
    <row r="57" customFormat="false" ht="14.25" hidden="false" customHeight="true" outlineLevel="0" collapsed="false">
      <c r="B57" s="1" t="s">
        <v>78</v>
      </c>
      <c r="G57" s="23" t="n">
        <f aca="true">OFFSET(R57,0,MATCH($G$2,$R$3:$AW$3,0)-1)</f>
        <v>438.748</v>
      </c>
      <c r="H57" s="24" t="n">
        <f aca="false">G57</f>
        <v>438.748</v>
      </c>
      <c r="J57" s="25" t="n">
        <f aca="false">U57</f>
        <v>2.495</v>
      </c>
      <c r="K57" s="25" t="n">
        <f aca="false">Y57</f>
        <v>2.025</v>
      </c>
      <c r="L57" s="25" t="n">
        <f aca="false">AC57</f>
        <v>2.689</v>
      </c>
      <c r="M57" s="25" t="n">
        <f aca="false">AG57</f>
        <v>2.134</v>
      </c>
      <c r="N57" s="25" t="n">
        <f aca="false">AK57</f>
        <v>2.171</v>
      </c>
      <c r="O57" s="25" t="n">
        <f aca="false">AO57</f>
        <v>2.576</v>
      </c>
      <c r="P57" s="26"/>
      <c r="R57" s="27" t="n">
        <v>0</v>
      </c>
      <c r="S57" s="27" t="n">
        <v>0</v>
      </c>
      <c r="T57" s="27" t="n">
        <v>0</v>
      </c>
      <c r="U57" s="27" t="n">
        <v>2.495</v>
      </c>
      <c r="V57" s="27" t="n">
        <v>0</v>
      </c>
      <c r="W57" s="27" t="n">
        <v>0</v>
      </c>
      <c r="X57" s="27" t="n">
        <v>0</v>
      </c>
      <c r="Y57" s="27" t="n">
        <v>2.025</v>
      </c>
      <c r="Z57" s="27" t="n">
        <v>0</v>
      </c>
      <c r="AA57" s="27" t="n">
        <v>0</v>
      </c>
      <c r="AB57" s="27" t="n">
        <v>0</v>
      </c>
      <c r="AC57" s="27" t="n">
        <v>2.689</v>
      </c>
      <c r="AD57" s="27" t="n">
        <v>0</v>
      </c>
      <c r="AE57" s="27" t="n">
        <v>0</v>
      </c>
      <c r="AF57" s="27" t="n">
        <v>0</v>
      </c>
      <c r="AG57" s="27" t="n">
        <v>2.134</v>
      </c>
      <c r="AH57" s="27" t="n">
        <v>2.41</v>
      </c>
      <c r="AI57" s="27" t="n">
        <v>0</v>
      </c>
      <c r="AJ57" s="27" t="n">
        <v>0</v>
      </c>
      <c r="AK57" s="27" t="n">
        <v>2.171</v>
      </c>
      <c r="AL57" s="27" t="n">
        <v>0</v>
      </c>
      <c r="AM57" s="27" t="n">
        <v>0</v>
      </c>
      <c r="AN57" s="27" t="n">
        <v>0</v>
      </c>
      <c r="AO57" s="27" t="n">
        <v>2.576</v>
      </c>
      <c r="AP57" s="27" t="n">
        <v>438.748</v>
      </c>
      <c r="AQ57" s="26"/>
      <c r="AR57" s="26"/>
      <c r="AS57" s="26"/>
      <c r="AT57" s="26"/>
      <c r="AU57" s="26"/>
      <c r="AV57" s="26"/>
      <c r="AW57" s="26"/>
    </row>
    <row r="58" customFormat="false" ht="14.25" hidden="false" customHeight="true" outlineLevel="0" collapsed="false">
      <c r="B58" s="1" t="s">
        <v>79</v>
      </c>
      <c r="G58" s="23" t="n">
        <f aca="true">OFFSET(R58,0,MATCH($G$2,$R$3:$AW$3,0)-1)</f>
        <v>40.797</v>
      </c>
      <c r="H58" s="24" t="n">
        <f aca="false">G58</f>
        <v>40.797</v>
      </c>
      <c r="J58" s="25" t="n">
        <f aca="false">U58</f>
        <v>953.826</v>
      </c>
      <c r="K58" s="25" t="n">
        <f aca="false">Y58</f>
        <v>953.826</v>
      </c>
      <c r="L58" s="25" t="n">
        <f aca="false">AC58</f>
        <v>657.8</v>
      </c>
      <c r="M58" s="25" t="n">
        <f aca="false">AG58</f>
        <v>438.748</v>
      </c>
      <c r="N58" s="25" t="n">
        <f aca="false">AK58</f>
        <v>438.748</v>
      </c>
      <c r="O58" s="25" t="n">
        <f aca="false">AO58</f>
        <v>438.748</v>
      </c>
      <c r="P58" s="26"/>
      <c r="R58" s="27" t="n">
        <v>935.755</v>
      </c>
      <c r="S58" s="27" t="n">
        <v>961.745</v>
      </c>
      <c r="T58" s="27" t="n">
        <v>960.006</v>
      </c>
      <c r="U58" s="27" t="n">
        <v>953.826</v>
      </c>
      <c r="V58" s="27" t="n">
        <v>953.826</v>
      </c>
      <c r="W58" s="27" t="n">
        <v>953.826</v>
      </c>
      <c r="X58" s="27" t="n">
        <v>953.826</v>
      </c>
      <c r="Y58" s="27" t="n">
        <v>953.826</v>
      </c>
      <c r="Z58" s="27" t="n">
        <v>704.098</v>
      </c>
      <c r="AA58" s="27" t="n">
        <v>657.832</v>
      </c>
      <c r="AB58" s="27" t="n">
        <v>657.8</v>
      </c>
      <c r="AC58" s="27" t="n">
        <v>657.8</v>
      </c>
      <c r="AD58" s="27" t="n">
        <v>657.8</v>
      </c>
      <c r="AE58" s="27" t="n">
        <v>657.8</v>
      </c>
      <c r="AF58" s="27" t="n">
        <v>438.748</v>
      </c>
      <c r="AG58" s="27" t="n">
        <v>438.748</v>
      </c>
      <c r="AH58" s="27" t="n">
        <v>438.748</v>
      </c>
      <c r="AI58" s="27" t="n">
        <v>438.748</v>
      </c>
      <c r="AJ58" s="27" t="n">
        <v>438.748</v>
      </c>
      <c r="AK58" s="27" t="n">
        <v>438.748</v>
      </c>
      <c r="AL58" s="27" t="n">
        <v>438.748</v>
      </c>
      <c r="AM58" s="27" t="n">
        <v>438.748</v>
      </c>
      <c r="AN58" s="27" t="n">
        <v>438.748</v>
      </c>
      <c r="AO58" s="27" t="n">
        <v>438.748</v>
      </c>
      <c r="AP58" s="27" t="n">
        <v>40.797</v>
      </c>
      <c r="AQ58" s="26"/>
      <c r="AR58" s="26"/>
      <c r="AS58" s="26"/>
      <c r="AT58" s="26"/>
      <c r="AU58" s="26"/>
      <c r="AV58" s="26"/>
      <c r="AW58" s="26"/>
    </row>
    <row r="59" customFormat="false" ht="14.25" hidden="false" customHeight="true" outlineLevel="0" collapsed="false">
      <c r="B59" s="29" t="s">
        <v>80</v>
      </c>
      <c r="C59" s="29"/>
      <c r="D59" s="29"/>
      <c r="E59" s="29"/>
      <c r="F59" s="29"/>
      <c r="G59" s="30" t="n">
        <f aca="true">OFFSET(R59,0,MATCH($G$2,$R$3:$AW$3,0)-1)</f>
        <v>88.081</v>
      </c>
      <c r="H59" s="31" t="n">
        <f aca="false">G59</f>
        <v>88.081</v>
      </c>
      <c r="I59" s="29"/>
      <c r="J59" s="32" t="n">
        <f aca="false">U59</f>
        <v>278.982</v>
      </c>
      <c r="K59" s="32" t="n">
        <f aca="false">Y59</f>
        <v>268.916</v>
      </c>
      <c r="L59" s="32" t="n">
        <f aca="false">AC59</f>
        <v>124.327</v>
      </c>
      <c r="M59" s="32" t="n">
        <f aca="false">AG59</f>
        <v>108.071</v>
      </c>
      <c r="N59" s="32" t="n">
        <f aca="false">AK59</f>
        <v>114.277</v>
      </c>
      <c r="O59" s="32" t="n">
        <f aca="false">AO59</f>
        <v>132.391</v>
      </c>
      <c r="P59" s="33"/>
      <c r="Q59" s="29"/>
      <c r="R59" s="34" t="n">
        <v>278.223</v>
      </c>
      <c r="S59" s="34" t="n">
        <v>283.133</v>
      </c>
      <c r="T59" s="34" t="n">
        <v>278.307</v>
      </c>
      <c r="U59" s="34" t="n">
        <v>278.982</v>
      </c>
      <c r="V59" s="34" t="n">
        <v>276.47</v>
      </c>
      <c r="W59" s="34" t="n">
        <v>269.465</v>
      </c>
      <c r="X59" s="34" t="n">
        <v>264.996</v>
      </c>
      <c r="Y59" s="34" t="n">
        <v>268.916</v>
      </c>
      <c r="Z59" s="34" t="n">
        <v>131.349</v>
      </c>
      <c r="AA59" s="34" t="n">
        <v>121.792</v>
      </c>
      <c r="AB59" s="34" t="n">
        <v>125.743</v>
      </c>
      <c r="AC59" s="34" t="n">
        <v>124.327</v>
      </c>
      <c r="AD59" s="34" t="n">
        <v>118.298</v>
      </c>
      <c r="AE59" s="34" t="n">
        <v>119.155</v>
      </c>
      <c r="AF59" s="34" t="n">
        <v>107.669</v>
      </c>
      <c r="AG59" s="34" t="n">
        <v>108.071</v>
      </c>
      <c r="AH59" s="34" t="n">
        <v>103.413</v>
      </c>
      <c r="AI59" s="34" t="n">
        <v>101.533</v>
      </c>
      <c r="AJ59" s="34" t="n">
        <v>96.755</v>
      </c>
      <c r="AK59" s="34" t="n">
        <v>114.277</v>
      </c>
      <c r="AL59" s="34" t="n">
        <v>114.818</v>
      </c>
      <c r="AM59" s="34" t="n">
        <v>116.732</v>
      </c>
      <c r="AN59" s="34" t="n">
        <v>111.339</v>
      </c>
      <c r="AO59" s="34" t="n">
        <v>132.391</v>
      </c>
      <c r="AP59" s="34" t="n">
        <v>88.081</v>
      </c>
      <c r="AQ59" s="33"/>
      <c r="AR59" s="33"/>
      <c r="AS59" s="33"/>
      <c r="AT59" s="33"/>
      <c r="AU59" s="33"/>
      <c r="AV59" s="33"/>
      <c r="AW59" s="33"/>
    </row>
    <row r="60" customFormat="false" ht="14.25" hidden="false" customHeight="true" outlineLevel="0" collapsed="false">
      <c r="B60" s="36" t="s">
        <v>81</v>
      </c>
      <c r="G60" s="37" t="n">
        <f aca="false">G53+SUM(G55:G59)</f>
        <v>5775.837</v>
      </c>
      <c r="H60" s="38" t="n">
        <f aca="false">H53+SUM(H55:H59)</f>
        <v>5775.837</v>
      </c>
      <c r="J60" s="39" t="n">
        <f aca="false">J53+SUM(J55:J59)</f>
        <v>5871.594</v>
      </c>
      <c r="K60" s="39" t="n">
        <f aca="false">K53+SUM(K55:K59)</f>
        <v>6079.097</v>
      </c>
      <c r="L60" s="39" t="n">
        <f aca="false">L53+SUM(L55:L59)</f>
        <v>5924.174</v>
      </c>
      <c r="M60" s="39" t="n">
        <f aca="false">M53+SUM(M55:M59)</f>
        <v>5399.063</v>
      </c>
      <c r="N60" s="39" t="n">
        <f aca="false">N53+SUM(N55:N59)</f>
        <v>5554.924</v>
      </c>
      <c r="O60" s="39" t="n">
        <f aca="false">O53+SUM(O55:O59)</f>
        <v>5722.197</v>
      </c>
      <c r="P60" s="26"/>
      <c r="R60" s="39" t="n">
        <f aca="false">R53+SUM(R55:R59)</f>
        <v>5714.5</v>
      </c>
      <c r="S60" s="39" t="n">
        <f aca="false">S53+SUM(S55:S59)</f>
        <v>5829.276</v>
      </c>
      <c r="T60" s="39" t="n">
        <f aca="false">T53+SUM(T55:T59)</f>
        <v>5854.333</v>
      </c>
      <c r="U60" s="39" t="n">
        <f aca="false">U53+SUM(U55:U59)</f>
        <v>5871.594</v>
      </c>
      <c r="V60" s="39" t="n">
        <f aca="false">V53+SUM(V55:V59)</f>
        <v>6300.692</v>
      </c>
      <c r="W60" s="39" t="n">
        <f aca="false">W53+SUM(W55:W59)</f>
        <v>6232.886</v>
      </c>
      <c r="X60" s="39" t="n">
        <f aca="false">X53+SUM(X55:X59)</f>
        <v>6127.885</v>
      </c>
      <c r="Y60" s="39" t="n">
        <f aca="false">Y53+SUM(Y55:Y59)</f>
        <v>6079.097</v>
      </c>
      <c r="Z60" s="39" t="n">
        <f aca="false">Z53+SUM(Z55:Z59)</f>
        <v>6137.574</v>
      </c>
      <c r="AA60" s="39" t="n">
        <f aca="false">AA53+SUM(AA55:AA59)</f>
        <v>6017.011</v>
      </c>
      <c r="AB60" s="39" t="n">
        <f aca="false">AB53+SUM(AB55:AB59)</f>
        <v>5981.12</v>
      </c>
      <c r="AC60" s="39" t="n">
        <f aca="false">AC53+SUM(AC55:AC59)</f>
        <v>5924.174</v>
      </c>
      <c r="AD60" s="39" t="n">
        <f aca="false">AD53+SUM(AD55:AD59)</f>
        <v>5788.086</v>
      </c>
      <c r="AE60" s="39" t="n">
        <f aca="false">AE53+SUM(AE55:AE59)</f>
        <v>5767.815</v>
      </c>
      <c r="AF60" s="39" t="n">
        <f aca="false">AF53+SUM(AF55:AF59)</f>
        <v>5389.882</v>
      </c>
      <c r="AG60" s="39" t="n">
        <f aca="false">AG53+SUM(AG55:AG59)</f>
        <v>5399.063</v>
      </c>
      <c r="AH60" s="39" t="n">
        <f aca="false">AH53+SUM(AH55:AH59)</f>
        <v>5385.202</v>
      </c>
      <c r="AI60" s="39" t="n">
        <f aca="false">AI53+SUM(AI55:AI59)</f>
        <v>5405.156</v>
      </c>
      <c r="AJ60" s="39" t="n">
        <f aca="false">AJ53+SUM(AJ55:AJ59)</f>
        <v>5456.298</v>
      </c>
      <c r="AK60" s="39" t="n">
        <f aca="false">AK53+SUM(AK55:AK59)</f>
        <v>5554.924</v>
      </c>
      <c r="AL60" s="39" t="n">
        <f aca="false">AL53+SUM(AL55:AL59)</f>
        <v>5574.748</v>
      </c>
      <c r="AM60" s="39" t="n">
        <f aca="false">AM53+SUM(AM55:AM59)</f>
        <v>5574.579</v>
      </c>
      <c r="AN60" s="39" t="n">
        <f aca="false">AN53+SUM(AN55:AN59)</f>
        <v>5682.88</v>
      </c>
      <c r="AO60" s="39" t="n">
        <f aca="false">AO53+SUM(AO55:AO59)</f>
        <v>5722.197</v>
      </c>
      <c r="AP60" s="39" t="n">
        <f aca="false">AP53+SUM(AP55:AP59)</f>
        <v>5775.837</v>
      </c>
      <c r="AQ60" s="26"/>
      <c r="AR60" s="26"/>
      <c r="AS60" s="26"/>
      <c r="AT60" s="26"/>
      <c r="AU60" s="26"/>
      <c r="AV60" s="26"/>
      <c r="AW60" s="26"/>
    </row>
    <row r="61" customFormat="false" ht="14.25" hidden="false" customHeight="true" outlineLevel="0" collapsed="false">
      <c r="G61" s="44"/>
      <c r="H61" s="21"/>
      <c r="P61" s="26"/>
      <c r="AQ61" s="26"/>
      <c r="AR61" s="26"/>
      <c r="AS61" s="26"/>
      <c r="AT61" s="26"/>
      <c r="AU61" s="26"/>
      <c r="AV61" s="26"/>
      <c r="AW61" s="26"/>
    </row>
    <row r="62" customFormat="false" ht="14.25" hidden="false" customHeight="true" outlineLevel="0" collapsed="false">
      <c r="B62" s="1" t="s">
        <v>82</v>
      </c>
      <c r="G62" s="23" t="n">
        <f aca="true">OFFSET(R62,0,MATCH($G$2,$R$3:$AW$3,0)-1)</f>
        <v>8.643</v>
      </c>
      <c r="H62" s="24" t="n">
        <f aca="false">G62</f>
        <v>8.643</v>
      </c>
      <c r="J62" s="25" t="n">
        <f aca="false">U62</f>
        <v>0.019</v>
      </c>
      <c r="K62" s="25" t="n">
        <f aca="false">Y62</f>
        <v>0.016</v>
      </c>
      <c r="L62" s="25" t="n">
        <f aca="false">AC62</f>
        <v>0.04</v>
      </c>
      <c r="M62" s="25" t="n">
        <f aca="false">AG62</f>
        <v>1.934</v>
      </c>
      <c r="N62" s="25" t="n">
        <f aca="false">AK62</f>
        <v>3.292</v>
      </c>
      <c r="O62" s="25" t="n">
        <f aca="false">AO62</f>
        <v>8.068</v>
      </c>
      <c r="P62" s="26"/>
      <c r="R62" s="27" t="n">
        <v>0.027</v>
      </c>
      <c r="S62" s="27" t="n">
        <v>0.017</v>
      </c>
      <c r="T62" s="27" t="n">
        <v>0.508</v>
      </c>
      <c r="U62" s="27" t="n">
        <v>0.019</v>
      </c>
      <c r="V62" s="27" t="n">
        <v>0.017</v>
      </c>
      <c r="W62" s="27" t="n">
        <v>0.011</v>
      </c>
      <c r="X62" s="27" t="n">
        <v>0.015</v>
      </c>
      <c r="Y62" s="27" t="n">
        <v>0.016</v>
      </c>
      <c r="Z62" s="27" t="n">
        <v>0</v>
      </c>
      <c r="AA62" s="27" t="n">
        <v>0.007</v>
      </c>
      <c r="AB62" s="27" t="n">
        <v>0.155</v>
      </c>
      <c r="AC62" s="27" t="n">
        <v>0.04</v>
      </c>
      <c r="AD62" s="27" t="n">
        <v>0.434</v>
      </c>
      <c r="AE62" s="27" t="n">
        <v>1.417</v>
      </c>
      <c r="AF62" s="27" t="n">
        <v>1.983</v>
      </c>
      <c r="AG62" s="27" t="n">
        <v>1.934</v>
      </c>
      <c r="AH62" s="27" t="n">
        <v>3.097</v>
      </c>
      <c r="AI62" s="27" t="n">
        <v>4.206</v>
      </c>
      <c r="AJ62" s="27" t="n">
        <v>3.599</v>
      </c>
      <c r="AK62" s="27" t="n">
        <v>3.292</v>
      </c>
      <c r="AL62" s="27" t="n">
        <v>3.983</v>
      </c>
      <c r="AM62" s="27" t="n">
        <v>7.447</v>
      </c>
      <c r="AN62" s="27" t="n">
        <v>9.608</v>
      </c>
      <c r="AO62" s="27" t="n">
        <v>8.068</v>
      </c>
      <c r="AP62" s="27" t="n">
        <v>8.643</v>
      </c>
      <c r="AQ62" s="26"/>
      <c r="AR62" s="26"/>
      <c r="AS62" s="26"/>
      <c r="AT62" s="26"/>
      <c r="AU62" s="26"/>
      <c r="AV62" s="26"/>
      <c r="AW62" s="26"/>
    </row>
    <row r="63" customFormat="false" ht="14.25" hidden="false" customHeight="true" outlineLevel="0" collapsed="false">
      <c r="B63" s="1" t="s">
        <v>83</v>
      </c>
      <c r="G63" s="23" t="n">
        <f aca="true">OFFSET(R63,0,MATCH($G$2,$R$3:$AW$3,0)-1)</f>
        <v>11.252</v>
      </c>
      <c r="H63" s="24" t="n">
        <f aca="false">G63</f>
        <v>11.252</v>
      </c>
      <c r="J63" s="25" t="n">
        <f aca="false">U63</f>
        <v>2.794</v>
      </c>
      <c r="K63" s="25" t="n">
        <f aca="false">Y63</f>
        <v>0.665</v>
      </c>
      <c r="L63" s="25" t="n">
        <f aca="false">AC63</f>
        <v>0.474</v>
      </c>
      <c r="M63" s="25" t="n">
        <f aca="false">AG63</f>
        <v>0</v>
      </c>
      <c r="N63" s="25" t="n">
        <f aca="false">AK63</f>
        <v>0.323</v>
      </c>
      <c r="O63" s="25" t="n">
        <f aca="false">AO63</f>
        <v>1.486</v>
      </c>
      <c r="P63" s="26"/>
      <c r="R63" s="27" t="n">
        <v>1.936</v>
      </c>
      <c r="S63" s="27" t="n">
        <v>2.875</v>
      </c>
      <c r="T63" s="27" t="n">
        <v>3.765</v>
      </c>
      <c r="U63" s="27" t="n">
        <v>2.794</v>
      </c>
      <c r="V63" s="27" t="n">
        <v>1.441</v>
      </c>
      <c r="W63" s="27" t="n">
        <v>0.312</v>
      </c>
      <c r="X63" s="27" t="n">
        <v>1.196</v>
      </c>
      <c r="Y63" s="27" t="n">
        <v>0.665</v>
      </c>
      <c r="Z63" s="27" t="n">
        <v>0.698</v>
      </c>
      <c r="AA63" s="27" t="n">
        <v>0.694</v>
      </c>
      <c r="AB63" s="27" t="n">
        <v>0.459</v>
      </c>
      <c r="AC63" s="27" t="n">
        <v>0.474</v>
      </c>
      <c r="AD63" s="27" t="n">
        <v>0.489</v>
      </c>
      <c r="AE63" s="27" t="n">
        <v>0.497</v>
      </c>
      <c r="AF63" s="27" t="n">
        <v>0.499</v>
      </c>
      <c r="AG63" s="27" t="n">
        <v>0</v>
      </c>
      <c r="AH63" s="27" t="n">
        <v>0.093</v>
      </c>
      <c r="AI63" s="27" t="n">
        <v>0</v>
      </c>
      <c r="AJ63" s="27" t="n">
        <v>0</v>
      </c>
      <c r="AK63" s="27" t="n">
        <v>0.323</v>
      </c>
      <c r="AL63" s="27" t="n">
        <v>1.106</v>
      </c>
      <c r="AM63" s="27" t="n">
        <v>0</v>
      </c>
      <c r="AN63" s="27" t="n">
        <v>2.247</v>
      </c>
      <c r="AO63" s="27" t="n">
        <v>1.486</v>
      </c>
      <c r="AP63" s="27" t="n">
        <v>11.252</v>
      </c>
      <c r="AQ63" s="26"/>
      <c r="AR63" s="26"/>
      <c r="AS63" s="26"/>
      <c r="AT63" s="26"/>
      <c r="AU63" s="26"/>
      <c r="AV63" s="26"/>
      <c r="AW63" s="26"/>
    </row>
    <row r="64" customFormat="false" ht="14.25" hidden="false" customHeight="true" outlineLevel="0" collapsed="false">
      <c r="B64" s="1" t="s">
        <v>84</v>
      </c>
      <c r="G64" s="23" t="n">
        <f aca="true">OFFSET(R64,0,MATCH($G$2,$R$3:$AW$3,0)-1)</f>
        <v>249.644</v>
      </c>
      <c r="H64" s="24" t="n">
        <f aca="false">G64</f>
        <v>249.644</v>
      </c>
      <c r="J64" s="25" t="n">
        <f aca="false">U64</f>
        <v>278.057</v>
      </c>
      <c r="K64" s="25" t="n">
        <f aca="false">Y64</f>
        <v>206.778</v>
      </c>
      <c r="L64" s="25" t="n">
        <f aca="false">AC64</f>
        <v>162.507</v>
      </c>
      <c r="M64" s="25" t="n">
        <f aca="false">AG64</f>
        <v>199.088</v>
      </c>
      <c r="N64" s="25" t="n">
        <f aca="false">AK64</f>
        <v>278.081</v>
      </c>
      <c r="O64" s="25" t="n">
        <f aca="false">AO64</f>
        <v>269.378</v>
      </c>
      <c r="P64" s="26"/>
      <c r="R64" s="27" t="n">
        <v>251.916</v>
      </c>
      <c r="S64" s="27" t="n">
        <v>263.47</v>
      </c>
      <c r="T64" s="27" t="n">
        <v>250.681</v>
      </c>
      <c r="U64" s="27" t="n">
        <v>278.057</v>
      </c>
      <c r="V64" s="27" t="n">
        <v>275.57</v>
      </c>
      <c r="W64" s="27" t="n">
        <v>212.147</v>
      </c>
      <c r="X64" s="27" t="n">
        <v>212.279</v>
      </c>
      <c r="Y64" s="27" t="n">
        <v>206.778</v>
      </c>
      <c r="Z64" s="27" t="n">
        <v>227.02</v>
      </c>
      <c r="AA64" s="27" t="n">
        <v>177.29</v>
      </c>
      <c r="AB64" s="27" t="n">
        <v>156.95</v>
      </c>
      <c r="AC64" s="27" t="n">
        <v>162.507</v>
      </c>
      <c r="AD64" s="27" t="n">
        <v>175.89</v>
      </c>
      <c r="AE64" s="27" t="n">
        <v>188.724</v>
      </c>
      <c r="AF64" s="27" t="n">
        <v>181.313</v>
      </c>
      <c r="AG64" s="27" t="n">
        <v>199.088</v>
      </c>
      <c r="AH64" s="27" t="n">
        <v>218.907</v>
      </c>
      <c r="AI64" s="27" t="n">
        <v>234.64</v>
      </c>
      <c r="AJ64" s="27" t="n">
        <v>241.623</v>
      </c>
      <c r="AK64" s="27" t="n">
        <v>278.081</v>
      </c>
      <c r="AL64" s="27" t="n">
        <v>278.467</v>
      </c>
      <c r="AM64" s="27" t="n">
        <v>279.519</v>
      </c>
      <c r="AN64" s="27" t="n">
        <v>258.126</v>
      </c>
      <c r="AO64" s="27" t="n">
        <v>269.378</v>
      </c>
      <c r="AP64" s="27" t="n">
        <v>249.644</v>
      </c>
      <c r="AQ64" s="26"/>
      <c r="AR64" s="26"/>
      <c r="AS64" s="26"/>
      <c r="AT64" s="26"/>
      <c r="AU64" s="26"/>
      <c r="AV64" s="26"/>
      <c r="AW64" s="26"/>
    </row>
    <row r="65" customFormat="false" ht="14.25" hidden="false" customHeight="true" outlineLevel="0" collapsed="false">
      <c r="B65" s="1" t="s">
        <v>85</v>
      </c>
      <c r="G65" s="23" t="n">
        <f aca="true">OFFSET(R65,0,MATCH($G$2,$R$3:$AW$3,0)-1)</f>
        <v>194.819</v>
      </c>
      <c r="H65" s="24" t="n">
        <f aca="false">G65</f>
        <v>194.819</v>
      </c>
      <c r="J65" s="25" t="n">
        <f aca="false">U65</f>
        <v>246.789</v>
      </c>
      <c r="K65" s="25" t="n">
        <f aca="false">Y65</f>
        <v>236.35</v>
      </c>
      <c r="L65" s="25" t="n">
        <f aca="false">AC65</f>
        <v>224.855</v>
      </c>
      <c r="M65" s="25" t="n">
        <f aca="false">AG65</f>
        <v>236.078</v>
      </c>
      <c r="N65" s="25" t="n">
        <f aca="false">AK65</f>
        <v>204.752</v>
      </c>
      <c r="O65" s="25" t="n">
        <f aca="false">AO65</f>
        <v>228.946</v>
      </c>
      <c r="P65" s="26"/>
      <c r="R65" s="27" t="n">
        <v>196.063</v>
      </c>
      <c r="S65" s="27" t="n">
        <v>228.791</v>
      </c>
      <c r="T65" s="27" t="n">
        <v>237.129</v>
      </c>
      <c r="U65" s="27" t="n">
        <v>246.789</v>
      </c>
      <c r="V65" s="27" t="n">
        <v>204.724</v>
      </c>
      <c r="W65" s="27" t="n">
        <v>225.232</v>
      </c>
      <c r="X65" s="27" t="n">
        <v>225.402</v>
      </c>
      <c r="Y65" s="27" t="n">
        <v>236.35</v>
      </c>
      <c r="Z65" s="27" t="n">
        <v>205.667</v>
      </c>
      <c r="AA65" s="27" t="n">
        <v>230.296</v>
      </c>
      <c r="AB65" s="27" t="n">
        <v>228.764</v>
      </c>
      <c r="AC65" s="27" t="n">
        <v>224.855</v>
      </c>
      <c r="AD65" s="27" t="n">
        <v>198.487</v>
      </c>
      <c r="AE65" s="27" t="n">
        <v>231.603</v>
      </c>
      <c r="AF65" s="27" t="n">
        <v>228.375</v>
      </c>
      <c r="AG65" s="27" t="n">
        <v>236.078</v>
      </c>
      <c r="AH65" s="27" t="n">
        <v>188.302</v>
      </c>
      <c r="AI65" s="27" t="n">
        <v>198.191</v>
      </c>
      <c r="AJ65" s="27" t="n">
        <v>209.724</v>
      </c>
      <c r="AK65" s="27" t="n">
        <v>204.752</v>
      </c>
      <c r="AL65" s="27" t="n">
        <v>173.992</v>
      </c>
      <c r="AM65" s="27" t="n">
        <v>205.254</v>
      </c>
      <c r="AN65" s="27" t="n">
        <v>199.124</v>
      </c>
      <c r="AO65" s="27" t="n">
        <v>228.946</v>
      </c>
      <c r="AP65" s="27" t="n">
        <v>194.819</v>
      </c>
      <c r="AQ65" s="26"/>
      <c r="AR65" s="26"/>
      <c r="AS65" s="26"/>
      <c r="AT65" s="26"/>
      <c r="AU65" s="26"/>
      <c r="AV65" s="26"/>
      <c r="AW65" s="26"/>
    </row>
    <row r="66" customFormat="false" ht="14.25" hidden="false" customHeight="true" outlineLevel="0" collapsed="false">
      <c r="B66" s="1" t="s">
        <v>86</v>
      </c>
      <c r="G66" s="23" t="n">
        <f aca="true">OFFSET(R66,0,MATCH($G$2,$R$3:$AW$3,0)-1)</f>
        <v>32.601</v>
      </c>
      <c r="H66" s="24" t="n">
        <f aca="false">G66</f>
        <v>32.601</v>
      </c>
      <c r="J66" s="25" t="n">
        <f aca="false">U66</f>
        <v>0</v>
      </c>
      <c r="K66" s="25" t="n">
        <f aca="false">Y66</f>
        <v>27.324</v>
      </c>
      <c r="L66" s="25" t="n">
        <f aca="false">AC66</f>
        <v>32.75</v>
      </c>
      <c r="M66" s="25" t="n">
        <f aca="false">AG66</f>
        <v>33.902</v>
      </c>
      <c r="N66" s="25" t="n">
        <f aca="false">AK66</f>
        <v>36.444</v>
      </c>
      <c r="O66" s="25" t="n">
        <f aca="false">AO66</f>
        <v>33.34</v>
      </c>
      <c r="P66" s="26"/>
      <c r="R66" s="27" t="n">
        <v>0</v>
      </c>
      <c r="S66" s="27" t="n">
        <v>0</v>
      </c>
      <c r="T66" s="27" t="n">
        <v>0</v>
      </c>
      <c r="U66" s="27" t="n">
        <v>0</v>
      </c>
      <c r="V66" s="27" t="n">
        <v>28.586</v>
      </c>
      <c r="W66" s="27" t="n">
        <v>29.422</v>
      </c>
      <c r="X66" s="27" t="n">
        <v>29.001</v>
      </c>
      <c r="Y66" s="27" t="n">
        <v>27.324</v>
      </c>
      <c r="Z66" s="27" t="n">
        <v>25.92</v>
      </c>
      <c r="AA66" s="27" t="n">
        <v>33.761</v>
      </c>
      <c r="AB66" s="27" t="n">
        <v>32.545</v>
      </c>
      <c r="AC66" s="27" t="n">
        <v>32.75</v>
      </c>
      <c r="AD66" s="27" t="n">
        <v>32.722</v>
      </c>
      <c r="AE66" s="27" t="n">
        <v>31.963</v>
      </c>
      <c r="AF66" s="27" t="n">
        <v>32.813</v>
      </c>
      <c r="AG66" s="27" t="n">
        <v>33.902</v>
      </c>
      <c r="AH66" s="27" t="n">
        <v>34.454</v>
      </c>
      <c r="AI66" s="27" t="n">
        <v>34.667</v>
      </c>
      <c r="AJ66" s="27" t="n">
        <v>33.495</v>
      </c>
      <c r="AK66" s="27" t="n">
        <v>36.444</v>
      </c>
      <c r="AL66" s="27" t="n">
        <v>32.885</v>
      </c>
      <c r="AM66" s="27" t="n">
        <v>33.134</v>
      </c>
      <c r="AN66" s="27" t="n">
        <v>32.17</v>
      </c>
      <c r="AO66" s="27" t="n">
        <v>33.34</v>
      </c>
      <c r="AP66" s="27" t="n">
        <v>32.601</v>
      </c>
      <c r="AQ66" s="26"/>
      <c r="AR66" s="26"/>
      <c r="AS66" s="26"/>
      <c r="AT66" s="26"/>
      <c r="AU66" s="26"/>
      <c r="AV66" s="26"/>
      <c r="AW66" s="26"/>
    </row>
    <row r="67" customFormat="false" ht="14.25" hidden="false" customHeight="true" outlineLevel="0" collapsed="false">
      <c r="B67" s="29" t="s">
        <v>87</v>
      </c>
      <c r="C67" s="29"/>
      <c r="D67" s="29"/>
      <c r="E67" s="29"/>
      <c r="F67" s="29"/>
      <c r="G67" s="30" t="n">
        <f aca="true">OFFSET(R67,0,MATCH($G$2,$R$3:$AW$3,0)-1)</f>
        <v>153.435</v>
      </c>
      <c r="H67" s="31" t="n">
        <f aca="false">G67</f>
        <v>153.435</v>
      </c>
      <c r="I67" s="29"/>
      <c r="J67" s="32" t="n">
        <f aca="false">U67</f>
        <v>80.123</v>
      </c>
      <c r="K67" s="32" t="n">
        <f aca="false">Y67</f>
        <v>42.982</v>
      </c>
      <c r="L67" s="32" t="n">
        <f aca="false">AC67</f>
        <v>45.406</v>
      </c>
      <c r="M67" s="32" t="n">
        <f aca="false">AG67</f>
        <v>72.77</v>
      </c>
      <c r="N67" s="32" t="n">
        <f aca="false">AK67</f>
        <v>119.305</v>
      </c>
      <c r="O67" s="32" t="n">
        <f aca="false">AO67</f>
        <v>134.577</v>
      </c>
      <c r="P67" s="33"/>
      <c r="Q67" s="29"/>
      <c r="R67" s="34" t="n">
        <v>81.216</v>
      </c>
      <c r="S67" s="34" t="n">
        <v>61.165</v>
      </c>
      <c r="T67" s="34" t="n">
        <v>75.843</v>
      </c>
      <c r="U67" s="34" t="n">
        <v>80.123</v>
      </c>
      <c r="V67" s="34" t="n">
        <v>72.386</v>
      </c>
      <c r="W67" s="34" t="n">
        <v>58.909</v>
      </c>
      <c r="X67" s="34" t="n">
        <v>49.098</v>
      </c>
      <c r="Y67" s="34" t="n">
        <v>42.982</v>
      </c>
      <c r="Z67" s="34" t="n">
        <v>37.027</v>
      </c>
      <c r="AA67" s="34" t="n">
        <v>36.648</v>
      </c>
      <c r="AB67" s="34" t="n">
        <v>31.192</v>
      </c>
      <c r="AC67" s="34" t="n">
        <v>45.406</v>
      </c>
      <c r="AD67" s="34" t="n">
        <v>45.421</v>
      </c>
      <c r="AE67" s="34" t="n">
        <v>44.018</v>
      </c>
      <c r="AF67" s="34" t="n">
        <v>67.214</v>
      </c>
      <c r="AG67" s="34" t="n">
        <v>72.77</v>
      </c>
      <c r="AH67" s="34" t="n">
        <v>68.982</v>
      </c>
      <c r="AI67" s="34" t="n">
        <v>69.668</v>
      </c>
      <c r="AJ67" s="34" t="n">
        <v>82.12</v>
      </c>
      <c r="AK67" s="34" t="n">
        <v>119.305</v>
      </c>
      <c r="AL67" s="34" t="n">
        <v>124.355</v>
      </c>
      <c r="AM67" s="34" t="n">
        <v>130.943</v>
      </c>
      <c r="AN67" s="34" t="n">
        <v>134.577</v>
      </c>
      <c r="AO67" s="34" t="n">
        <v>134.577</v>
      </c>
      <c r="AP67" s="34" t="n">
        <v>153.435</v>
      </c>
      <c r="AQ67" s="33"/>
      <c r="AR67" s="33"/>
      <c r="AS67" s="33"/>
      <c r="AT67" s="33"/>
      <c r="AU67" s="33"/>
      <c r="AV67" s="33"/>
      <c r="AW67" s="33"/>
    </row>
    <row r="68" customFormat="false" ht="14.25" hidden="false" customHeight="true" outlineLevel="0" collapsed="false">
      <c r="B68" s="36" t="s">
        <v>88</v>
      </c>
      <c r="G68" s="37" t="n">
        <f aca="false">SUM(G62:G67)</f>
        <v>650.394</v>
      </c>
      <c r="H68" s="38" t="n">
        <f aca="false">SUM(H62:H67)</f>
        <v>650.394</v>
      </c>
      <c r="J68" s="39" t="n">
        <f aca="false">SUM(J62:J67)</f>
        <v>607.782</v>
      </c>
      <c r="K68" s="39" t="n">
        <f aca="false">SUM(K62:K67)</f>
        <v>514.115</v>
      </c>
      <c r="L68" s="39" t="n">
        <f aca="false">SUM(L62:L67)</f>
        <v>466.032</v>
      </c>
      <c r="M68" s="39" t="n">
        <f aca="false">SUM(M62:M67)</f>
        <v>543.772</v>
      </c>
      <c r="N68" s="39" t="n">
        <f aca="false">SUM(N62:N67)</f>
        <v>642.197</v>
      </c>
      <c r="O68" s="39" t="n">
        <f aca="false">SUM(O62:O67)</f>
        <v>675.795</v>
      </c>
      <c r="P68" s="26"/>
      <c r="R68" s="39" t="n">
        <f aca="false">SUM(R62:R67)</f>
        <v>531.158</v>
      </c>
      <c r="S68" s="39" t="n">
        <f aca="false">SUM(S62:S67)</f>
        <v>556.318</v>
      </c>
      <c r="T68" s="39" t="n">
        <f aca="false">SUM(T62:T67)</f>
        <v>567.926</v>
      </c>
      <c r="U68" s="39" t="n">
        <f aca="false">SUM(U62:U67)</f>
        <v>607.782</v>
      </c>
      <c r="V68" s="39" t="n">
        <f aca="false">SUM(V62:V67)</f>
        <v>582.724</v>
      </c>
      <c r="W68" s="39" t="n">
        <f aca="false">SUM(W62:W67)</f>
        <v>526.033</v>
      </c>
      <c r="X68" s="39" t="n">
        <f aca="false">SUM(X62:X67)</f>
        <v>516.991</v>
      </c>
      <c r="Y68" s="39" t="n">
        <f aca="false">SUM(Y62:Y67)</f>
        <v>514.115</v>
      </c>
      <c r="Z68" s="39" t="n">
        <f aca="false">SUM(Z62:Z67)</f>
        <v>496.332</v>
      </c>
      <c r="AA68" s="39" t="n">
        <f aca="false">SUM(AA62:AA67)</f>
        <v>478.696</v>
      </c>
      <c r="AB68" s="39" t="n">
        <f aca="false">SUM(AB62:AB67)</f>
        <v>450.065</v>
      </c>
      <c r="AC68" s="39" t="n">
        <f aca="false">SUM(AC62:AC67)</f>
        <v>466.032</v>
      </c>
      <c r="AD68" s="39" t="n">
        <f aca="false">SUM(AD62:AD67)</f>
        <v>453.443</v>
      </c>
      <c r="AE68" s="39" t="n">
        <f aca="false">SUM(AE62:AE67)</f>
        <v>498.222</v>
      </c>
      <c r="AF68" s="39" t="n">
        <f aca="false">SUM(AF62:AF67)</f>
        <v>512.197</v>
      </c>
      <c r="AG68" s="39" t="n">
        <f aca="false">SUM(AG62:AG67)</f>
        <v>543.772</v>
      </c>
      <c r="AH68" s="39" t="n">
        <f aca="false">SUM(AH62:AH67)</f>
        <v>513.835</v>
      </c>
      <c r="AI68" s="39" t="n">
        <f aca="false">SUM(AI62:AI67)</f>
        <v>541.372</v>
      </c>
      <c r="AJ68" s="39" t="n">
        <f aca="false">SUM(AJ62:AJ67)</f>
        <v>570.561</v>
      </c>
      <c r="AK68" s="39" t="n">
        <f aca="false">SUM(AK62:AK67)</f>
        <v>642.197</v>
      </c>
      <c r="AL68" s="39" t="n">
        <f aca="false">SUM(AL62:AL67)</f>
        <v>614.788</v>
      </c>
      <c r="AM68" s="39" t="n">
        <f aca="false">SUM(AM62:AM67)</f>
        <v>656.297</v>
      </c>
      <c r="AN68" s="39" t="n">
        <f aca="false">SUM(AN62:AN67)</f>
        <v>635.852</v>
      </c>
      <c r="AO68" s="39" t="n">
        <f aca="false">SUM(AO62:AO67)</f>
        <v>675.795</v>
      </c>
      <c r="AP68" s="39" t="n">
        <f aca="false">SUM(AP62:AP67)</f>
        <v>650.394</v>
      </c>
      <c r="AQ68" s="26"/>
      <c r="AR68" s="26"/>
      <c r="AS68" s="26"/>
      <c r="AT68" s="26"/>
      <c r="AU68" s="26"/>
      <c r="AV68" s="26"/>
      <c r="AW68" s="26"/>
    </row>
    <row r="69" customFormat="false" ht="14.25" hidden="false" customHeight="true" outlineLevel="0" collapsed="false">
      <c r="B69" s="36"/>
      <c r="G69" s="44"/>
      <c r="H69" s="21"/>
      <c r="P69" s="26"/>
      <c r="AQ69" s="26"/>
      <c r="AR69" s="26"/>
      <c r="AS69" s="26"/>
      <c r="AT69" s="26"/>
      <c r="AU69" s="26"/>
      <c r="AV69" s="26"/>
      <c r="AW69" s="26"/>
    </row>
    <row r="70" customFormat="false" ht="14.25" hidden="false" customHeight="true" outlineLevel="0" collapsed="false">
      <c r="B70" s="1" t="s">
        <v>89</v>
      </c>
      <c r="G70" s="23" t="n">
        <f aca="true">OFFSET(R70,0,MATCH($G$2,$R$3:$AW$3,0)-1)</f>
        <v>1051.822</v>
      </c>
      <c r="H70" s="24" t="n">
        <f aca="false">G70</f>
        <v>1051.822</v>
      </c>
      <c r="J70" s="25" t="n">
        <f aca="false">U70</f>
        <v>1410.169</v>
      </c>
      <c r="K70" s="25" t="n">
        <f aca="false">Y70</f>
        <v>1369.751</v>
      </c>
      <c r="L70" s="25" t="n">
        <f aca="false">AC70</f>
        <v>1468.546</v>
      </c>
      <c r="M70" s="25" t="n">
        <f aca="false">AG70</f>
        <v>1161.433</v>
      </c>
      <c r="N70" s="25" t="n">
        <f aca="false">AK70</f>
        <v>1076.326</v>
      </c>
      <c r="O70" s="25" t="n">
        <f aca="false">AO70</f>
        <v>1008.527</v>
      </c>
      <c r="P70" s="26"/>
      <c r="R70" s="27" t="n">
        <v>1423.267</v>
      </c>
      <c r="S70" s="27" t="n">
        <v>1442.513</v>
      </c>
      <c r="T70" s="27" t="n">
        <v>1399.423</v>
      </c>
      <c r="U70" s="27" t="n">
        <v>1410.169</v>
      </c>
      <c r="V70" s="27" t="n">
        <v>1667.457</v>
      </c>
      <c r="W70" s="27" t="n">
        <v>1594.695</v>
      </c>
      <c r="X70" s="27" t="n">
        <v>1434.417</v>
      </c>
      <c r="Y70" s="27" t="n">
        <v>1369.751</v>
      </c>
      <c r="Z70" s="27" t="n">
        <v>1702.476</v>
      </c>
      <c r="AA70" s="27" t="n">
        <v>1642.832</v>
      </c>
      <c r="AB70" s="27" t="n">
        <v>1578.189</v>
      </c>
      <c r="AC70" s="27" t="n">
        <v>1468.546</v>
      </c>
      <c r="AD70" s="27" t="n">
        <v>1348.904</v>
      </c>
      <c r="AE70" s="27" t="n">
        <v>1274.262</v>
      </c>
      <c r="AF70" s="27" t="n">
        <v>1206.193</v>
      </c>
      <c r="AG70" s="27" t="n">
        <v>1161.433</v>
      </c>
      <c r="AH70" s="27" t="n">
        <v>1151.638</v>
      </c>
      <c r="AI70" s="27" t="n">
        <v>1131.849</v>
      </c>
      <c r="AJ70" s="27" t="n">
        <v>1114.86</v>
      </c>
      <c r="AK70" s="27" t="n">
        <v>1076.326</v>
      </c>
      <c r="AL70" s="27" t="n">
        <v>1075.658</v>
      </c>
      <c r="AM70" s="27" t="n">
        <v>990.954</v>
      </c>
      <c r="AN70" s="27" t="n">
        <v>1058.248</v>
      </c>
      <c r="AO70" s="27" t="n">
        <v>1008.527</v>
      </c>
      <c r="AP70" s="27" t="n">
        <v>1051.822</v>
      </c>
      <c r="AQ70" s="26"/>
      <c r="AR70" s="26"/>
      <c r="AS70" s="26"/>
      <c r="AT70" s="26"/>
      <c r="AU70" s="26"/>
      <c r="AV70" s="26"/>
      <c r="AW70" s="26"/>
    </row>
    <row r="71" customFormat="false" ht="14.25" hidden="false" customHeight="true" outlineLevel="0" collapsed="false">
      <c r="B71" s="1" t="s">
        <v>90</v>
      </c>
      <c r="G71" s="23" t="n">
        <f aca="true">OFFSET(R71,0,MATCH($G$2,$R$3:$AW$3,0)-1)</f>
        <v>705.834</v>
      </c>
      <c r="H71" s="24" t="n">
        <f aca="false">G71</f>
        <v>705.834</v>
      </c>
      <c r="J71" s="25" t="n">
        <f aca="false">U71</f>
        <v>542.785</v>
      </c>
      <c r="K71" s="25" t="n">
        <f aca="false">Y71</f>
        <v>588.204</v>
      </c>
      <c r="L71" s="25" t="n">
        <f aca="false">AC71</f>
        <v>606.844</v>
      </c>
      <c r="M71" s="25" t="n">
        <f aca="false">AG71</f>
        <v>574.152</v>
      </c>
      <c r="N71" s="25" t="n">
        <f aca="false">AK71</f>
        <v>625.884</v>
      </c>
      <c r="O71" s="25" t="n">
        <f aca="false">AO71</f>
        <v>696.557</v>
      </c>
      <c r="P71" s="26"/>
      <c r="R71" s="27" t="n">
        <v>517.421</v>
      </c>
      <c r="S71" s="27" t="n">
        <v>531.284</v>
      </c>
      <c r="T71" s="27" t="n">
        <v>544.882</v>
      </c>
      <c r="U71" s="27" t="n">
        <v>542.785</v>
      </c>
      <c r="V71" s="27" t="n">
        <v>555.414</v>
      </c>
      <c r="W71" s="27" t="n">
        <v>570.954</v>
      </c>
      <c r="X71" s="27" t="n">
        <v>585.507</v>
      </c>
      <c r="Y71" s="27" t="n">
        <v>588.204</v>
      </c>
      <c r="Z71" s="27" t="n">
        <v>582.15</v>
      </c>
      <c r="AA71" s="27" t="n">
        <v>568.816</v>
      </c>
      <c r="AB71" s="27" t="n">
        <v>591.346</v>
      </c>
      <c r="AC71" s="27" t="n">
        <v>606.844</v>
      </c>
      <c r="AD71" s="27" t="n">
        <v>606.561</v>
      </c>
      <c r="AE71" s="27" t="n">
        <v>612.682</v>
      </c>
      <c r="AF71" s="27" t="n">
        <v>552.913</v>
      </c>
      <c r="AG71" s="27" t="n">
        <v>574.152</v>
      </c>
      <c r="AH71" s="27" t="n">
        <v>580.014</v>
      </c>
      <c r="AI71" s="27" t="n">
        <v>590.876</v>
      </c>
      <c r="AJ71" s="27" t="n">
        <v>604.596</v>
      </c>
      <c r="AK71" s="27" t="n">
        <v>625.884</v>
      </c>
      <c r="AL71" s="27" t="n">
        <v>638.438</v>
      </c>
      <c r="AM71" s="27" t="n">
        <v>656.528</v>
      </c>
      <c r="AN71" s="27" t="n">
        <v>672.711</v>
      </c>
      <c r="AO71" s="27" t="n">
        <v>696.557</v>
      </c>
      <c r="AP71" s="27" t="n">
        <v>705.834</v>
      </c>
      <c r="AQ71" s="26"/>
      <c r="AR71" s="26"/>
      <c r="AS71" s="26"/>
      <c r="AT71" s="26"/>
      <c r="AU71" s="26"/>
      <c r="AV71" s="26"/>
      <c r="AW71" s="26"/>
    </row>
    <row r="72" customFormat="false" ht="14.25" hidden="false" customHeight="true" outlineLevel="0" collapsed="false">
      <c r="B72" s="1" t="s">
        <v>91</v>
      </c>
      <c r="G72" s="23" t="n">
        <f aca="true">OFFSET(R72,0,MATCH($G$2,$R$3:$AW$3,0)-1)</f>
        <v>136.98</v>
      </c>
      <c r="H72" s="24" t="n">
        <f aca="false">G72</f>
        <v>136.98</v>
      </c>
      <c r="J72" s="25" t="n">
        <f aca="false">U72</f>
        <v>0</v>
      </c>
      <c r="K72" s="25" t="n">
        <f aca="false">Y72</f>
        <v>139.457</v>
      </c>
      <c r="L72" s="25" t="n">
        <f aca="false">AC72</f>
        <v>163.496</v>
      </c>
      <c r="M72" s="25" t="n">
        <f aca="false">AG72</f>
        <v>159.672</v>
      </c>
      <c r="N72" s="25" t="n">
        <f aca="false">AK72</f>
        <v>142.14</v>
      </c>
      <c r="O72" s="25" t="n">
        <f aca="false">AO72</f>
        <v>138.811</v>
      </c>
      <c r="P72" s="26"/>
      <c r="R72" s="27" t="n">
        <v>0</v>
      </c>
      <c r="S72" s="27" t="n">
        <v>0</v>
      </c>
      <c r="T72" s="27" t="n">
        <v>0</v>
      </c>
      <c r="U72" s="27" t="n">
        <v>0</v>
      </c>
      <c r="V72" s="27" t="n">
        <v>139.192</v>
      </c>
      <c r="W72" s="27" t="n">
        <v>136.97</v>
      </c>
      <c r="X72" s="27" t="n">
        <v>135.017</v>
      </c>
      <c r="Y72" s="27" t="n">
        <v>139.457</v>
      </c>
      <c r="Z72" s="27" t="n">
        <v>138.884</v>
      </c>
      <c r="AA72" s="27" t="n">
        <v>171.629</v>
      </c>
      <c r="AB72" s="27" t="n">
        <v>167.884</v>
      </c>
      <c r="AC72" s="27" t="n">
        <v>163.496</v>
      </c>
      <c r="AD72" s="27" t="n">
        <v>161.133</v>
      </c>
      <c r="AE72" s="27" t="n">
        <v>153.457</v>
      </c>
      <c r="AF72" s="27" t="n">
        <v>152.615</v>
      </c>
      <c r="AG72" s="27" t="n">
        <v>159.672</v>
      </c>
      <c r="AH72" s="27" t="n">
        <v>156.271</v>
      </c>
      <c r="AI72" s="27" t="n">
        <v>150.355</v>
      </c>
      <c r="AJ72" s="27" t="n">
        <v>144.201</v>
      </c>
      <c r="AK72" s="27" t="n">
        <v>142.14</v>
      </c>
      <c r="AL72" s="27" t="n">
        <v>146.445</v>
      </c>
      <c r="AM72" s="27" t="n">
        <v>142.47</v>
      </c>
      <c r="AN72" s="27" t="n">
        <v>142.237</v>
      </c>
      <c r="AO72" s="27" t="n">
        <v>138.811</v>
      </c>
      <c r="AP72" s="27" t="n">
        <v>136.98</v>
      </c>
      <c r="AQ72" s="26"/>
      <c r="AR72" s="26"/>
      <c r="AS72" s="26"/>
      <c r="AT72" s="26"/>
      <c r="AU72" s="26"/>
      <c r="AV72" s="26"/>
      <c r="AW72" s="26"/>
    </row>
    <row r="73" customFormat="false" ht="14.25" hidden="false" customHeight="true" outlineLevel="0" collapsed="false">
      <c r="B73" s="29" t="s">
        <v>92</v>
      </c>
      <c r="C73" s="29"/>
      <c r="D73" s="29"/>
      <c r="E73" s="29"/>
      <c r="F73" s="29"/>
      <c r="G73" s="30" t="n">
        <f aca="true">OFFSET(R73,0,MATCH($G$2,$R$3:$AW$3,0)-1)</f>
        <v>14.066</v>
      </c>
      <c r="H73" s="31" t="n">
        <f aca="false">G73</f>
        <v>14.066</v>
      </c>
      <c r="I73" s="29"/>
      <c r="J73" s="32" t="n">
        <f aca="false">U73</f>
        <v>94.457</v>
      </c>
      <c r="K73" s="32" t="n">
        <f aca="false">Y73</f>
        <v>95.978</v>
      </c>
      <c r="L73" s="32" t="n">
        <f aca="false">AC73</f>
        <v>131.703</v>
      </c>
      <c r="M73" s="32" t="n">
        <f aca="false">AG73</f>
        <v>71.252</v>
      </c>
      <c r="N73" s="32" t="n">
        <f aca="false">AK73</f>
        <v>23.209</v>
      </c>
      <c r="O73" s="32" t="n">
        <f aca="false">AO73</f>
        <v>15.83</v>
      </c>
      <c r="P73" s="33"/>
      <c r="Q73" s="29"/>
      <c r="R73" s="34" t="n">
        <v>100.786</v>
      </c>
      <c r="S73" s="34" t="n">
        <v>111.47</v>
      </c>
      <c r="T73" s="34" t="n">
        <v>108.953</v>
      </c>
      <c r="U73" s="34" t="n">
        <v>94.457</v>
      </c>
      <c r="V73" s="34" t="n">
        <v>90.497</v>
      </c>
      <c r="W73" s="34" t="n">
        <v>82.066</v>
      </c>
      <c r="X73" s="34" t="n">
        <v>81.455</v>
      </c>
      <c r="Y73" s="34" t="n">
        <v>95.978</v>
      </c>
      <c r="Z73" s="34" t="n">
        <v>93.208</v>
      </c>
      <c r="AA73" s="34" t="n">
        <v>103.054</v>
      </c>
      <c r="AB73" s="34" t="n">
        <v>115.269</v>
      </c>
      <c r="AC73" s="34" t="n">
        <v>131.703</v>
      </c>
      <c r="AD73" s="34" t="n">
        <v>129.301</v>
      </c>
      <c r="AE73" s="34" t="n">
        <v>123.863</v>
      </c>
      <c r="AF73" s="34" t="n">
        <v>119.74</v>
      </c>
      <c r="AG73" s="34" t="n">
        <v>71.252</v>
      </c>
      <c r="AH73" s="34" t="n">
        <v>69.169</v>
      </c>
      <c r="AI73" s="34" t="n">
        <v>60.96</v>
      </c>
      <c r="AJ73" s="34" t="n">
        <v>46.717</v>
      </c>
      <c r="AK73" s="34" t="n">
        <v>23.209</v>
      </c>
      <c r="AL73" s="34" t="n">
        <v>14.279</v>
      </c>
      <c r="AM73" s="34" t="n">
        <v>15.521</v>
      </c>
      <c r="AN73" s="34" t="n">
        <v>15.75</v>
      </c>
      <c r="AO73" s="34" t="n">
        <v>15.83</v>
      </c>
      <c r="AP73" s="34" t="n">
        <v>14.066</v>
      </c>
      <c r="AQ73" s="33"/>
      <c r="AR73" s="33"/>
      <c r="AS73" s="33"/>
      <c r="AT73" s="33"/>
      <c r="AU73" s="33"/>
      <c r="AV73" s="33"/>
      <c r="AW73" s="33"/>
    </row>
    <row r="74" customFormat="false" ht="14.25" hidden="false" customHeight="true" outlineLevel="0" collapsed="false">
      <c r="B74" s="36" t="s">
        <v>93</v>
      </c>
      <c r="G74" s="37" t="n">
        <f aca="false">SUM(G70:G73)+G68</f>
        <v>2559.096</v>
      </c>
      <c r="H74" s="38" t="n">
        <f aca="false">SUM(H70:H73)+H68</f>
        <v>2559.096</v>
      </c>
      <c r="J74" s="39" t="n">
        <f aca="false">SUM(J70:J73)+J68</f>
        <v>2655.193</v>
      </c>
      <c r="K74" s="39" t="n">
        <f aca="false">SUM(K70:K73)+K68</f>
        <v>2707.505</v>
      </c>
      <c r="L74" s="39" t="n">
        <f aca="false">SUM(L70:L73)+L68</f>
        <v>2836.621</v>
      </c>
      <c r="M74" s="39" t="n">
        <f aca="false">SUM(M70:M73)+M68</f>
        <v>2510.281</v>
      </c>
      <c r="N74" s="39" t="n">
        <f aca="false">SUM(N70:N73)+N68</f>
        <v>2509.756</v>
      </c>
      <c r="O74" s="39" t="n">
        <f aca="false">SUM(O70:O73)+O68</f>
        <v>2535.52</v>
      </c>
      <c r="P74" s="26"/>
      <c r="R74" s="39" t="n">
        <f aca="false">SUM(R70:R73)+R68</f>
        <v>2572.632</v>
      </c>
      <c r="S74" s="39" t="n">
        <f aca="false">SUM(S70:S73)+S68</f>
        <v>2641.585</v>
      </c>
      <c r="T74" s="39" t="n">
        <f aca="false">SUM(T70:T73)+T68</f>
        <v>2621.184</v>
      </c>
      <c r="U74" s="39" t="n">
        <f aca="false">SUM(U70:U73)+U68</f>
        <v>2655.193</v>
      </c>
      <c r="V74" s="39" t="n">
        <f aca="false">SUM(V70:V73)+V68</f>
        <v>3035.284</v>
      </c>
      <c r="W74" s="39" t="n">
        <f aca="false">SUM(W70:W73)+W68</f>
        <v>2910.718</v>
      </c>
      <c r="X74" s="39" t="n">
        <f aca="false">SUM(X70:X73)+X68</f>
        <v>2753.387</v>
      </c>
      <c r="Y74" s="39" t="n">
        <f aca="false">SUM(Y70:Y73)+Y68</f>
        <v>2707.505</v>
      </c>
      <c r="Z74" s="39" t="n">
        <f aca="false">SUM(Z70:Z73)+Z68</f>
        <v>3013.05</v>
      </c>
      <c r="AA74" s="39" t="n">
        <f aca="false">SUM(AA70:AA73)+AA68</f>
        <v>2965.027</v>
      </c>
      <c r="AB74" s="39" t="n">
        <f aca="false">SUM(AB70:AB73)+AB68</f>
        <v>2902.753</v>
      </c>
      <c r="AC74" s="39" t="n">
        <f aca="false">SUM(AC70:AC73)+AC68</f>
        <v>2836.621</v>
      </c>
      <c r="AD74" s="39" t="n">
        <f aca="false">SUM(AD70:AD73)+AD68</f>
        <v>2699.342</v>
      </c>
      <c r="AE74" s="39" t="n">
        <f aca="false">SUM(AE70:AE73)+AE68</f>
        <v>2662.486</v>
      </c>
      <c r="AF74" s="39" t="n">
        <f aca="false">SUM(AF70:AF73)+AF68</f>
        <v>2543.658</v>
      </c>
      <c r="AG74" s="39" t="n">
        <f aca="false">SUM(AG70:AG73)+AG68</f>
        <v>2510.281</v>
      </c>
      <c r="AH74" s="39" t="n">
        <f aca="false">SUM(AH70:AH73)+AH68</f>
        <v>2470.927</v>
      </c>
      <c r="AI74" s="39" t="n">
        <f aca="false">SUM(AI70:AI73)+AI68</f>
        <v>2475.412</v>
      </c>
      <c r="AJ74" s="39" t="n">
        <f aca="false">SUM(AJ70:AJ73)+AJ68</f>
        <v>2480.935</v>
      </c>
      <c r="AK74" s="39" t="n">
        <f aca="false">SUM(AK70:AK73)+AK68</f>
        <v>2509.756</v>
      </c>
      <c r="AL74" s="39" t="n">
        <f aca="false">SUM(AL70:AL73)+AL68</f>
        <v>2489.608</v>
      </c>
      <c r="AM74" s="39" t="n">
        <f aca="false">SUM(AM70:AM73)+AM68</f>
        <v>2461.77</v>
      </c>
      <c r="AN74" s="39" t="n">
        <f aca="false">SUM(AN70:AN73)+AN68</f>
        <v>2524.798</v>
      </c>
      <c r="AO74" s="39" t="n">
        <f aca="false">SUM(AO70:AO73)+AO68</f>
        <v>2535.52</v>
      </c>
      <c r="AP74" s="39" t="n">
        <f aca="false">SUM(AP70:AP73)+AP68</f>
        <v>2559.096</v>
      </c>
      <c r="AQ74" s="26"/>
      <c r="AR74" s="26"/>
      <c r="AS74" s="26"/>
      <c r="AT74" s="26"/>
      <c r="AU74" s="26"/>
      <c r="AV74" s="26"/>
      <c r="AW74" s="26"/>
    </row>
    <row r="75" customFormat="false" ht="14.25" hidden="false" customHeight="true" outlineLevel="0" collapsed="false">
      <c r="B75" s="36"/>
      <c r="F75" s="64"/>
      <c r="G75" s="65"/>
      <c r="H75" s="66"/>
      <c r="J75" s="67"/>
      <c r="K75" s="67"/>
      <c r="L75" s="67"/>
      <c r="M75" s="67"/>
      <c r="N75" s="67"/>
      <c r="O75" s="67"/>
      <c r="P75" s="26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  <c r="AQ75" s="26"/>
      <c r="AR75" s="26"/>
      <c r="AS75" s="26"/>
      <c r="AT75" s="26"/>
      <c r="AU75" s="26"/>
      <c r="AV75" s="26"/>
      <c r="AW75" s="26"/>
    </row>
    <row r="76" customFormat="false" ht="14.25" hidden="false" customHeight="true" outlineLevel="0" collapsed="false">
      <c r="B76" s="4" t="s">
        <v>94</v>
      </c>
      <c r="G76" s="68" t="n">
        <f aca="false">G70+G67-G48</f>
        <v>1130.041</v>
      </c>
      <c r="H76" s="69" t="n">
        <f aca="false">H70+H67-H48</f>
        <v>1130.041</v>
      </c>
      <c r="J76" s="70" t="n">
        <f aca="false">J70+J67-J48</f>
        <v>1482.492</v>
      </c>
      <c r="K76" s="70" t="n">
        <f aca="false">K70+K67-K48</f>
        <v>1387.996</v>
      </c>
      <c r="L76" s="70" t="n">
        <f aca="false">L70+L67-L48</f>
        <v>1433.614</v>
      </c>
      <c r="M76" s="70" t="n">
        <f aca="false">M70+M67-M48</f>
        <v>1199.39</v>
      </c>
      <c r="N76" s="70" t="n">
        <f aca="false">N70+N67-N48</f>
        <v>1115.054</v>
      </c>
      <c r="O76" s="70" t="n">
        <f aca="false">O70+O67-O48</f>
        <v>1110.527</v>
      </c>
      <c r="P76" s="26"/>
      <c r="R76" s="70" t="n">
        <f aca="false">R70+R62-R48</f>
        <v>1416.284</v>
      </c>
      <c r="S76" s="70" t="n">
        <f aca="false">S70+S62-S48</f>
        <v>1438.332</v>
      </c>
      <c r="T76" s="70" t="n">
        <f aca="false">T70+T62-T48</f>
        <v>1396.314</v>
      </c>
      <c r="U76" s="70" t="n">
        <f aca="false">U70+U62-U48</f>
        <v>1402.388</v>
      </c>
      <c r="V76" s="70" t="n">
        <f aca="false">V70+V62-V48</f>
        <v>1660.185</v>
      </c>
      <c r="W76" s="70" t="n">
        <f aca="false">W70+W62-W48</f>
        <v>1572.185</v>
      </c>
      <c r="X76" s="70" t="n">
        <f aca="false">X70+X62-X48</f>
        <v>1425.007</v>
      </c>
      <c r="Y76" s="70" t="n">
        <f aca="false">Y70+Y62-Y48</f>
        <v>1345.03</v>
      </c>
      <c r="Z76" s="70" t="n">
        <f aca="false">Z70+Z62-Z48</f>
        <v>1379.905</v>
      </c>
      <c r="AA76" s="70" t="n">
        <f aca="false">AA70+AA62-AA48</f>
        <v>1534.368</v>
      </c>
      <c r="AB76" s="70" t="n">
        <f aca="false">AB70+AB62-AB48</f>
        <v>1458.758</v>
      </c>
      <c r="AC76" s="70" t="n">
        <f aca="false">AC70+AC62-AC48</f>
        <v>1388.248</v>
      </c>
      <c r="AD76" s="70" t="n">
        <f aca="false">AD70+AD62-AD48</f>
        <v>1297.005</v>
      </c>
      <c r="AE76" s="70" t="n">
        <f aca="false">AE70+AE62-AE48</f>
        <v>1222.627</v>
      </c>
      <c r="AF76" s="70" t="n">
        <f aca="false">AF70+AF62-AF48</f>
        <v>1153.799</v>
      </c>
      <c r="AG76" s="70" t="n">
        <f aca="false">AG70+AG62-AG48</f>
        <v>1128.554</v>
      </c>
      <c r="AH76" s="70" t="n">
        <f aca="false">AH70+AH62-AH48</f>
        <v>1122.337</v>
      </c>
      <c r="AI76" s="70" t="n">
        <f aca="false">AI70+AI62-AI48</f>
        <v>1110.951</v>
      </c>
      <c r="AJ76" s="70" t="n">
        <f aca="false">AJ70+AJ62-AJ48</f>
        <v>1081.468</v>
      </c>
      <c r="AK76" s="70" t="n">
        <f aca="false">AK70+AK62-AK48</f>
        <v>999.041</v>
      </c>
      <c r="AL76" s="70" t="n">
        <f aca="false">AL70+AL62-AL48</f>
        <v>1052.942</v>
      </c>
      <c r="AM76" s="70" t="n">
        <f aca="false">AM70+AM62-AM48</f>
        <v>961.798</v>
      </c>
      <c r="AN76" s="70" t="n">
        <f aca="false">AN70+AN62-AN48</f>
        <v>1025.74</v>
      </c>
      <c r="AO76" s="70" t="n">
        <f aca="false">AO70+AO62-AO48</f>
        <v>984.018</v>
      </c>
      <c r="AP76" s="70" t="n">
        <f aca="false">AP70+AP62-AP48</f>
        <v>985.249</v>
      </c>
      <c r="AQ76" s="26"/>
      <c r="AR76" s="26"/>
      <c r="AS76" s="26"/>
      <c r="AT76" s="26"/>
      <c r="AU76" s="26"/>
      <c r="AV76" s="26"/>
      <c r="AW76" s="26"/>
    </row>
    <row r="77" customFormat="false" ht="14.25" hidden="false" customHeight="true" outlineLevel="0" collapsed="false">
      <c r="B77" s="4" t="s">
        <v>95</v>
      </c>
      <c r="G77" s="68" t="n">
        <f aca="false">G49+G50+G51+G52-G63-G64-G65-G67</f>
        <v>491.112</v>
      </c>
      <c r="H77" s="69" t="n">
        <f aca="false">H49+H50+H51+H52-H63-H64-H65-H67</f>
        <v>491.112</v>
      </c>
      <c r="J77" s="70" t="n">
        <f aca="false">J49+J50+J51+J52-J63-J64-J65-J67</f>
        <v>480.926</v>
      </c>
      <c r="K77" s="70" t="n">
        <f aca="false">K49+K50+K51+K52-K63-K64-K65-K67</f>
        <v>406.067</v>
      </c>
      <c r="L77" s="70" t="n">
        <f aca="false">L49+L50+L51+L52-L63-L64-L65-L67</f>
        <v>534.391</v>
      </c>
      <c r="M77" s="70" t="n">
        <f aca="false">M49+M50+M51+M52-M63-M64-M65-M67</f>
        <v>461.116</v>
      </c>
      <c r="N77" s="70" t="n">
        <f aca="false">N49+N50+N51+N52-N63-N64-N65-N67</f>
        <v>528.721</v>
      </c>
      <c r="O77" s="70" t="n">
        <f aca="false">O49+O50+O51+O52-O63-O64-O65-O67</f>
        <v>468.197</v>
      </c>
      <c r="P77" s="26"/>
      <c r="R77" s="70" t="n">
        <f aca="false">R49+R50+R51+R52-R63-R64-R65-R67</f>
        <v>518.513</v>
      </c>
      <c r="S77" s="70" t="n">
        <f aca="false">S49+S50+S51+S52-S63-S64-S65-S67</f>
        <v>474.833</v>
      </c>
      <c r="T77" s="70" t="n">
        <f aca="false">T49+T50+T51+T52-T63-T64-T65-T67</f>
        <v>483.485</v>
      </c>
      <c r="U77" s="70" t="n">
        <f aca="false">U49+U50+U51+U52-U63-U64-U65-U67</f>
        <v>480.926</v>
      </c>
      <c r="V77" s="70" t="n">
        <f aca="false">V49+V50+V51+V52-V63-V64-V65-V67</f>
        <v>556.842</v>
      </c>
      <c r="W77" s="70" t="n">
        <f aca="false">W49+W50+W51+W52-W63-W64-W65-W67</f>
        <v>535.139</v>
      </c>
      <c r="X77" s="70" t="n">
        <f aca="false">X49+X50+X51+X52-X63-X64-X65-X67</f>
        <v>461.133</v>
      </c>
      <c r="Y77" s="70" t="n">
        <f aca="false">Y49+Y50+Y51+Y52-Y63-Y64-Y65-Y67</f>
        <v>406.067</v>
      </c>
      <c r="Z77" s="70" t="n">
        <f aca="false">Z49+Z50+Z51+Z52-Z63-Z64-Z65-Z67</f>
        <v>575.03</v>
      </c>
      <c r="AA77" s="70" t="n">
        <f aca="false">AA49+AA50+AA51+AA52-AA63-AA64-AA65-AA67</f>
        <v>524.915</v>
      </c>
      <c r="AB77" s="70" t="n">
        <f aca="false">AB49+AB50+AB51+AB52-AB63-AB64-AB65-AB67</f>
        <v>523.768</v>
      </c>
      <c r="AC77" s="70" t="n">
        <f aca="false">AC49+AC50+AC51+AC52-AC63-AC64-AC65-AC67</f>
        <v>534.391</v>
      </c>
      <c r="AD77" s="70" t="n">
        <f aca="false">AD49+AD50+AD51+AD52-AD63-AD64-AD65-AD67</f>
        <v>485.897</v>
      </c>
      <c r="AE77" s="70" t="n">
        <f aca="false">AE49+AE50+AE51+AE52-AE63-AE64-AE65-AE67</f>
        <v>445.249</v>
      </c>
      <c r="AF77" s="70" t="n">
        <f aca="false">AF49+AF50+AF51+AF52-AF63-AF64-AF65-AF67</f>
        <v>446.813</v>
      </c>
      <c r="AG77" s="70" t="n">
        <f aca="false">AG49+AG50+AG51+AG52-AG63-AG64-AG65-AG67</f>
        <v>461.116</v>
      </c>
      <c r="AH77" s="70" t="n">
        <f aca="false">AH49+AH50+AH51+AH52-AH63-AH64-AH65-AH67</f>
        <v>506.649</v>
      </c>
      <c r="AI77" s="70" t="n">
        <f aca="false">AI49+AI50+AI51+AI52-AI63-AI64-AI65-AI67</f>
        <v>524.652</v>
      </c>
      <c r="AJ77" s="70" t="n">
        <f aca="false">AJ49+AJ50+AJ51+AJ52-AJ63-AJ64-AJ65-AJ67</f>
        <v>555.924</v>
      </c>
      <c r="AK77" s="70" t="n">
        <f aca="false">AK49+AK50+AK51+AK52-AK63-AK64-AK65-AK67</f>
        <v>528.721</v>
      </c>
      <c r="AL77" s="70" t="n">
        <f aca="false">AL49+AL50+AL51+AL52-AL63-AL64-AL65-AL67</f>
        <v>595.747</v>
      </c>
      <c r="AM77" s="70" t="n">
        <f aca="false">AM49+AM50+AM51+AM52-AM63-AM64-AM65-AM67</f>
        <v>516.337</v>
      </c>
      <c r="AN77" s="70" t="n">
        <f aca="false">AN49+AN50+AN51+AN52-AN63-AN64-AN65-AN67</f>
        <v>559.381</v>
      </c>
      <c r="AO77" s="70" t="n">
        <f aca="false">AO49+AO50+AO51+AO52-AO63-AO64-AO65-AO67</f>
        <v>468.197</v>
      </c>
      <c r="AP77" s="70" t="n">
        <f aca="false">AP49+AP50+AP51+AP52-AP63-AP64-AP65-AP67</f>
        <v>491.112</v>
      </c>
      <c r="AQ77" s="26"/>
      <c r="AR77" s="26"/>
      <c r="AS77" s="26"/>
      <c r="AT77" s="26"/>
      <c r="AU77" s="26"/>
      <c r="AV77" s="26"/>
      <c r="AW77" s="26"/>
    </row>
    <row r="78" customFormat="false" ht="14.25" hidden="false" customHeight="true" outlineLevel="0" collapsed="false">
      <c r="G78" s="44"/>
      <c r="H78" s="21"/>
      <c r="P78" s="26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26"/>
      <c r="AR78" s="26"/>
      <c r="AS78" s="26"/>
      <c r="AT78" s="26"/>
      <c r="AU78" s="26"/>
      <c r="AV78" s="26"/>
      <c r="AW78" s="26"/>
    </row>
    <row r="79" customFormat="false" ht="14.25" hidden="false" customHeight="true" outlineLevel="0" collapsed="false">
      <c r="B79" s="1" t="s">
        <v>96</v>
      </c>
      <c r="G79" s="23" t="n">
        <f aca="true">OFFSET(R79,0,MATCH($G$2,$R$3:$AW$3,0)-1)</f>
        <v>3215.648</v>
      </c>
      <c r="H79" s="24" t="n">
        <f aca="false">G79</f>
        <v>3215.648</v>
      </c>
      <c r="J79" s="25" t="n">
        <f aca="false">U79</f>
        <v>3213.187</v>
      </c>
      <c r="K79" s="25" t="n">
        <f aca="false">Y79</f>
        <v>3368.623</v>
      </c>
      <c r="L79" s="25" t="n">
        <f aca="false">AC79</f>
        <v>3084.306</v>
      </c>
      <c r="M79" s="25" t="n">
        <f aca="false">AG79</f>
        <v>2886.324</v>
      </c>
      <c r="N79" s="25" t="n">
        <f aca="false">AK79</f>
        <v>3042.877</v>
      </c>
      <c r="O79" s="25" t="n">
        <f aca="false">AO79</f>
        <v>3185.431</v>
      </c>
      <c r="P79" s="26"/>
      <c r="R79" s="27" t="n">
        <v>3138.495</v>
      </c>
      <c r="S79" s="27" t="n">
        <v>3184.35</v>
      </c>
      <c r="T79" s="27" t="n">
        <v>3229.911</v>
      </c>
      <c r="U79" s="27" t="n">
        <v>3213.187</v>
      </c>
      <c r="V79" s="27" t="n">
        <v>3262.336</v>
      </c>
      <c r="W79" s="27" t="n">
        <v>3319.154</v>
      </c>
      <c r="X79" s="27" t="n">
        <v>3371.521</v>
      </c>
      <c r="Y79" s="27" t="n">
        <v>3368.623</v>
      </c>
      <c r="Z79" s="27" t="n">
        <v>3121.482</v>
      </c>
      <c r="AA79" s="27" t="n">
        <v>3048.853</v>
      </c>
      <c r="AB79" s="27" t="n">
        <v>3075.263</v>
      </c>
      <c r="AC79" s="27" t="n">
        <v>3084.306</v>
      </c>
      <c r="AD79" s="27" t="n">
        <v>3085.267</v>
      </c>
      <c r="AE79" s="27" t="n">
        <v>3101.69</v>
      </c>
      <c r="AF79" s="27" t="n">
        <v>2843.746</v>
      </c>
      <c r="AG79" s="27" t="n">
        <v>2886.324</v>
      </c>
      <c r="AH79" s="27" t="n">
        <v>2911.855</v>
      </c>
      <c r="AI79" s="27" t="n">
        <v>2927.387</v>
      </c>
      <c r="AJ79" s="27" t="n">
        <v>2973.057</v>
      </c>
      <c r="AK79" s="27" t="n">
        <v>3042.877</v>
      </c>
      <c r="AL79" s="27" t="n">
        <v>3082.926</v>
      </c>
      <c r="AM79" s="27" t="n">
        <v>3110.644</v>
      </c>
      <c r="AN79" s="27" t="n">
        <v>3156.892</v>
      </c>
      <c r="AO79" s="27" t="n">
        <v>3185.431</v>
      </c>
      <c r="AP79" s="27" t="n">
        <v>3215.648</v>
      </c>
      <c r="AQ79" s="26"/>
      <c r="AR79" s="26"/>
      <c r="AS79" s="26"/>
      <c r="AT79" s="26"/>
      <c r="AU79" s="26"/>
      <c r="AV79" s="26"/>
      <c r="AW79" s="26"/>
    </row>
    <row r="80" customFormat="false" ht="14.25" hidden="false" customHeight="true" outlineLevel="0" collapsed="false">
      <c r="B80" s="29" t="s">
        <v>97</v>
      </c>
      <c r="C80" s="29"/>
      <c r="D80" s="29"/>
      <c r="E80" s="29"/>
      <c r="F80" s="29"/>
      <c r="G80" s="30" t="n">
        <f aca="true">OFFSET(R80,0,MATCH($G$2,$R$3:$AW$3,0)-1)</f>
        <v>1.093</v>
      </c>
      <c r="H80" s="31" t="n">
        <f aca="false">G80</f>
        <v>1.093</v>
      </c>
      <c r="I80" s="29"/>
      <c r="J80" s="32" t="n">
        <f aca="false">U80</f>
        <v>3.237</v>
      </c>
      <c r="K80" s="32" t="n">
        <f aca="false">Y80</f>
        <v>2.969</v>
      </c>
      <c r="L80" s="32" t="n">
        <f aca="false">AC80</f>
        <v>3.247</v>
      </c>
      <c r="M80" s="32" t="n">
        <f aca="false">AG80</f>
        <v>2.458</v>
      </c>
      <c r="N80" s="32" t="n">
        <f aca="false">AK80</f>
        <v>2.291</v>
      </c>
      <c r="O80" s="32" t="n">
        <f aca="false">AO80</f>
        <v>1.246</v>
      </c>
      <c r="P80" s="33"/>
      <c r="Q80" s="29"/>
      <c r="R80" s="34" t="n">
        <v>3.373</v>
      </c>
      <c r="S80" s="34" t="n">
        <v>3.373</v>
      </c>
      <c r="T80" s="34" t="n">
        <v>3.237</v>
      </c>
      <c r="U80" s="34" t="n">
        <v>3.237</v>
      </c>
      <c r="V80" s="34" t="n">
        <v>3.072</v>
      </c>
      <c r="W80" s="34" t="n">
        <v>3.018</v>
      </c>
      <c r="X80" s="34" t="n">
        <v>2.977</v>
      </c>
      <c r="Y80" s="34" t="n">
        <v>2.969</v>
      </c>
      <c r="Z80" s="34" t="n">
        <v>3.045</v>
      </c>
      <c r="AA80" s="34" t="n">
        <v>3.104</v>
      </c>
      <c r="AB80" s="34" t="n">
        <v>3.104</v>
      </c>
      <c r="AC80" s="34" t="n">
        <v>3.247</v>
      </c>
      <c r="AD80" s="34" t="n">
        <v>3.477</v>
      </c>
      <c r="AE80" s="34" t="n">
        <v>3.639</v>
      </c>
      <c r="AF80" s="34" t="n">
        <v>2.478</v>
      </c>
      <c r="AG80" s="34" t="n">
        <v>2.458</v>
      </c>
      <c r="AH80" s="34" t="n">
        <v>2.41</v>
      </c>
      <c r="AI80" s="34" t="n">
        <v>2.357</v>
      </c>
      <c r="AJ80" s="34" t="n">
        <v>2.306</v>
      </c>
      <c r="AK80" s="34" t="n">
        <v>2.291</v>
      </c>
      <c r="AL80" s="34" t="n">
        <v>2.214</v>
      </c>
      <c r="AM80" s="34" t="n">
        <v>2.165</v>
      </c>
      <c r="AN80" s="34" t="n">
        <v>1.19</v>
      </c>
      <c r="AO80" s="34" t="n">
        <v>1.246</v>
      </c>
      <c r="AP80" s="34" t="n">
        <v>1.093</v>
      </c>
      <c r="AQ80" s="33"/>
      <c r="AR80" s="33"/>
      <c r="AS80" s="33"/>
      <c r="AT80" s="33"/>
      <c r="AU80" s="33"/>
      <c r="AV80" s="33"/>
      <c r="AW80" s="33"/>
    </row>
    <row r="81" customFormat="false" ht="14.25" hidden="false" customHeight="true" outlineLevel="0" collapsed="false">
      <c r="B81" s="36" t="s">
        <v>98</v>
      </c>
      <c r="G81" s="37" t="n">
        <f aca="false">SUM(G79:G80)</f>
        <v>3216.741</v>
      </c>
      <c r="H81" s="38" t="n">
        <f aca="false">SUM(H79:H80)</f>
        <v>3216.741</v>
      </c>
      <c r="J81" s="39" t="n">
        <f aca="false">SUM(J79:J80)</f>
        <v>3216.424</v>
      </c>
      <c r="K81" s="39" t="n">
        <f aca="false">SUM(K79:K80)</f>
        <v>3371.592</v>
      </c>
      <c r="L81" s="39" t="n">
        <f aca="false">SUM(L79:L80)</f>
        <v>3087.553</v>
      </c>
      <c r="M81" s="39" t="n">
        <f aca="false">SUM(M79:M80)</f>
        <v>2888.782</v>
      </c>
      <c r="N81" s="39" t="n">
        <f aca="false">SUM(N79:N80)</f>
        <v>3045.168</v>
      </c>
      <c r="O81" s="39" t="n">
        <f aca="false">SUM(O79:O80)</f>
        <v>3186.677</v>
      </c>
      <c r="P81" s="26"/>
      <c r="R81" s="39" t="n">
        <f aca="false">SUM(R79:R80)</f>
        <v>3141.868</v>
      </c>
      <c r="S81" s="39" t="n">
        <f aca="false">SUM(S79:S80)</f>
        <v>3187.723</v>
      </c>
      <c r="T81" s="39" t="n">
        <f aca="false">SUM(T79:T80)</f>
        <v>3233.148</v>
      </c>
      <c r="U81" s="39" t="n">
        <f aca="false">SUM(U79:U80)</f>
        <v>3216.424</v>
      </c>
      <c r="V81" s="39" t="n">
        <f aca="false">SUM(V79:V80)</f>
        <v>3265.408</v>
      </c>
      <c r="W81" s="39" t="n">
        <f aca="false">SUM(W79:W80)</f>
        <v>3322.172</v>
      </c>
      <c r="X81" s="39" t="n">
        <f aca="false">SUM(X79:X80)</f>
        <v>3374.498</v>
      </c>
      <c r="Y81" s="39" t="n">
        <f aca="false">SUM(Y79:Y80)</f>
        <v>3371.592</v>
      </c>
      <c r="Z81" s="39" t="n">
        <f aca="false">SUM(Z79:Z80)</f>
        <v>3124.527</v>
      </c>
      <c r="AA81" s="39" t="n">
        <f aca="false">SUM(AA79:AA80)</f>
        <v>3051.957</v>
      </c>
      <c r="AB81" s="39" t="n">
        <f aca="false">SUM(AB79:AB80)</f>
        <v>3078.367</v>
      </c>
      <c r="AC81" s="39" t="n">
        <f aca="false">SUM(AC79:AC80)</f>
        <v>3087.553</v>
      </c>
      <c r="AD81" s="39" t="n">
        <f aca="false">SUM(AD79:AD80)</f>
        <v>3088.744</v>
      </c>
      <c r="AE81" s="39" t="n">
        <f aca="false">SUM(AE79:AE80)</f>
        <v>3105.329</v>
      </c>
      <c r="AF81" s="39" t="n">
        <f aca="false">SUM(AF79:AF80)</f>
        <v>2846.224</v>
      </c>
      <c r="AG81" s="39" t="n">
        <f aca="false">SUM(AG79:AG80)</f>
        <v>2888.782</v>
      </c>
      <c r="AH81" s="39" t="n">
        <f aca="false">SUM(AH79:AH80)</f>
        <v>2914.265</v>
      </c>
      <c r="AI81" s="39" t="n">
        <f aca="false">SUM(AI79:AI80)</f>
        <v>2929.744</v>
      </c>
      <c r="AJ81" s="39" t="n">
        <f aca="false">SUM(AJ79:AJ80)</f>
        <v>2975.363</v>
      </c>
      <c r="AK81" s="39" t="n">
        <f aca="false">SUM(AK79:AK80)</f>
        <v>3045.168</v>
      </c>
      <c r="AL81" s="39" t="n">
        <f aca="false">SUM(AL79:AL80)</f>
        <v>3085.14</v>
      </c>
      <c r="AM81" s="39" t="n">
        <f aca="false">SUM(AM79:AM80)</f>
        <v>3112.809</v>
      </c>
      <c r="AN81" s="39" t="n">
        <f aca="false">SUM(AN79:AN80)</f>
        <v>3158.082</v>
      </c>
      <c r="AO81" s="39" t="n">
        <f aca="false">SUM(AO79:AO80)</f>
        <v>3186.677</v>
      </c>
      <c r="AP81" s="39" t="n">
        <f aca="false">SUM(AP79:AP80)</f>
        <v>3216.741</v>
      </c>
      <c r="AQ81" s="26"/>
      <c r="AR81" s="26"/>
      <c r="AS81" s="26"/>
      <c r="AT81" s="26"/>
      <c r="AU81" s="26"/>
      <c r="AV81" s="26"/>
      <c r="AW81" s="26"/>
    </row>
    <row r="82" customFormat="false" ht="14.25" hidden="false" customHeight="true" outlineLevel="0" collapsed="false">
      <c r="G82" s="44"/>
      <c r="H82" s="21"/>
      <c r="P82" s="26"/>
      <c r="AQ82" s="26"/>
      <c r="AR82" s="26"/>
      <c r="AS82" s="26"/>
      <c r="AT82" s="26"/>
      <c r="AU82" s="26"/>
      <c r="AV82" s="26"/>
      <c r="AW82" s="26"/>
    </row>
    <row r="83" customFormat="false" ht="14.25" hidden="false" customHeight="true" outlineLevel="0" collapsed="false">
      <c r="B83" s="36" t="s">
        <v>99</v>
      </c>
      <c r="G83" s="37" t="n">
        <f aca="false">SUM(G81,G74)</f>
        <v>5775.837</v>
      </c>
      <c r="H83" s="38" t="n">
        <f aca="false">SUM(H81,H74)</f>
        <v>5775.837</v>
      </c>
      <c r="J83" s="39" t="n">
        <f aca="false">SUM(J81,J74)</f>
        <v>5871.617</v>
      </c>
      <c r="K83" s="39" t="n">
        <f aca="false">SUM(K81,K74)</f>
        <v>6079.097</v>
      </c>
      <c r="L83" s="39" t="n">
        <f aca="false">SUM(L81,L74)</f>
        <v>5924.174</v>
      </c>
      <c r="M83" s="39" t="n">
        <f aca="false">SUM(M81,M74)</f>
        <v>5399.063</v>
      </c>
      <c r="N83" s="39" t="n">
        <f aca="false">SUM(N81,N74)</f>
        <v>5554.924</v>
      </c>
      <c r="O83" s="39" t="n">
        <f aca="false">SUM(O81,O74)</f>
        <v>5722.197</v>
      </c>
      <c r="P83" s="26"/>
      <c r="R83" s="39" t="n">
        <f aca="false">SUM(R81,R74)</f>
        <v>5714.5</v>
      </c>
      <c r="S83" s="39" t="n">
        <f aca="false">SUM(S81,S74)</f>
        <v>5829.308</v>
      </c>
      <c r="T83" s="39" t="n">
        <f aca="false">SUM(T81,T74)</f>
        <v>5854.332</v>
      </c>
      <c r="U83" s="39" t="n">
        <f aca="false">SUM(U81,U74)</f>
        <v>5871.617</v>
      </c>
      <c r="V83" s="39" t="n">
        <f aca="false">SUM(V81,V74)</f>
        <v>6300.692</v>
      </c>
      <c r="W83" s="39" t="n">
        <f aca="false">SUM(W81,W74)</f>
        <v>6232.89</v>
      </c>
      <c r="X83" s="39" t="n">
        <f aca="false">SUM(X81,X74)</f>
        <v>6127.885</v>
      </c>
      <c r="Y83" s="39" t="n">
        <f aca="false">SUM(Y81,Y74)</f>
        <v>6079.097</v>
      </c>
      <c r="Z83" s="39" t="n">
        <f aca="false">SUM(Z81,Z74)</f>
        <v>6137.577</v>
      </c>
      <c r="AA83" s="39" t="n">
        <f aca="false">SUM(AA81,AA74)</f>
        <v>6016.984</v>
      </c>
      <c r="AB83" s="39" t="n">
        <f aca="false">SUM(AB81,AB74)</f>
        <v>5981.12</v>
      </c>
      <c r="AC83" s="39" t="n">
        <f aca="false">SUM(AC81,AC74)</f>
        <v>5924.174</v>
      </c>
      <c r="AD83" s="39" t="n">
        <f aca="false">SUM(AD81,AD74)</f>
        <v>5788.086</v>
      </c>
      <c r="AE83" s="39" t="n">
        <f aca="false">SUM(AE81,AE74)</f>
        <v>5767.815</v>
      </c>
      <c r="AF83" s="39" t="n">
        <f aca="false">SUM(AF81,AF74)</f>
        <v>5389.882</v>
      </c>
      <c r="AG83" s="39" t="n">
        <f aca="false">SUM(AG81,AG74)</f>
        <v>5399.063</v>
      </c>
      <c r="AH83" s="39" t="n">
        <f aca="false">SUM(AH81,AH74)</f>
        <v>5385.192</v>
      </c>
      <c r="AI83" s="39" t="n">
        <f aca="false">SUM(AI81,AI74)</f>
        <v>5405.156</v>
      </c>
      <c r="AJ83" s="39" t="n">
        <f aca="false">SUM(AJ81,AJ74)</f>
        <v>5456.298</v>
      </c>
      <c r="AK83" s="39" t="n">
        <f aca="false">SUM(AK81,AK74)</f>
        <v>5554.924</v>
      </c>
      <c r="AL83" s="39" t="n">
        <f aca="false">SUM(AL81,AL74)</f>
        <v>5574.748</v>
      </c>
      <c r="AM83" s="39" t="n">
        <f aca="false">SUM(AM81,AM74)</f>
        <v>5574.579</v>
      </c>
      <c r="AN83" s="39" t="n">
        <f aca="false">SUM(AN81,AN74)</f>
        <v>5682.88</v>
      </c>
      <c r="AO83" s="39" t="n">
        <f aca="false">SUM(AO81,AO74)</f>
        <v>5722.197</v>
      </c>
      <c r="AP83" s="39" t="n">
        <f aca="false">SUM(AP81,AP74)</f>
        <v>5775.837</v>
      </c>
      <c r="AQ83" s="26"/>
      <c r="AR83" s="26"/>
      <c r="AS83" s="26"/>
      <c r="AT83" s="26"/>
      <c r="AU83" s="26"/>
      <c r="AV83" s="26"/>
      <c r="AW83" s="26"/>
    </row>
    <row r="84" customFormat="false" ht="14.25" hidden="false" customHeight="true" outlineLevel="0" collapsed="false">
      <c r="B84" s="72" t="s">
        <v>100</v>
      </c>
      <c r="G84" s="73" t="str">
        <f aca="false">IF(ROUND(G83-G60,0)=0,"OK",G83-G60)</f>
        <v>OK</v>
      </c>
      <c r="H84" s="74" t="str">
        <f aca="false">IF(ROUND(H83-H60,0)=0,"OK",H83-H60)</f>
        <v>OK</v>
      </c>
      <c r="J84" s="75" t="str">
        <f aca="false">IF(ROUND(J83-J60,1)=0,"OK",J83-J60)</f>
        <v>OK</v>
      </c>
      <c r="K84" s="75" t="str">
        <f aca="false">IF(ROUND(K83-K60,1)=0,"OK",K83-K60)</f>
        <v>OK</v>
      </c>
      <c r="L84" s="75" t="str">
        <f aca="false">IF(ROUND(L83-L60,1)=0,"OK",L83-L60)</f>
        <v>OK</v>
      </c>
      <c r="M84" s="75" t="str">
        <f aca="false">IF(ROUND(M83-M60,1)=0,"OK",M83-M60)</f>
        <v>OK</v>
      </c>
      <c r="N84" s="75" t="str">
        <f aca="false">IF(ROUND(N83-N60,1)=0,"OK",N83-N60)</f>
        <v>OK</v>
      </c>
      <c r="O84" s="75" t="str">
        <f aca="false">IF(ROUND(O83-O60,1)=0,"OK",O83-O60)</f>
        <v>OK</v>
      </c>
      <c r="P84" s="26"/>
      <c r="R84" s="75" t="str">
        <f aca="false">IF(ROUND(R83-R60,1)=0,"OK",R83-R60)</f>
        <v>OK</v>
      </c>
      <c r="S84" s="75" t="str">
        <f aca="false">IF(ROUND(S83-S60,1)=0,"OK",S83-S60)</f>
        <v>OK</v>
      </c>
      <c r="T84" s="75" t="str">
        <f aca="false">IF(ROUND(T83-T60,1)=0,"OK",T83-T60)</f>
        <v>OK</v>
      </c>
      <c r="U84" s="75" t="str">
        <f aca="false">IF(ROUND(U83-U60,1)=0,"OK",U83-U60)</f>
        <v>OK</v>
      </c>
      <c r="V84" s="75" t="str">
        <f aca="false">IF(ROUND(V83-V60,1)=0,"OK",V83-V60)</f>
        <v>OK</v>
      </c>
      <c r="W84" s="75" t="str">
        <f aca="false">IF(ROUND(W83-W60,1)=0,"OK",W83-W60)</f>
        <v>OK</v>
      </c>
      <c r="X84" s="75" t="str">
        <f aca="false">IF(ROUND(X83-X60,1)=0,"OK",X83-X60)</f>
        <v>OK</v>
      </c>
      <c r="Y84" s="75" t="str">
        <f aca="false">IF(ROUND(Y83-Y60,1)=0,"OK",Y83-Y60)</f>
        <v>OK</v>
      </c>
      <c r="Z84" s="75" t="str">
        <f aca="false">IF(ROUND(Z83-Z60,1)=0,"OK",Z83-Z60)</f>
        <v>OK</v>
      </c>
      <c r="AA84" s="75" t="str">
        <f aca="false">IF(ROUND(AA83-AA60,1)=0,"OK",AA83-AA60)</f>
        <v>OK</v>
      </c>
      <c r="AB84" s="75" t="str">
        <f aca="false">IF(ROUND(AB83-AB60,1)=0,"OK",AB83-AB60)</f>
        <v>OK</v>
      </c>
      <c r="AC84" s="75" t="str">
        <f aca="false">IF(ROUND(AC83-AC60,1)=0,"OK",AC83-AC60)</f>
        <v>OK</v>
      </c>
      <c r="AD84" s="75" t="str">
        <f aca="false">IF(ROUND(AD83-AD60,1)=0,"OK",AD83-AD60)</f>
        <v>OK</v>
      </c>
      <c r="AE84" s="75" t="str">
        <f aca="false">IF(ROUND(AE83-AE60,1)=0,"OK",AE83-AE60)</f>
        <v>OK</v>
      </c>
      <c r="AF84" s="75" t="str">
        <f aca="false">IF(ROUND(AF83-AF60,1)=0,"OK",AF83-AF60)</f>
        <v>OK</v>
      </c>
      <c r="AG84" s="75" t="str">
        <f aca="false">IF(ROUND(AG83-AG60,1)=0,"OK",AG83-AG60)</f>
        <v>OK</v>
      </c>
      <c r="AH84" s="75" t="str">
        <f aca="false">IF(ROUND(AH83-AH60,1)=0,"OK",AH83-AH60)</f>
        <v>OK</v>
      </c>
      <c r="AI84" s="75" t="str">
        <f aca="false">IF(ROUND(AI83-AI60,1)=0,"OK",AI83-AI60)</f>
        <v>OK</v>
      </c>
      <c r="AJ84" s="75" t="str">
        <f aca="false">IF(ROUND(AJ83-AJ60,1)=0,"OK",AJ83-AJ60)</f>
        <v>OK</v>
      </c>
      <c r="AK84" s="75" t="str">
        <f aca="false">IF(ROUND(AK83-AK60,1)=0,"OK",AK83-AK60)</f>
        <v>OK</v>
      </c>
      <c r="AL84" s="75" t="str">
        <f aca="false">IF(ROUND(AL83-AL60,1)=0,"OK",AL83-AL60)</f>
        <v>OK</v>
      </c>
      <c r="AM84" s="75" t="str">
        <f aca="false">IF(ROUND(AM83-AM60,1)=0,"OK",AM83-AM60)</f>
        <v>OK</v>
      </c>
      <c r="AN84" s="75" t="str">
        <f aca="false">IF(ROUND(AN83-AN60,1)=0,"OK",AN83-AN60)</f>
        <v>OK</v>
      </c>
      <c r="AO84" s="75" t="str">
        <f aca="false">IF(ROUND(AO83-AO60,1)=0,"OK",AO83-AO60)</f>
        <v>OK</v>
      </c>
      <c r="AP84" s="75" t="str">
        <f aca="false">IF(ROUND(AP83-AP60,1)=0,"OK",AP83-AP60)</f>
        <v>OK</v>
      </c>
      <c r="AQ84" s="26"/>
      <c r="AR84" s="26"/>
      <c r="AS84" s="26"/>
      <c r="AT84" s="26"/>
      <c r="AU84" s="26"/>
      <c r="AV84" s="26"/>
      <c r="AW84" s="26"/>
    </row>
    <row r="85" customFormat="false" ht="14.25" hidden="false" customHeight="true" outlineLevel="0" collapsed="false">
      <c r="G85" s="44"/>
      <c r="H85" s="21"/>
      <c r="P85" s="26"/>
      <c r="AQ85" s="26"/>
      <c r="AR85" s="26"/>
      <c r="AS85" s="26"/>
      <c r="AT85" s="26"/>
      <c r="AU85" s="26"/>
      <c r="AV85" s="26"/>
      <c r="AW85" s="26"/>
    </row>
    <row r="86" customFormat="false" ht="15" hidden="false" customHeight="true" outlineLevel="0" collapsed="false">
      <c r="A86" s="16" t="s">
        <v>38</v>
      </c>
      <c r="B86" s="16" t="s">
        <v>101</v>
      </c>
      <c r="C86" s="17"/>
      <c r="D86" s="17"/>
      <c r="E86" s="17"/>
      <c r="F86" s="17"/>
      <c r="G86" s="18"/>
      <c r="H86" s="19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</row>
    <row r="87" customFormat="false" ht="14.25" hidden="false" customHeight="true" outlineLevel="0" collapsed="false">
      <c r="G87" s="44"/>
      <c r="H87" s="21"/>
      <c r="P87" s="26"/>
      <c r="AQ87" s="26"/>
      <c r="AR87" s="26"/>
      <c r="AS87" s="26"/>
      <c r="AT87" s="26"/>
      <c r="AU87" s="26"/>
      <c r="AV87" s="26"/>
      <c r="AW87" s="26"/>
    </row>
    <row r="88" customFormat="false" ht="14.25" hidden="false" customHeight="true" outlineLevel="0" collapsed="false">
      <c r="G88" s="44"/>
      <c r="H88" s="21"/>
      <c r="P88" s="26"/>
      <c r="AQ88" s="26"/>
      <c r="AR88" s="26"/>
      <c r="AS88" s="26"/>
      <c r="AT88" s="26"/>
      <c r="AU88" s="26"/>
      <c r="AV88" s="26"/>
      <c r="AW88" s="26"/>
    </row>
    <row r="89" customFormat="false" ht="14.25" hidden="false" customHeight="true" outlineLevel="0" collapsed="false">
      <c r="B89" s="76" t="s">
        <v>102</v>
      </c>
      <c r="G89" s="44"/>
      <c r="H89" s="21"/>
      <c r="P89" s="26"/>
      <c r="AQ89" s="26"/>
      <c r="AR89" s="26"/>
      <c r="AS89" s="26"/>
      <c r="AT89" s="26"/>
      <c r="AU89" s="26"/>
      <c r="AV89" s="26"/>
      <c r="AW89" s="26"/>
    </row>
    <row r="90" customFormat="false" ht="14.25" hidden="false" customHeight="true" outlineLevel="0" collapsed="false">
      <c r="B90" s="76"/>
      <c r="G90" s="44"/>
      <c r="H90" s="21"/>
      <c r="P90" s="26"/>
      <c r="AQ90" s="26"/>
      <c r="AR90" s="26"/>
      <c r="AS90" s="26"/>
      <c r="AT90" s="26"/>
      <c r="AU90" s="26"/>
      <c r="AV90" s="26"/>
      <c r="AW90" s="26"/>
    </row>
    <row r="91" customFormat="false" ht="14.25" hidden="false" customHeight="true" outlineLevel="0" collapsed="false">
      <c r="B91" s="1" t="s">
        <v>40</v>
      </c>
      <c r="G91" s="23" t="n">
        <f aca="true">OFFSET(R91,0,MATCH($G$2,$R$3:$AW$3,0)-1)*4</f>
        <v>1901.648</v>
      </c>
      <c r="H91" s="24" t="n">
        <f aca="true">SUM(OFFSET(R91,0,MATCH($G$2,$R$3:$AW$3,0)-4),OFFSET(R91,0,MATCH($G$2,$R$3:$AW$3,0)-3),OFFSET(R91,0,MATCH($G$2,$R$3:$AW$3,0)-2),OFFSET(R91,0,MATCH($G$2,$R$3:$AW$3,0)-1))</f>
        <v>1784.854</v>
      </c>
      <c r="J91" s="25" t="n">
        <f aca="false">SUM(R91:U91)</f>
        <v>1483.143</v>
      </c>
      <c r="K91" s="25" t="n">
        <f aca="false">SUM(V91:Y91)</f>
        <v>1587.082</v>
      </c>
      <c r="L91" s="25" t="n">
        <f aca="false">SUM(Z91:AC91)</f>
        <v>1404.265</v>
      </c>
      <c r="M91" s="25" t="n">
        <f aca="false">SUM(AD91:AG91)</f>
        <v>1322.918</v>
      </c>
      <c r="N91" s="25" t="n">
        <f aca="false">SUM(AH91:AK91)</f>
        <v>1616.967</v>
      </c>
      <c r="O91" s="25" t="n">
        <f aca="false">SUM(AL91:AO91)</f>
        <v>1721.937</v>
      </c>
      <c r="P91" s="26"/>
      <c r="R91" s="25" t="n">
        <f aca="false">R7</f>
        <v>340.403</v>
      </c>
      <c r="S91" s="25" t="n">
        <f aca="false">S7</f>
        <v>378.163</v>
      </c>
      <c r="T91" s="25" t="n">
        <f aca="false">T7</f>
        <v>382.04</v>
      </c>
      <c r="U91" s="25" t="n">
        <f aca="false">U7</f>
        <v>382.537</v>
      </c>
      <c r="V91" s="25" t="n">
        <f aca="false">V7</f>
        <v>368.121</v>
      </c>
      <c r="W91" s="25" t="n">
        <f aca="false">W7</f>
        <v>404.286</v>
      </c>
      <c r="X91" s="25" t="n">
        <f aca="false">X7</f>
        <v>412.665</v>
      </c>
      <c r="Y91" s="25" t="n">
        <f aca="false">Y7</f>
        <v>402.01</v>
      </c>
      <c r="Z91" s="25" t="n">
        <f aca="false">Z7</f>
        <v>403.257</v>
      </c>
      <c r="AA91" s="25" t="n">
        <f aca="false">AA7</f>
        <v>380.987</v>
      </c>
      <c r="AB91" s="25" t="n">
        <f aca="false">AB7</f>
        <v>320.602</v>
      </c>
      <c r="AC91" s="25" t="n">
        <f aca="false">AC7</f>
        <v>299.419</v>
      </c>
      <c r="AD91" s="25" t="n">
        <f aca="false">AD7</f>
        <v>300.951</v>
      </c>
      <c r="AE91" s="25" t="n">
        <f aca="false">AE7</f>
        <v>332.887</v>
      </c>
      <c r="AF91" s="25" t="n">
        <f aca="false">AF7</f>
        <v>338.514</v>
      </c>
      <c r="AG91" s="25" t="n">
        <f aca="false">AG7</f>
        <v>350.566</v>
      </c>
      <c r="AH91" s="25" t="n">
        <f aca="false">AH7</f>
        <v>355.536</v>
      </c>
      <c r="AI91" s="25" t="n">
        <f aca="false">AI7</f>
        <v>405.655</v>
      </c>
      <c r="AJ91" s="25" t="n">
        <f aca="false">AJ7</f>
        <v>433.04</v>
      </c>
      <c r="AK91" s="25" t="n">
        <f aca="false">AK7</f>
        <v>422.736</v>
      </c>
      <c r="AL91" s="25" t="n">
        <f aca="false">AL7</f>
        <v>412.495</v>
      </c>
      <c r="AM91" s="25" t="n">
        <f aca="false">AM7</f>
        <v>426.962</v>
      </c>
      <c r="AN91" s="25" t="n">
        <f aca="false">AN7</f>
        <v>429.885</v>
      </c>
      <c r="AO91" s="25" t="n">
        <f aca="false">AO7</f>
        <v>452.595</v>
      </c>
      <c r="AP91" s="25" t="n">
        <f aca="false">AP7</f>
        <v>475.412</v>
      </c>
      <c r="AQ91" s="26"/>
      <c r="AR91" s="26"/>
      <c r="AS91" s="26"/>
      <c r="AT91" s="26"/>
      <c r="AU91" s="26"/>
      <c r="AV91" s="26"/>
      <c r="AW91" s="26"/>
    </row>
    <row r="92" customFormat="false" ht="14.25" hidden="false" customHeight="true" outlineLevel="0" collapsed="false">
      <c r="B92" s="29" t="s">
        <v>103</v>
      </c>
      <c r="C92" s="29"/>
      <c r="D92" s="29"/>
      <c r="E92" s="29"/>
      <c r="F92" s="29"/>
      <c r="G92" s="30" t="n">
        <f aca="true">OFFSET(R92,0,MATCH($G$2,$R$3:$AW$3,0)-1)*4</f>
        <v>1330.44</v>
      </c>
      <c r="H92" s="31" t="n">
        <f aca="true">SUM(OFFSET(R92,0,MATCH($G$2,$R$3:$AW$3,0)-4),OFFSET(R92,0,MATCH($G$2,$R$3:$AW$3,0)-3),OFFSET(R92,0,MATCH($G$2,$R$3:$AW$3,0)-2),OFFSET(R92,0,MATCH($G$2,$R$3:$AW$3,0)-1))</f>
        <v>1364.364</v>
      </c>
      <c r="I92" s="29"/>
      <c r="J92" s="32" t="n">
        <f aca="false">SUM(R92:U92)</f>
        <v>1487.554</v>
      </c>
      <c r="K92" s="32" t="n">
        <f aca="false">SUM(V92:Y92)</f>
        <v>1251.317</v>
      </c>
      <c r="L92" s="32" t="n">
        <f aca="false">SUM(Z92:AC92)</f>
        <v>767.143</v>
      </c>
      <c r="M92" s="32" t="n">
        <f aca="false">SUM(AD92:AG92)</f>
        <v>923.742</v>
      </c>
      <c r="N92" s="32" t="n">
        <f aca="false">SUM(AH92:AK92)</f>
        <v>1167.787</v>
      </c>
      <c r="O92" s="32" t="n">
        <f aca="false">SUM(AL92:AO92)</f>
        <v>1369.703</v>
      </c>
      <c r="P92" s="33"/>
      <c r="Q92" s="29"/>
      <c r="R92" s="32" t="n">
        <f aca="false">R8</f>
        <v>401.285</v>
      </c>
      <c r="S92" s="32" t="n">
        <f aca="false">S8</f>
        <v>424.508</v>
      </c>
      <c r="T92" s="32" t="n">
        <f aca="false">T8</f>
        <v>322.805</v>
      </c>
      <c r="U92" s="32" t="n">
        <f aca="false">U8</f>
        <v>338.956</v>
      </c>
      <c r="V92" s="32" t="n">
        <f aca="false">V8</f>
        <v>376.5</v>
      </c>
      <c r="W92" s="32" t="n">
        <f aca="false">W8</f>
        <v>366.756</v>
      </c>
      <c r="X92" s="32" t="n">
        <f aca="false">X8</f>
        <v>254.144</v>
      </c>
      <c r="Y92" s="32" t="n">
        <f aca="false">Y8</f>
        <v>253.917</v>
      </c>
      <c r="Z92" s="32" t="n">
        <f aca="false">Z8</f>
        <v>240.669</v>
      </c>
      <c r="AA92" s="32" t="n">
        <f aca="false">AA8</f>
        <v>160.172</v>
      </c>
      <c r="AB92" s="32" t="n">
        <f aca="false">AB8</f>
        <v>175.965</v>
      </c>
      <c r="AC92" s="32" t="n">
        <f aca="false">AC8</f>
        <v>190.337</v>
      </c>
      <c r="AD92" s="32" t="n">
        <f aca="false">AD8</f>
        <v>195.899</v>
      </c>
      <c r="AE92" s="32" t="n">
        <f aca="false">AE8</f>
        <v>226.737</v>
      </c>
      <c r="AF92" s="32" t="n">
        <f aca="false">AF8</f>
        <v>260.406</v>
      </c>
      <c r="AG92" s="32" t="n">
        <f aca="false">AG8</f>
        <v>240.7</v>
      </c>
      <c r="AH92" s="32" t="n">
        <f aca="false">AH8</f>
        <v>255.246</v>
      </c>
      <c r="AI92" s="32" t="n">
        <f aca="false">AI8</f>
        <v>292.309</v>
      </c>
      <c r="AJ92" s="32" t="n">
        <f aca="false">AJ8</f>
        <v>312.803</v>
      </c>
      <c r="AK92" s="32" t="n">
        <f aca="false">AK8</f>
        <v>307.429</v>
      </c>
      <c r="AL92" s="32" t="n">
        <f aca="false">AL8</f>
        <v>337.949</v>
      </c>
      <c r="AM92" s="32" t="n">
        <f aca="false">AM8</f>
        <v>350.286</v>
      </c>
      <c r="AN92" s="32" t="n">
        <f aca="false">AN8</f>
        <v>334.887</v>
      </c>
      <c r="AO92" s="32" t="n">
        <f aca="false">AO8</f>
        <v>346.581</v>
      </c>
      <c r="AP92" s="32" t="n">
        <f aca="false">AP8</f>
        <v>332.61</v>
      </c>
      <c r="AQ92" s="33"/>
      <c r="AR92" s="33"/>
      <c r="AS92" s="33"/>
      <c r="AT92" s="33"/>
      <c r="AU92" s="33"/>
      <c r="AV92" s="33"/>
      <c r="AW92" s="33"/>
    </row>
    <row r="93" customFormat="false" ht="14.25" hidden="false" customHeight="true" outlineLevel="0" collapsed="false">
      <c r="B93" s="36" t="s">
        <v>42</v>
      </c>
      <c r="G93" s="37" t="n">
        <f aca="false">SUM(G91:G92)</f>
        <v>3232.088</v>
      </c>
      <c r="H93" s="37" t="n">
        <f aca="false">SUM(H91:H92)</f>
        <v>3149.218</v>
      </c>
      <c r="J93" s="39" t="n">
        <f aca="false">SUM(J91:J92)</f>
        <v>2970.697</v>
      </c>
      <c r="K93" s="39" t="n">
        <f aca="false">SUM(K91:K92)</f>
        <v>2838.399</v>
      </c>
      <c r="L93" s="39" t="n">
        <f aca="false">SUM(L91:L92)</f>
        <v>2171.408</v>
      </c>
      <c r="M93" s="39" t="n">
        <f aca="false">SUM(M91:M92)</f>
        <v>2246.66</v>
      </c>
      <c r="N93" s="39" t="n">
        <f aca="false">SUM(N91:N92)</f>
        <v>2784.754</v>
      </c>
      <c r="O93" s="39" t="n">
        <f aca="false">SUM(O91:O92)</f>
        <v>3091.64</v>
      </c>
      <c r="P93" s="26"/>
      <c r="R93" s="39" t="n">
        <f aca="false">SUM(R91:R92)</f>
        <v>741.688</v>
      </c>
      <c r="S93" s="39" t="n">
        <f aca="false">SUM(S91:S92)</f>
        <v>802.671</v>
      </c>
      <c r="T93" s="39" t="n">
        <f aca="false">SUM(T91:T92)</f>
        <v>704.845</v>
      </c>
      <c r="U93" s="39" t="n">
        <f aca="false">SUM(U91:U92)</f>
        <v>721.493</v>
      </c>
      <c r="V93" s="39" t="n">
        <f aca="false">SUM(V91:V92)</f>
        <v>744.621</v>
      </c>
      <c r="W93" s="39" t="n">
        <f aca="false">SUM(W91:W92)</f>
        <v>771.042</v>
      </c>
      <c r="X93" s="39" t="n">
        <f aca="false">SUM(X91:X92)</f>
        <v>666.809</v>
      </c>
      <c r="Y93" s="39" t="n">
        <f aca="false">SUM(Y91:Y92)</f>
        <v>655.927</v>
      </c>
      <c r="Z93" s="39" t="n">
        <f aca="false">SUM(Z91:Z92)</f>
        <v>643.926</v>
      </c>
      <c r="AA93" s="39" t="n">
        <f aca="false">SUM(AA91:AA92)</f>
        <v>541.159</v>
      </c>
      <c r="AB93" s="39" t="n">
        <f aca="false">SUM(AB91:AB92)</f>
        <v>496.567</v>
      </c>
      <c r="AC93" s="39" t="n">
        <f aca="false">SUM(AC91:AC92)</f>
        <v>489.756</v>
      </c>
      <c r="AD93" s="39" t="n">
        <f aca="false">SUM(AD91:AD92)</f>
        <v>496.85</v>
      </c>
      <c r="AE93" s="39" t="n">
        <f aca="false">SUM(AE91:AE92)</f>
        <v>559.624</v>
      </c>
      <c r="AF93" s="39" t="n">
        <f aca="false">SUM(AF91:AF92)</f>
        <v>598.92</v>
      </c>
      <c r="AG93" s="39" t="n">
        <f aca="false">SUM(AG91:AG92)</f>
        <v>591.266</v>
      </c>
      <c r="AH93" s="39" t="n">
        <f aca="false">SUM(AH91:AH92)</f>
        <v>610.782</v>
      </c>
      <c r="AI93" s="39" t="n">
        <f aca="false">SUM(AI91:AI92)</f>
        <v>697.964</v>
      </c>
      <c r="AJ93" s="39" t="n">
        <f aca="false">SUM(AJ91:AJ92)</f>
        <v>745.843</v>
      </c>
      <c r="AK93" s="39" t="n">
        <f aca="false">SUM(AK91:AK92)</f>
        <v>730.165</v>
      </c>
      <c r="AL93" s="39" t="n">
        <f aca="false">SUM(AL91:AL92)</f>
        <v>750.444</v>
      </c>
      <c r="AM93" s="39" t="n">
        <f aca="false">SUM(AM91:AM92)</f>
        <v>777.248</v>
      </c>
      <c r="AN93" s="39" t="n">
        <f aca="false">SUM(AN91:AN92)</f>
        <v>764.772</v>
      </c>
      <c r="AO93" s="39" t="n">
        <f aca="false">SUM(AO91:AO92)</f>
        <v>799.176</v>
      </c>
      <c r="AP93" s="39" t="n">
        <f aca="false">SUM(AP91:AP92)</f>
        <v>808.022</v>
      </c>
      <c r="AQ93" s="26"/>
      <c r="AR93" s="26"/>
      <c r="AS93" s="26"/>
      <c r="AT93" s="26"/>
      <c r="AU93" s="26"/>
      <c r="AV93" s="26"/>
      <c r="AW93" s="26"/>
    </row>
    <row r="94" customFormat="false" ht="14.25" hidden="false" customHeight="true" outlineLevel="0" collapsed="false">
      <c r="B94" s="4" t="s">
        <v>104</v>
      </c>
      <c r="G94" s="73" t="str">
        <f aca="false">IF(ROUND(G93-G9,1)=0,"OK",G93-G9)</f>
        <v>OK</v>
      </c>
      <c r="H94" s="74" t="str">
        <f aca="false">IF(ROUND(H93-H9,1)=0,"OK",H93-H9)</f>
        <v>OK</v>
      </c>
      <c r="J94" s="75" t="str">
        <f aca="false">IF(ROUND(J93-J9,1)=0,"OK",J93-J9)</f>
        <v>OK</v>
      </c>
      <c r="K94" s="75" t="str">
        <f aca="false">IF(ROUND(K93-K9,1)=0,"OK",K93-K9)</f>
        <v>OK</v>
      </c>
      <c r="L94" s="75" t="str">
        <f aca="false">IF(ROUND(L93-L9,1)=0,"OK",L93-L9)</f>
        <v>OK</v>
      </c>
      <c r="M94" s="75" t="str">
        <f aca="false">IF(ROUND(M93-M9,1)=0,"OK",M93-M9)</f>
        <v>OK</v>
      </c>
      <c r="N94" s="75" t="str">
        <f aca="false">IF(ROUND(N93-N9,1)=0,"OK",N93-N9)</f>
        <v>OK</v>
      </c>
      <c r="O94" s="75" t="str">
        <f aca="false">IF(ROUND(O93-O9,1)=0,"OK",O93-O9)</f>
        <v>OK</v>
      </c>
      <c r="P94" s="26"/>
      <c r="R94" s="75" t="str">
        <f aca="false">IF(ROUND(R93-R9,1)=0,"OK",R93-R9)</f>
        <v>OK</v>
      </c>
      <c r="S94" s="75" t="str">
        <f aca="false">IF(ROUND(S93-S9,1)=0,"OK",S93-S9)</f>
        <v>OK</v>
      </c>
      <c r="T94" s="75" t="str">
        <f aca="false">IF(ROUND(T93-T9,1)=0,"OK",T93-T9)</f>
        <v>OK</v>
      </c>
      <c r="U94" s="75" t="str">
        <f aca="false">IF(ROUND(U93-U9,1)=0,"OK",U93-U9)</f>
        <v>OK</v>
      </c>
      <c r="V94" s="75" t="str">
        <f aca="false">IF(ROUND(V93-V9,1)=0,"OK",V93-V9)</f>
        <v>OK</v>
      </c>
      <c r="W94" s="75" t="str">
        <f aca="false">IF(ROUND(W93-W9,1)=0,"OK",W93-W9)</f>
        <v>OK</v>
      </c>
      <c r="X94" s="75" t="str">
        <f aca="false">IF(ROUND(X93-X9,1)=0,"OK",X93-X9)</f>
        <v>OK</v>
      </c>
      <c r="Y94" s="75" t="str">
        <f aca="false">IF(ROUND(Y93-Y9,1)=0,"OK",Y93-Y9)</f>
        <v>OK</v>
      </c>
      <c r="Z94" s="75" t="str">
        <f aca="false">IF(ROUND(Z93-Z9,1)=0,"OK",Z93-Z9)</f>
        <v>OK</v>
      </c>
      <c r="AA94" s="75" t="str">
        <f aca="false">IF(ROUND(AA93-AA9,1)=0,"OK",AA93-AA9)</f>
        <v>OK</v>
      </c>
      <c r="AB94" s="75" t="str">
        <f aca="false">IF(ROUND(AB93-AB9,1)=0,"OK",AB93-AB9)</f>
        <v>OK</v>
      </c>
      <c r="AC94" s="75" t="str">
        <f aca="false">IF(ROUND(AC93-AC9,1)=0,"OK",AC93-AC9)</f>
        <v>OK</v>
      </c>
      <c r="AD94" s="75" t="str">
        <f aca="false">IF(ROUND(AD93-AD9,1)=0,"OK",AD93-AD9)</f>
        <v>OK</v>
      </c>
      <c r="AE94" s="75" t="str">
        <f aca="false">IF(ROUND(AE93-AE9,1)=0,"OK",AE93-AE9)</f>
        <v>OK</v>
      </c>
      <c r="AF94" s="75" t="str">
        <f aca="false">IF(ROUND(AF93-AF9,1)=0,"OK",AF93-AF9)</f>
        <v>OK</v>
      </c>
      <c r="AG94" s="75" t="str">
        <f aca="false">IF(ROUND(AG93-AG9,1)=0,"OK",AG93-AG9)</f>
        <v>OK</v>
      </c>
      <c r="AH94" s="75" t="str">
        <f aca="false">IF(ROUND(AH93-AH9,1)=0,"OK",AH93-AH9)</f>
        <v>OK</v>
      </c>
      <c r="AI94" s="75" t="str">
        <f aca="false">IF(ROUND(AI93-AI9,1)=0,"OK",AI93-AI9)</f>
        <v>OK</v>
      </c>
      <c r="AJ94" s="75" t="str">
        <f aca="false">IF(ROUND(AJ93-AJ9,1)=0,"OK",AJ93-AJ9)</f>
        <v>OK</v>
      </c>
      <c r="AK94" s="75" t="str">
        <f aca="false">IF(ROUND(AK93-AK9,1)=0,"OK",AK93-AK9)</f>
        <v>OK</v>
      </c>
      <c r="AL94" s="75" t="str">
        <f aca="false">IF(ROUND(AL93-AL9,1)=0,"OK",AL93-AL9)</f>
        <v>OK</v>
      </c>
      <c r="AM94" s="75" t="str">
        <f aca="false">IF(ROUND(AM93-AM9,1)=0,"OK",AM93-AM9)</f>
        <v>OK</v>
      </c>
      <c r="AN94" s="75" t="str">
        <f aca="false">IF(ROUND(AN93-AN9,1)=0,"OK",AN93-AN9)</f>
        <v>OK</v>
      </c>
      <c r="AO94" s="75" t="str">
        <f aca="false">IF(ROUND(AO93-AO9,1)=0,"OK",AO93-AO9)</f>
        <v>OK</v>
      </c>
      <c r="AP94" s="75" t="str">
        <f aca="false">IF(ROUND(AP93-AP9,1)=0,"OK",AP93-AP9)</f>
        <v>OK</v>
      </c>
      <c r="AQ94" s="26"/>
      <c r="AR94" s="26"/>
      <c r="AS94" s="26"/>
      <c r="AT94" s="26"/>
      <c r="AU94" s="26"/>
      <c r="AV94" s="26"/>
      <c r="AW94" s="26"/>
    </row>
    <row r="95" customFormat="false" ht="14.25" hidden="false" customHeight="true" outlineLevel="0" collapsed="false">
      <c r="G95" s="44"/>
      <c r="H95" s="21"/>
      <c r="P95" s="26"/>
      <c r="AQ95" s="26"/>
      <c r="AR95" s="26"/>
      <c r="AS95" s="26"/>
      <c r="AT95" s="26"/>
      <c r="AU95" s="26"/>
      <c r="AV95" s="26"/>
      <c r="AW95" s="26"/>
    </row>
    <row r="96" customFormat="false" ht="14.25" hidden="false" customHeight="true" outlineLevel="0" collapsed="false">
      <c r="B96" s="1" t="s">
        <v>105</v>
      </c>
      <c r="G96" s="23" t="n">
        <f aca="true">OFFSET(R96,0,MATCH($G$2,$R$3:$AW$3,0)-1)*4</f>
        <v>331.932</v>
      </c>
      <c r="H96" s="24" t="n">
        <f aca="true">SUM(OFFSET(R96,0,MATCH($G$2,$R$3:$AW$3,0)-4),OFFSET(R96,0,MATCH($G$2,$R$3:$AW$3,0)-3),OFFSET(R96,0,MATCH($G$2,$R$3:$AW$3,0)-2),OFFSET(R96,0,MATCH($G$2,$R$3:$AW$3,0)-1))</f>
        <v>278.887</v>
      </c>
      <c r="J96" s="25" t="n">
        <f aca="false">SUM(R96:U96)</f>
        <v>147.416</v>
      </c>
      <c r="K96" s="25" t="n">
        <f aca="false">SUM(V96:Y96)</f>
        <v>215.842</v>
      </c>
      <c r="L96" s="25" t="n">
        <f aca="false">SUM(Z96:AC96)</f>
        <v>163.656</v>
      </c>
      <c r="M96" s="25" t="n">
        <f aca="false">SUM(AD96:AG96)</f>
        <v>63.015</v>
      </c>
      <c r="N96" s="25" t="n">
        <f aca="false">SUM(AH96:AK96)</f>
        <v>136.184</v>
      </c>
      <c r="O96" s="25" t="n">
        <f aca="false">SUM(AL96:AO96)</f>
        <v>238.94</v>
      </c>
      <c r="P96" s="26"/>
      <c r="R96" s="27" t="n">
        <v>16.1800000000001</v>
      </c>
      <c r="S96" s="27" t="n">
        <v>38.2280000000001</v>
      </c>
      <c r="T96" s="27" t="n">
        <v>48.517</v>
      </c>
      <c r="U96" s="27" t="n">
        <v>44.491</v>
      </c>
      <c r="V96" s="27" t="n">
        <v>35.424</v>
      </c>
      <c r="W96" s="27" t="n">
        <v>53.2430000000001</v>
      </c>
      <c r="X96" s="27" t="n">
        <v>72.697</v>
      </c>
      <c r="Y96" s="27" t="n">
        <v>54.4780000000001</v>
      </c>
      <c r="Z96" s="27" t="n">
        <v>50.7160000000001</v>
      </c>
      <c r="AA96" s="27" t="n">
        <v>51.3750000000001</v>
      </c>
      <c r="AB96" s="27" t="n">
        <v>32.409</v>
      </c>
      <c r="AC96" s="27" t="n">
        <v>29.156</v>
      </c>
      <c r="AD96" s="27" t="n">
        <v>1.94</v>
      </c>
      <c r="AE96" s="27" t="n">
        <v>18.478</v>
      </c>
      <c r="AF96" s="27" t="n">
        <v>16.915</v>
      </c>
      <c r="AG96" s="27" t="n">
        <v>25.682</v>
      </c>
      <c r="AH96" s="27" t="n">
        <v>16.935</v>
      </c>
      <c r="AI96" s="27" t="n">
        <v>30.817</v>
      </c>
      <c r="AJ96" s="27" t="n">
        <v>41.713</v>
      </c>
      <c r="AK96" s="27" t="n">
        <v>46.719</v>
      </c>
      <c r="AL96" s="27" t="n">
        <v>43.0359999999999</v>
      </c>
      <c r="AM96" s="27" t="n">
        <v>64.251</v>
      </c>
      <c r="AN96" s="27" t="n">
        <v>63.464</v>
      </c>
      <c r="AO96" s="27" t="n">
        <v>68.189</v>
      </c>
      <c r="AP96" s="27" t="n">
        <v>82.983</v>
      </c>
      <c r="AQ96" s="26"/>
      <c r="AR96" s="26"/>
      <c r="AS96" s="26"/>
      <c r="AT96" s="26"/>
      <c r="AU96" s="26"/>
      <c r="AV96" s="26"/>
      <c r="AW96" s="26"/>
    </row>
    <row r="97" customFormat="false" ht="14.25" hidden="false" customHeight="true" outlineLevel="0" collapsed="false">
      <c r="B97" s="29" t="s">
        <v>106</v>
      </c>
      <c r="C97" s="29"/>
      <c r="D97" s="29"/>
      <c r="E97" s="29"/>
      <c r="F97" s="29"/>
      <c r="G97" s="30" t="n">
        <f aca="true">OFFSET(R97,0,MATCH($G$2,$R$3:$AW$3,0)-1)*4</f>
        <v>191.396</v>
      </c>
      <c r="H97" s="31" t="n">
        <f aca="true">SUM(OFFSET(R97,0,MATCH($G$2,$R$3:$AW$3,0)-4),OFFSET(R97,0,MATCH($G$2,$R$3:$AW$3,0)-3),OFFSET(R97,0,MATCH($G$2,$R$3:$AW$3,0)-2),OFFSET(R97,0,MATCH($G$2,$R$3:$AW$3,0)-1))</f>
        <v>186.932</v>
      </c>
      <c r="I97" s="29"/>
      <c r="J97" s="32" t="n">
        <f aca="false">SUM(R97:U97)</f>
        <v>182.307</v>
      </c>
      <c r="K97" s="32" t="n">
        <f aca="false">SUM(V97:Y97)</f>
        <v>179.742</v>
      </c>
      <c r="L97" s="32" t="n">
        <f aca="false">SUM(Z97:AC97)</f>
        <v>186.798</v>
      </c>
      <c r="M97" s="32" t="n">
        <f aca="false">SUM(AD97:AG97)</f>
        <v>185.979</v>
      </c>
      <c r="N97" s="32" t="n">
        <f aca="false">SUM(AH97:AK97)</f>
        <v>177.551</v>
      </c>
      <c r="O97" s="32" t="n">
        <f aca="false">SUM(AL97:AO97)</f>
        <v>184.225</v>
      </c>
      <c r="P97" s="33"/>
      <c r="Q97" s="29"/>
      <c r="R97" s="34" t="n">
        <v>43.34</v>
      </c>
      <c r="S97" s="34" t="n">
        <v>44.782</v>
      </c>
      <c r="T97" s="34" t="n">
        <v>47.144</v>
      </c>
      <c r="U97" s="34" t="n">
        <v>47.041</v>
      </c>
      <c r="V97" s="34" t="n">
        <v>45.324</v>
      </c>
      <c r="W97" s="34" t="n">
        <v>45.092</v>
      </c>
      <c r="X97" s="34" t="n">
        <v>44.445</v>
      </c>
      <c r="Y97" s="34" t="n">
        <v>44.881</v>
      </c>
      <c r="Z97" s="34" t="n">
        <v>45.299</v>
      </c>
      <c r="AA97" s="34" t="n">
        <v>46.684</v>
      </c>
      <c r="AB97" s="34" t="n">
        <v>47.312</v>
      </c>
      <c r="AC97" s="34" t="n">
        <v>47.503</v>
      </c>
      <c r="AD97" s="34" t="n">
        <v>47.579</v>
      </c>
      <c r="AE97" s="34" t="n">
        <v>47.501</v>
      </c>
      <c r="AF97" s="34" t="n">
        <v>46.48</v>
      </c>
      <c r="AG97" s="34" t="n">
        <v>44.419</v>
      </c>
      <c r="AH97" s="34" t="n">
        <v>44.086</v>
      </c>
      <c r="AI97" s="34" t="n">
        <v>44.211</v>
      </c>
      <c r="AJ97" s="34" t="n">
        <v>44.37</v>
      </c>
      <c r="AK97" s="34" t="n">
        <v>44.884</v>
      </c>
      <c r="AL97" s="34" t="n">
        <v>45.142</v>
      </c>
      <c r="AM97" s="34" t="n">
        <v>45.526</v>
      </c>
      <c r="AN97" s="34" t="n">
        <v>46.656</v>
      </c>
      <c r="AO97" s="34" t="n">
        <v>46.901</v>
      </c>
      <c r="AP97" s="34" t="n">
        <v>47.849</v>
      </c>
      <c r="AQ97" s="33"/>
      <c r="AR97" s="33"/>
      <c r="AS97" s="33"/>
      <c r="AT97" s="33"/>
      <c r="AU97" s="33"/>
      <c r="AV97" s="33"/>
      <c r="AW97" s="33"/>
    </row>
    <row r="98" customFormat="false" ht="14.25" hidden="false" customHeight="true" outlineLevel="0" collapsed="false">
      <c r="B98" s="36" t="s">
        <v>107</v>
      </c>
      <c r="G98" s="37" t="n">
        <f aca="false">SUM(G96:G97)</f>
        <v>523.328</v>
      </c>
      <c r="H98" s="37" t="n">
        <f aca="false">SUM(H96:H97)</f>
        <v>465.819</v>
      </c>
      <c r="J98" s="39" t="n">
        <f aca="false">SUM(J96:J97)</f>
        <v>329.723</v>
      </c>
      <c r="K98" s="39" t="n">
        <f aca="false">SUM(K96:K97)</f>
        <v>395.584</v>
      </c>
      <c r="L98" s="39" t="n">
        <f aca="false">SUM(L96:L97)</f>
        <v>350.454</v>
      </c>
      <c r="M98" s="39" t="n">
        <f aca="false">SUM(M96:M97)</f>
        <v>248.994</v>
      </c>
      <c r="N98" s="39" t="n">
        <f aca="false">SUM(N96:N97)</f>
        <v>313.735</v>
      </c>
      <c r="O98" s="39" t="n">
        <f aca="false">SUM(O96:O97)</f>
        <v>423.165</v>
      </c>
      <c r="P98" s="26"/>
      <c r="R98" s="39" t="n">
        <f aca="false">SUM(R96:R97)</f>
        <v>59.5200000000001</v>
      </c>
      <c r="S98" s="39" t="n">
        <f aca="false">SUM(S96:S97)</f>
        <v>83.0100000000001</v>
      </c>
      <c r="T98" s="39" t="n">
        <f aca="false">SUM(T96:T97)</f>
        <v>95.661</v>
      </c>
      <c r="U98" s="39" t="n">
        <f aca="false">SUM(U96:U97)</f>
        <v>91.532</v>
      </c>
      <c r="V98" s="39" t="n">
        <f aca="false">SUM(V96:V97)</f>
        <v>80.748</v>
      </c>
      <c r="W98" s="39" t="n">
        <f aca="false">SUM(W96:W97)</f>
        <v>98.3350000000001</v>
      </c>
      <c r="X98" s="39" t="n">
        <f aca="false">SUM(X96:X97)</f>
        <v>117.142</v>
      </c>
      <c r="Y98" s="39" t="n">
        <f aca="false">SUM(Y96:Y97)</f>
        <v>99.3590000000001</v>
      </c>
      <c r="Z98" s="39" t="n">
        <f aca="false">SUM(Z96:Z97)</f>
        <v>96.0150000000001</v>
      </c>
      <c r="AA98" s="39" t="n">
        <f aca="false">SUM(AA96:AA97)</f>
        <v>98.0590000000001</v>
      </c>
      <c r="AB98" s="39" t="n">
        <f aca="false">SUM(AB96:AB97)</f>
        <v>79.721</v>
      </c>
      <c r="AC98" s="39" t="n">
        <f aca="false">SUM(AC96:AC97)</f>
        <v>76.659</v>
      </c>
      <c r="AD98" s="39" t="n">
        <f aca="false">SUM(AD96:AD97)</f>
        <v>49.519</v>
      </c>
      <c r="AE98" s="39" t="n">
        <f aca="false">SUM(AE96:AE97)</f>
        <v>65.979</v>
      </c>
      <c r="AF98" s="39" t="n">
        <f aca="false">SUM(AF96:AF97)</f>
        <v>63.395</v>
      </c>
      <c r="AG98" s="39" t="n">
        <f aca="false">SUM(AG96:AG97)</f>
        <v>70.101</v>
      </c>
      <c r="AH98" s="39" t="n">
        <f aca="false">SUM(AH96:AH97)</f>
        <v>61.021</v>
      </c>
      <c r="AI98" s="39" t="n">
        <f aca="false">SUM(AI96:AI97)</f>
        <v>75.028</v>
      </c>
      <c r="AJ98" s="39" t="n">
        <f aca="false">SUM(AJ96:AJ97)</f>
        <v>86.083</v>
      </c>
      <c r="AK98" s="39" t="n">
        <f aca="false">SUM(AK96:AK97)</f>
        <v>91.603</v>
      </c>
      <c r="AL98" s="39" t="n">
        <f aca="false">SUM(AL96:AL97)</f>
        <v>88.1779999999999</v>
      </c>
      <c r="AM98" s="39" t="n">
        <f aca="false">SUM(AM96:AM97)</f>
        <v>109.777</v>
      </c>
      <c r="AN98" s="39" t="n">
        <f aca="false">SUM(AN96:AN97)</f>
        <v>110.12</v>
      </c>
      <c r="AO98" s="39" t="n">
        <f aca="false">SUM(AO96:AO97)</f>
        <v>115.09</v>
      </c>
      <c r="AP98" s="39" t="n">
        <f aca="false">SUM(AP96:AP97)</f>
        <v>130.832</v>
      </c>
      <c r="AQ98" s="26"/>
      <c r="AR98" s="26"/>
      <c r="AS98" s="26"/>
      <c r="AT98" s="26"/>
      <c r="AU98" s="26"/>
      <c r="AV98" s="26"/>
      <c r="AW98" s="26"/>
    </row>
    <row r="99" customFormat="false" ht="14.25" hidden="false" customHeight="true" outlineLevel="0" collapsed="false">
      <c r="B99" s="4" t="s">
        <v>108</v>
      </c>
      <c r="G99" s="77"/>
      <c r="H99" s="78"/>
      <c r="J99" s="79"/>
      <c r="K99" s="43" t="n">
        <f aca="false">K98/J98-1</f>
        <v>0.199746453841558</v>
      </c>
      <c r="L99" s="43" t="n">
        <f aca="false">L98/K98-1</f>
        <v>-0.114084492800518</v>
      </c>
      <c r="M99" s="43" t="n">
        <f aca="false">M98/L98-1</f>
        <v>-0.289510178225959</v>
      </c>
      <c r="N99" s="43" t="n">
        <f aca="false">N98/M98-1</f>
        <v>0.260010281372242</v>
      </c>
      <c r="O99" s="43" t="n">
        <f aca="false">O98/N98-1</f>
        <v>0.348797552074202</v>
      </c>
      <c r="P99" s="26"/>
      <c r="R99" s="79"/>
      <c r="S99" s="42"/>
      <c r="T99" s="42"/>
      <c r="U99" s="42"/>
      <c r="V99" s="43" t="n">
        <f aca="false">V98/R98-1</f>
        <v>0.356653225806449</v>
      </c>
      <c r="W99" s="43" t="n">
        <f aca="false">W98/S98-1</f>
        <v>0.184616311287796</v>
      </c>
      <c r="X99" s="43" t="n">
        <f aca="false">X98/T98-1</f>
        <v>0.224553370757153</v>
      </c>
      <c r="Y99" s="43" t="n">
        <f aca="false">Y98/U98-1</f>
        <v>0.0855110780929085</v>
      </c>
      <c r="Z99" s="43" t="n">
        <f aca="false">Z98/V98-1</f>
        <v>0.189069698320703</v>
      </c>
      <c r="AA99" s="43" t="n">
        <f aca="false">AA98/W98-1</f>
        <v>-0.00280673208928661</v>
      </c>
      <c r="AB99" s="43" t="n">
        <f aca="false">AB98/X98-1</f>
        <v>-0.319449898413891</v>
      </c>
      <c r="AC99" s="43" t="n">
        <f aca="false">AC98/Y98-1</f>
        <v>-0.228464457170464</v>
      </c>
      <c r="AD99" s="43" t="n">
        <f aca="false">AD98/Z98-1</f>
        <v>-0.484257668072698</v>
      </c>
      <c r="AE99" s="43" t="n">
        <f aca="false">AE98/AA98-1</f>
        <v>-0.327149981133808</v>
      </c>
      <c r="AF99" s="43" t="n">
        <f aca="false">AF98/AB98-1</f>
        <v>-0.204789202343172</v>
      </c>
      <c r="AG99" s="43" t="n">
        <f aca="false">AG98/AC98-1</f>
        <v>-0.0855476852033028</v>
      </c>
      <c r="AH99" s="43" t="n">
        <f aca="false">AH98/AD98-1</f>
        <v>0.232274480502434</v>
      </c>
      <c r="AI99" s="43" t="n">
        <f aca="false">AI98/AE98-1</f>
        <v>0.137149699146698</v>
      </c>
      <c r="AJ99" s="43" t="n">
        <f aca="false">AJ98/AF98-1</f>
        <v>0.357883113810237</v>
      </c>
      <c r="AK99" s="43" t="n">
        <f aca="false">AK98/AG98-1</f>
        <v>0.306728862641047</v>
      </c>
      <c r="AL99" s="43" t="n">
        <f aca="false">AL98/AH98-1</f>
        <v>0.445043509611444</v>
      </c>
      <c r="AM99" s="43" t="n">
        <f aca="false">AM98/AI98-1</f>
        <v>0.463147091752413</v>
      </c>
      <c r="AN99" s="43" t="n">
        <f aca="false">AN98/AJ98-1</f>
        <v>0.2792305100891</v>
      </c>
      <c r="AO99" s="43" t="n">
        <f aca="false">AO98/AK98-1</f>
        <v>0.256399899566608</v>
      </c>
      <c r="AP99" s="43" t="n">
        <f aca="false">AP98/AL98-1</f>
        <v>0.483726099480597</v>
      </c>
      <c r="AQ99" s="26"/>
      <c r="AR99" s="26"/>
      <c r="AS99" s="26"/>
      <c r="AT99" s="26"/>
      <c r="AU99" s="26"/>
      <c r="AV99" s="26"/>
      <c r="AW99" s="26"/>
    </row>
    <row r="100" customFormat="false" ht="14.25" hidden="false" customHeight="true" outlineLevel="0" collapsed="false">
      <c r="G100" s="44"/>
      <c r="H100" s="21"/>
      <c r="P100" s="26"/>
      <c r="AQ100" s="26"/>
      <c r="AR100" s="26"/>
      <c r="AS100" s="26"/>
      <c r="AT100" s="26"/>
      <c r="AU100" s="26"/>
      <c r="AV100" s="26"/>
      <c r="AW100" s="26"/>
    </row>
    <row r="101" customFormat="false" ht="14.25" hidden="false" customHeight="true" outlineLevel="0" collapsed="false">
      <c r="B101" s="1" t="s">
        <v>109</v>
      </c>
      <c r="G101" s="23" t="n">
        <f aca="true">OFFSET(R101,0,MATCH($G$2,$R$3:$AW$3,0)-1)*4</f>
        <v>88.0560000000004</v>
      </c>
      <c r="H101" s="24" t="n">
        <f aca="true">SUM(OFFSET(R101,0,MATCH($G$2,$R$3:$AW$3,0)-4),OFFSET(R101,0,MATCH($G$2,$R$3:$AW$3,0)-3),OFFSET(R101,0,MATCH($G$2,$R$3:$AW$3,0)-2),OFFSET(R101,0,MATCH($G$2,$R$3:$AW$3,0)-1))</f>
        <v>113.703</v>
      </c>
      <c r="J101" s="25" t="n">
        <f aca="false">SUM(R101:U101)</f>
        <v>129.305</v>
      </c>
      <c r="K101" s="25" t="n">
        <f aca="false">SUM(V101:Y101)</f>
        <v>67.2009999999999</v>
      </c>
      <c r="L101" s="25" t="n">
        <f aca="false">SUM(Z101:AC101)</f>
        <v>-12.1895</v>
      </c>
      <c r="M101" s="25" t="n">
        <f aca="false">SUM(AD101:AG101)</f>
        <v>27.607</v>
      </c>
      <c r="N101" s="25" t="n">
        <f aca="false">SUM(AH101:AK101)</f>
        <v>67.0370000000001</v>
      </c>
      <c r="O101" s="25" t="n">
        <f aca="false">SUM(AL101:AO101)</f>
        <v>114.481</v>
      </c>
      <c r="P101" s="26"/>
      <c r="R101" s="27" t="n">
        <v>36.965</v>
      </c>
      <c r="S101" s="27" t="n">
        <v>40.1899999999999</v>
      </c>
      <c r="T101" s="27" t="n">
        <v>23.914</v>
      </c>
      <c r="U101" s="27" t="n">
        <v>28.236</v>
      </c>
      <c r="V101" s="27" t="n">
        <v>37.609</v>
      </c>
      <c r="W101" s="27" t="n">
        <v>23.1279999999999</v>
      </c>
      <c r="X101" s="27" t="n">
        <v>9.13199999999998</v>
      </c>
      <c r="Y101" s="27" t="n">
        <v>-2.66799999999998</v>
      </c>
      <c r="Z101" s="27" t="n">
        <v>3.71799999999999</v>
      </c>
      <c r="AA101" s="27" t="n">
        <v>-14.147</v>
      </c>
      <c r="AB101" s="27" t="n">
        <v>1.10550000000001</v>
      </c>
      <c r="AC101" s="27" t="n">
        <v>-2.86599999999999</v>
      </c>
      <c r="AD101" s="27" t="n">
        <v>2.911</v>
      </c>
      <c r="AE101" s="27" t="n">
        <v>6.15600000000001</v>
      </c>
      <c r="AF101" s="27" t="n">
        <v>11.039</v>
      </c>
      <c r="AG101" s="27" t="n">
        <v>7.50100000000001</v>
      </c>
      <c r="AH101" s="27" t="n">
        <v>10.971</v>
      </c>
      <c r="AI101" s="27" t="n">
        <v>16.7370000000001</v>
      </c>
      <c r="AJ101" s="27" t="n">
        <v>22.268</v>
      </c>
      <c r="AK101" s="27" t="n">
        <v>17.061</v>
      </c>
      <c r="AL101" s="27" t="n">
        <v>22.792</v>
      </c>
      <c r="AM101" s="27" t="n">
        <v>29.842</v>
      </c>
      <c r="AN101" s="27" t="n">
        <v>33.194</v>
      </c>
      <c r="AO101" s="27" t="n">
        <v>28.653</v>
      </c>
      <c r="AP101" s="27" t="n">
        <v>22.0140000000001</v>
      </c>
      <c r="AQ101" s="26"/>
      <c r="AR101" s="26"/>
      <c r="AS101" s="26"/>
      <c r="AT101" s="26"/>
      <c r="AU101" s="26"/>
      <c r="AV101" s="26"/>
      <c r="AW101" s="26"/>
    </row>
    <row r="102" customFormat="false" ht="14.25" hidden="false" customHeight="true" outlineLevel="0" collapsed="false">
      <c r="B102" s="29" t="s">
        <v>110</v>
      </c>
      <c r="C102" s="29"/>
      <c r="D102" s="29"/>
      <c r="E102" s="29"/>
      <c r="F102" s="29"/>
      <c r="G102" s="30" t="n">
        <f aca="true">OFFSET(R102,0,MATCH($G$2,$R$3:$AW$3,0)-1)*4</f>
        <v>31.376</v>
      </c>
      <c r="H102" s="31" t="n">
        <f aca="true">SUM(OFFSET(R102,0,MATCH($G$2,$R$3:$AW$3,0)-4),OFFSET(R102,0,MATCH($G$2,$R$3:$AW$3,0)-3),OFFSET(R102,0,MATCH($G$2,$R$3:$AW$3,0)-2),OFFSET(R102,0,MATCH($G$2,$R$3:$AW$3,0)-1))</f>
        <v>23.441</v>
      </c>
      <c r="I102" s="29"/>
      <c r="J102" s="32" t="n">
        <f aca="false">SUM(R102:U102)</f>
        <v>39.349</v>
      </c>
      <c r="K102" s="32" t="n">
        <f aca="false">SUM(V102:Y102)</f>
        <v>35.998</v>
      </c>
      <c r="L102" s="32" t="n">
        <f aca="false">SUM(Z102:AC102)</f>
        <v>28.255</v>
      </c>
      <c r="M102" s="32" t="n">
        <f aca="false">SUM(AD102:AG102)</f>
        <v>20.573</v>
      </c>
      <c r="N102" s="32" t="n">
        <f aca="false">SUM(AH102:AK102)</f>
        <v>16.776</v>
      </c>
      <c r="O102" s="32" t="n">
        <f aca="false">SUM(AL102:AO102)</f>
        <v>19.842</v>
      </c>
      <c r="P102" s="33"/>
      <c r="Q102" s="29"/>
      <c r="R102" s="34" t="n">
        <v>10.032</v>
      </c>
      <c r="S102" s="34" t="n">
        <v>9.877</v>
      </c>
      <c r="T102" s="34" t="n">
        <v>9.964</v>
      </c>
      <c r="U102" s="34" t="n">
        <v>9.476</v>
      </c>
      <c r="V102" s="34" t="n">
        <v>9.018</v>
      </c>
      <c r="W102" s="34" t="n">
        <v>9.064</v>
      </c>
      <c r="X102" s="34" t="n">
        <v>9.085</v>
      </c>
      <c r="Y102" s="34" t="n">
        <v>8.831</v>
      </c>
      <c r="Z102" s="34" t="n">
        <v>9.336</v>
      </c>
      <c r="AA102" s="34" t="n">
        <v>6.633</v>
      </c>
      <c r="AB102" s="34" t="n">
        <v>6.283</v>
      </c>
      <c r="AC102" s="34" t="n">
        <v>6.003</v>
      </c>
      <c r="AD102" s="34" t="n">
        <v>5.881</v>
      </c>
      <c r="AE102" s="34" t="n">
        <v>5.84</v>
      </c>
      <c r="AF102" s="34" t="n">
        <v>5.018</v>
      </c>
      <c r="AG102" s="34" t="n">
        <v>3.834</v>
      </c>
      <c r="AH102" s="34" t="n">
        <v>4.106</v>
      </c>
      <c r="AI102" s="34" t="n">
        <v>4.133</v>
      </c>
      <c r="AJ102" s="34" t="n">
        <v>4.274</v>
      </c>
      <c r="AK102" s="34" t="n">
        <v>4.263</v>
      </c>
      <c r="AL102" s="34" t="n">
        <v>4.245</v>
      </c>
      <c r="AM102" s="34" t="n">
        <v>4.394</v>
      </c>
      <c r="AN102" s="34" t="n">
        <v>5.017</v>
      </c>
      <c r="AO102" s="34" t="n">
        <v>6.186</v>
      </c>
      <c r="AP102" s="34" t="n">
        <v>7.844</v>
      </c>
      <c r="AQ102" s="33"/>
      <c r="AR102" s="33"/>
      <c r="AS102" s="33"/>
      <c r="AT102" s="33"/>
      <c r="AU102" s="33"/>
      <c r="AV102" s="33"/>
      <c r="AW102" s="33"/>
    </row>
    <row r="103" customFormat="false" ht="14.25" hidden="false" customHeight="true" outlineLevel="0" collapsed="false">
      <c r="B103" s="36" t="s">
        <v>111</v>
      </c>
      <c r="G103" s="37" t="n">
        <f aca="false">SUM(G101:G102)</f>
        <v>119.432</v>
      </c>
      <c r="H103" s="37" t="n">
        <f aca="false">SUM(H101:H102)</f>
        <v>137.144</v>
      </c>
      <c r="J103" s="39" t="n">
        <f aca="false">SUM(J101:J102)</f>
        <v>168.654</v>
      </c>
      <c r="K103" s="39" t="n">
        <f aca="false">SUM(K101:K102)</f>
        <v>103.199</v>
      </c>
      <c r="L103" s="39" t="n">
        <f aca="false">SUM(L101:L102)</f>
        <v>16.0655</v>
      </c>
      <c r="M103" s="39" t="n">
        <f aca="false">SUM(M101:M102)</f>
        <v>48.18</v>
      </c>
      <c r="N103" s="39" t="n">
        <f aca="false">SUM(N101:N102)</f>
        <v>83.8130000000001</v>
      </c>
      <c r="O103" s="39" t="n">
        <f aca="false">SUM(O101:O102)</f>
        <v>134.323</v>
      </c>
      <c r="P103" s="26"/>
      <c r="R103" s="39" t="n">
        <f aca="false">SUM(R101:R102)</f>
        <v>46.997</v>
      </c>
      <c r="S103" s="39" t="n">
        <f aca="false">SUM(S101:S102)</f>
        <v>50.0669999999999</v>
      </c>
      <c r="T103" s="39" t="n">
        <f aca="false">SUM(T101:T102)</f>
        <v>33.878</v>
      </c>
      <c r="U103" s="39" t="n">
        <f aca="false">SUM(U101:U102)</f>
        <v>37.712</v>
      </c>
      <c r="V103" s="39" t="n">
        <f aca="false">SUM(V101:V102)</f>
        <v>46.627</v>
      </c>
      <c r="W103" s="39" t="n">
        <f aca="false">SUM(W101:W102)</f>
        <v>32.1919999999999</v>
      </c>
      <c r="X103" s="39" t="n">
        <f aca="false">SUM(X101:X102)</f>
        <v>18.217</v>
      </c>
      <c r="Y103" s="39" t="n">
        <f aca="false">SUM(Y101:Y102)</f>
        <v>6.16300000000002</v>
      </c>
      <c r="Z103" s="39" t="n">
        <f aca="false">SUM(Z101:Z102)</f>
        <v>13.054</v>
      </c>
      <c r="AA103" s="39" t="n">
        <f aca="false">SUM(AA101:AA102)</f>
        <v>-7.514</v>
      </c>
      <c r="AB103" s="39" t="n">
        <f aca="false">SUM(AB101:AB102)</f>
        <v>7.38850000000001</v>
      </c>
      <c r="AC103" s="39" t="n">
        <f aca="false">SUM(AC101:AC102)</f>
        <v>3.13700000000001</v>
      </c>
      <c r="AD103" s="39" t="n">
        <f aca="false">SUM(AD101:AD102)</f>
        <v>8.792</v>
      </c>
      <c r="AE103" s="39" t="n">
        <f aca="false">SUM(AE101:AE102)</f>
        <v>11.996</v>
      </c>
      <c r="AF103" s="39" t="n">
        <f aca="false">SUM(AF101:AF102)</f>
        <v>16.057</v>
      </c>
      <c r="AG103" s="39" t="n">
        <f aca="false">SUM(AG101:AG102)</f>
        <v>11.335</v>
      </c>
      <c r="AH103" s="39" t="n">
        <f aca="false">SUM(AH101:AH102)</f>
        <v>15.077</v>
      </c>
      <c r="AI103" s="39" t="n">
        <f aca="false">SUM(AI101:AI102)</f>
        <v>20.8700000000001</v>
      </c>
      <c r="AJ103" s="39" t="n">
        <f aca="false">SUM(AJ101:AJ102)</f>
        <v>26.542</v>
      </c>
      <c r="AK103" s="39" t="n">
        <f aca="false">SUM(AK101:AK102)</f>
        <v>21.324</v>
      </c>
      <c r="AL103" s="39" t="n">
        <f aca="false">SUM(AL101:AL102)</f>
        <v>27.037</v>
      </c>
      <c r="AM103" s="39" t="n">
        <f aca="false">SUM(AM101:AM102)</f>
        <v>34.236</v>
      </c>
      <c r="AN103" s="39" t="n">
        <f aca="false">SUM(AN101:AN102)</f>
        <v>38.211</v>
      </c>
      <c r="AO103" s="39" t="n">
        <f aca="false">SUM(AO101:AO102)</f>
        <v>34.839</v>
      </c>
      <c r="AP103" s="39" t="n">
        <f aca="false">SUM(AP101:AP102)</f>
        <v>29.8580000000001</v>
      </c>
      <c r="AQ103" s="26"/>
      <c r="AR103" s="26"/>
      <c r="AS103" s="26"/>
      <c r="AT103" s="26"/>
      <c r="AU103" s="26"/>
      <c r="AV103" s="26"/>
      <c r="AW103" s="26"/>
    </row>
    <row r="104" customFormat="false" ht="14.25" hidden="false" customHeight="true" outlineLevel="0" collapsed="false">
      <c r="B104" s="4" t="s">
        <v>108</v>
      </c>
      <c r="G104" s="77"/>
      <c r="H104" s="78"/>
      <c r="J104" s="79"/>
      <c r="K104" s="43" t="n">
        <f aca="false">K103/J103-1</f>
        <v>-0.388102268549812</v>
      </c>
      <c r="L104" s="43" t="n">
        <f aca="false">L103/K103-1</f>
        <v>-0.844325041909321</v>
      </c>
      <c r="M104" s="43" t="n">
        <f aca="false">M103/L103-1</f>
        <v>1.99897295446765</v>
      </c>
      <c r="N104" s="43" t="n">
        <f aca="false">N103/M103-1</f>
        <v>0.739580738895809</v>
      </c>
      <c r="O104" s="43" t="n">
        <f aca="false">O103/N103-1</f>
        <v>0.60265114003794</v>
      </c>
      <c r="P104" s="26"/>
      <c r="R104" s="79"/>
      <c r="S104" s="79"/>
      <c r="T104" s="79"/>
      <c r="U104" s="79"/>
      <c r="V104" s="43" t="n">
        <f aca="false">V103/R103-1</f>
        <v>-0.00787284294742208</v>
      </c>
      <c r="W104" s="43" t="n">
        <f aca="false">W103/S103-1</f>
        <v>-0.35702159106797</v>
      </c>
      <c r="X104" s="43" t="n">
        <f aca="false">X103/T103-1</f>
        <v>-0.462276403565736</v>
      </c>
      <c r="Y104" s="43" t="n">
        <f aca="false">Y103/U103-1</f>
        <v>-0.836577216801018</v>
      </c>
      <c r="Z104" s="43" t="n">
        <f aca="false">Z103/V103-1</f>
        <v>-0.720033457009887</v>
      </c>
      <c r="AA104" s="43" t="n">
        <f aca="false">AA103/W103-1</f>
        <v>-1.233412027833</v>
      </c>
      <c r="AB104" s="43" t="n">
        <f aca="false">AB103/X103-1</f>
        <v>-0.594417302519624</v>
      </c>
      <c r="AC104" s="43" t="n">
        <f aca="false">AC103/Y103-1</f>
        <v>-0.490994645464871</v>
      </c>
      <c r="AD104" s="43" t="n">
        <f aca="false">AD103/Z103-1</f>
        <v>-0.326489964761758</v>
      </c>
      <c r="AE104" s="43" t="n">
        <f aca="false">AE103/AA103-1</f>
        <v>-2.59648655842428</v>
      </c>
      <c r="AF104" s="43" t="n">
        <f aca="false">AF103/AB103-1</f>
        <v>1.17324220071733</v>
      </c>
      <c r="AG104" s="43" t="n">
        <f aca="false">AG103/AC103-1</f>
        <v>2.61332483264264</v>
      </c>
      <c r="AH104" s="43" t="n">
        <f aca="false">AH103/AD103-1</f>
        <v>0.714854413102821</v>
      </c>
      <c r="AI104" s="43" t="n">
        <f aca="false">AI103/AE103-1</f>
        <v>0.739746582194072</v>
      </c>
      <c r="AJ104" s="43" t="n">
        <f aca="false">AJ103/AF103-1</f>
        <v>0.652986236532354</v>
      </c>
      <c r="AK104" s="43" t="n">
        <f aca="false">AK103/AG103-1</f>
        <v>0.881252756947506</v>
      </c>
      <c r="AL104" s="43" t="n">
        <f aca="false">AL103/AH103-1</f>
        <v>0.793261258871128</v>
      </c>
      <c r="AM104" s="43" t="n">
        <f aca="false">AM103/AI103-1</f>
        <v>0.640440824149489</v>
      </c>
      <c r="AN104" s="43" t="n">
        <f aca="false">AN103/AJ103-1</f>
        <v>0.439642830231332</v>
      </c>
      <c r="AO104" s="43" t="n">
        <f aca="false">AO103/AK103-1</f>
        <v>0.633792909397862</v>
      </c>
      <c r="AP104" s="43" t="n">
        <f aca="false">AP103/AL103-1</f>
        <v>0.104338499093838</v>
      </c>
      <c r="AQ104" s="26"/>
      <c r="AR104" s="26"/>
      <c r="AS104" s="26"/>
      <c r="AT104" s="26"/>
      <c r="AU104" s="26"/>
      <c r="AV104" s="26"/>
      <c r="AW104" s="26"/>
    </row>
    <row r="105" customFormat="false" ht="14.25" hidden="false" customHeight="true" outlineLevel="0" collapsed="false">
      <c r="G105" s="44"/>
      <c r="H105" s="21"/>
      <c r="P105" s="26"/>
      <c r="AN105" s="51"/>
      <c r="AO105" s="51"/>
      <c r="AP105" s="51"/>
      <c r="AQ105" s="26"/>
      <c r="AR105" s="26"/>
      <c r="AS105" s="26"/>
      <c r="AT105" s="26"/>
      <c r="AU105" s="26"/>
      <c r="AV105" s="26"/>
      <c r="AW105" s="26"/>
    </row>
    <row r="106" customFormat="false" ht="14.25" hidden="false" customHeight="true" outlineLevel="0" collapsed="false">
      <c r="B106" s="1" t="s">
        <v>112</v>
      </c>
      <c r="G106" s="23" t="n">
        <f aca="true">OFFSET(R106,0,MATCH($G$2,$R$3:$AW$3,0)-1)*4</f>
        <v>523.328</v>
      </c>
      <c r="H106" s="24" t="n">
        <f aca="true">SUM(OFFSET(R106,0,MATCH($G$2,$R$3:$AW$3,0)-4),OFFSET(R106,0,MATCH($G$2,$R$3:$AW$3,0)-3),OFFSET(R106,0,MATCH($G$2,$R$3:$AW$3,0)-2),OFFSET(R106,0,MATCH($G$2,$R$3:$AW$3,0)-1))</f>
        <v>465.819</v>
      </c>
      <c r="J106" s="25" t="n">
        <f aca="false">SUM(R106:U106)</f>
        <v>329.723</v>
      </c>
      <c r="K106" s="25" t="n">
        <f aca="false">SUM(V106:Y106)</f>
        <v>395.584</v>
      </c>
      <c r="L106" s="25" t="n">
        <f aca="false">SUM(Z106:AC106)</f>
        <v>350.454</v>
      </c>
      <c r="M106" s="25" t="n">
        <f aca="false">SUM(AD106:AG106)</f>
        <v>248.994</v>
      </c>
      <c r="N106" s="25" t="n">
        <f aca="false">SUM(AH106:AK106)</f>
        <v>313.735</v>
      </c>
      <c r="O106" s="25" t="n">
        <f aca="false">SUM(AL106:AO106)</f>
        <v>423.165</v>
      </c>
      <c r="P106" s="26"/>
      <c r="R106" s="25" t="n">
        <f aca="false">R98</f>
        <v>59.5200000000001</v>
      </c>
      <c r="S106" s="25" t="n">
        <f aca="false">S98</f>
        <v>83.0100000000001</v>
      </c>
      <c r="T106" s="25" t="n">
        <f aca="false">T98</f>
        <v>95.661</v>
      </c>
      <c r="U106" s="25" t="n">
        <f aca="false">U98</f>
        <v>91.532</v>
      </c>
      <c r="V106" s="25" t="n">
        <f aca="false">V98</f>
        <v>80.748</v>
      </c>
      <c r="W106" s="25" t="n">
        <f aca="false">W98</f>
        <v>98.3350000000001</v>
      </c>
      <c r="X106" s="25" t="n">
        <f aca="false">X98</f>
        <v>117.142</v>
      </c>
      <c r="Y106" s="25" t="n">
        <f aca="false">Y98</f>
        <v>99.3590000000001</v>
      </c>
      <c r="Z106" s="25" t="n">
        <f aca="false">Z98</f>
        <v>96.0150000000001</v>
      </c>
      <c r="AA106" s="25" t="n">
        <f aca="false">AA98</f>
        <v>98.0590000000001</v>
      </c>
      <c r="AB106" s="25" t="n">
        <f aca="false">AB98</f>
        <v>79.721</v>
      </c>
      <c r="AC106" s="25" t="n">
        <f aca="false">AC98</f>
        <v>76.659</v>
      </c>
      <c r="AD106" s="25" t="n">
        <f aca="false">AD98</f>
        <v>49.519</v>
      </c>
      <c r="AE106" s="25" t="n">
        <f aca="false">AE98</f>
        <v>65.979</v>
      </c>
      <c r="AF106" s="25" t="n">
        <f aca="false">AF98</f>
        <v>63.395</v>
      </c>
      <c r="AG106" s="25" t="n">
        <f aca="false">AG98</f>
        <v>70.101</v>
      </c>
      <c r="AH106" s="25" t="n">
        <f aca="false">AH98</f>
        <v>61.021</v>
      </c>
      <c r="AI106" s="25" t="n">
        <f aca="false">AI98</f>
        <v>75.028</v>
      </c>
      <c r="AJ106" s="25" t="n">
        <f aca="false">AJ98</f>
        <v>86.083</v>
      </c>
      <c r="AK106" s="25" t="n">
        <f aca="false">AK98</f>
        <v>91.603</v>
      </c>
      <c r="AL106" s="25" t="n">
        <f aca="false">AL98</f>
        <v>88.1779999999999</v>
      </c>
      <c r="AM106" s="25" t="n">
        <f aca="false">AM98</f>
        <v>109.777</v>
      </c>
      <c r="AN106" s="25" t="n">
        <f aca="false">AN98</f>
        <v>110.12</v>
      </c>
      <c r="AO106" s="25" t="n">
        <f aca="false">AO98</f>
        <v>115.09</v>
      </c>
      <c r="AP106" s="25" t="n">
        <f aca="false">AP98</f>
        <v>130.832</v>
      </c>
      <c r="AQ106" s="26"/>
      <c r="AR106" s="26"/>
      <c r="AS106" s="26"/>
      <c r="AT106" s="26"/>
      <c r="AU106" s="26"/>
      <c r="AV106" s="26"/>
      <c r="AW106" s="26"/>
    </row>
    <row r="107" customFormat="false" ht="14.25" hidden="false" customHeight="true" outlineLevel="0" collapsed="false">
      <c r="B107" s="1" t="s">
        <v>113</v>
      </c>
      <c r="G107" s="23" t="n">
        <f aca="true">OFFSET(R107,0,MATCH($G$2,$R$3:$AW$3,0)-1)*4</f>
        <v>119.432</v>
      </c>
      <c r="H107" s="24" t="n">
        <f aca="true">SUM(OFFSET(R107,0,MATCH($G$2,$R$3:$AW$3,0)-4),OFFSET(R107,0,MATCH($G$2,$R$3:$AW$3,0)-3),OFFSET(R107,0,MATCH($G$2,$R$3:$AW$3,0)-2),OFFSET(R107,0,MATCH($G$2,$R$3:$AW$3,0)-1))</f>
        <v>137.144</v>
      </c>
      <c r="J107" s="25" t="n">
        <f aca="false">SUM(R107:U107)</f>
        <v>168.654</v>
      </c>
      <c r="K107" s="25" t="n">
        <f aca="false">SUM(V107:Y107)</f>
        <v>103.199</v>
      </c>
      <c r="L107" s="25" t="n">
        <f aca="false">SUM(Z107:AC107)</f>
        <v>16.0655</v>
      </c>
      <c r="M107" s="25" t="n">
        <f aca="false">SUM(AD107:AG107)</f>
        <v>48.18</v>
      </c>
      <c r="N107" s="25" t="n">
        <f aca="false">SUM(AH107:AK107)</f>
        <v>83.8130000000001</v>
      </c>
      <c r="O107" s="25" t="n">
        <f aca="false">SUM(AL107:AO107)</f>
        <v>134.323</v>
      </c>
      <c r="P107" s="26"/>
      <c r="R107" s="25" t="n">
        <f aca="false">R103</f>
        <v>46.997</v>
      </c>
      <c r="S107" s="25" t="n">
        <f aca="false">S103</f>
        <v>50.0669999999999</v>
      </c>
      <c r="T107" s="25" t="n">
        <f aca="false">T103</f>
        <v>33.878</v>
      </c>
      <c r="U107" s="25" t="n">
        <f aca="false">U103</f>
        <v>37.712</v>
      </c>
      <c r="V107" s="25" t="n">
        <f aca="false">V103</f>
        <v>46.627</v>
      </c>
      <c r="W107" s="25" t="n">
        <f aca="false">W103</f>
        <v>32.1919999999999</v>
      </c>
      <c r="X107" s="25" t="n">
        <f aca="false">X103</f>
        <v>18.217</v>
      </c>
      <c r="Y107" s="25" t="n">
        <f aca="false">Y103</f>
        <v>6.16300000000002</v>
      </c>
      <c r="Z107" s="25" t="n">
        <f aca="false">Z103</f>
        <v>13.054</v>
      </c>
      <c r="AA107" s="25" t="n">
        <f aca="false">AA103</f>
        <v>-7.514</v>
      </c>
      <c r="AB107" s="25" t="n">
        <f aca="false">AB103</f>
        <v>7.38850000000001</v>
      </c>
      <c r="AC107" s="25" t="n">
        <f aca="false">AC103</f>
        <v>3.13700000000001</v>
      </c>
      <c r="AD107" s="25" t="n">
        <f aca="false">AD103</f>
        <v>8.792</v>
      </c>
      <c r="AE107" s="25" t="n">
        <f aca="false">AE103</f>
        <v>11.996</v>
      </c>
      <c r="AF107" s="25" t="n">
        <f aca="false">AF103</f>
        <v>16.057</v>
      </c>
      <c r="AG107" s="25" t="n">
        <f aca="false">AG103</f>
        <v>11.335</v>
      </c>
      <c r="AH107" s="25" t="n">
        <f aca="false">AH103</f>
        <v>15.077</v>
      </c>
      <c r="AI107" s="25" t="n">
        <f aca="false">AI103</f>
        <v>20.8700000000001</v>
      </c>
      <c r="AJ107" s="25" t="n">
        <f aca="false">AJ103</f>
        <v>26.542</v>
      </c>
      <c r="AK107" s="25" t="n">
        <f aca="false">AK103</f>
        <v>21.324</v>
      </c>
      <c r="AL107" s="25" t="n">
        <f aca="false">AL103</f>
        <v>27.037</v>
      </c>
      <c r="AM107" s="25" t="n">
        <f aca="false">AM103</f>
        <v>34.236</v>
      </c>
      <c r="AN107" s="25" t="n">
        <f aca="false">AN103</f>
        <v>38.211</v>
      </c>
      <c r="AO107" s="25" t="n">
        <f aca="false">AO103</f>
        <v>34.839</v>
      </c>
      <c r="AP107" s="25" t="n">
        <f aca="false">AP103</f>
        <v>29.8580000000001</v>
      </c>
      <c r="AQ107" s="26"/>
      <c r="AR107" s="26"/>
      <c r="AS107" s="26"/>
      <c r="AT107" s="26"/>
      <c r="AU107" s="26"/>
      <c r="AV107" s="26"/>
      <c r="AW107" s="26"/>
    </row>
    <row r="108" customFormat="false" ht="14.25" hidden="false" customHeight="true" outlineLevel="0" collapsed="false">
      <c r="B108" s="29" t="s">
        <v>114</v>
      </c>
      <c r="C108" s="29"/>
      <c r="D108" s="29"/>
      <c r="E108" s="29"/>
      <c r="F108" s="29"/>
      <c r="G108" s="30" t="n">
        <f aca="true">OFFSET(R108,0,MATCH($G$2,$R$3:$AW$3,0)-1)*4</f>
        <v>-6.39600000000075</v>
      </c>
      <c r="H108" s="31" t="n">
        <f aca="true">SUM(OFFSET(R108,0,MATCH($G$2,$R$3:$AW$3,0)-4),OFFSET(R108,0,MATCH($G$2,$R$3:$AW$3,0)-3),OFFSET(R108,0,MATCH($G$2,$R$3:$AW$3,0)-2),OFFSET(R108,0,MATCH($G$2,$R$3:$AW$3,0)-1))</f>
        <v>-12.9620000000002</v>
      </c>
      <c r="I108" s="29"/>
      <c r="J108" s="32" t="n">
        <f aca="false">SUM(R108:U108)</f>
        <v>-32.2740000000001</v>
      </c>
      <c r="K108" s="32" t="n">
        <f aca="false">SUM(V108:Y108)</f>
        <v>-9.75100000000019</v>
      </c>
      <c r="L108" s="32" t="n">
        <f aca="false">SUM(Z108:AC108)</f>
        <v>-6.20150000000017</v>
      </c>
      <c r="M108" s="32" t="n">
        <f aca="false">SUM(AD108:AG108)</f>
        <v>-6.63699999999992</v>
      </c>
      <c r="N108" s="32" t="n">
        <f aca="false">SUM(AH108:AK108)</f>
        <v>-10.198</v>
      </c>
      <c r="O108" s="32" t="n">
        <f aca="false">SUM(AL108:AO108)</f>
        <v>-16.249</v>
      </c>
      <c r="P108" s="33"/>
      <c r="Q108" s="29"/>
      <c r="R108" s="32" t="n">
        <f aca="false">R109-R107-R106</f>
        <v>-3.47700000000001</v>
      </c>
      <c r="S108" s="32" t="n">
        <f aca="false">S109-S107-S106</f>
        <v>-22.174</v>
      </c>
      <c r="T108" s="32" t="n">
        <f aca="false">T109-T107-T106</f>
        <v>-3.66999999999995</v>
      </c>
      <c r="U108" s="32" t="n">
        <f aca="false">U109-U107-U106</f>
        <v>-2.95300000000012</v>
      </c>
      <c r="V108" s="32" t="n">
        <f aca="false">V109-V107-V106</f>
        <v>-2.20299999999997</v>
      </c>
      <c r="W108" s="32" t="n">
        <f aca="false">W109-W107-W106</f>
        <v>-2.70900000000009</v>
      </c>
      <c r="X108" s="32" t="n">
        <f aca="false">X109-X107-X106</f>
        <v>-2.62900000000002</v>
      </c>
      <c r="Y108" s="32" t="n">
        <f aca="false">Y109-Y107-Y106</f>
        <v>-2.21000000000011</v>
      </c>
      <c r="Z108" s="32" t="n">
        <f aca="false">Z109-Z107-Z106</f>
        <v>-2.19700000000003</v>
      </c>
      <c r="AA108" s="32" t="n">
        <f aca="false">AA109-AA107-AA106</f>
        <v>-1.60200000000009</v>
      </c>
      <c r="AB108" s="32" t="n">
        <f aca="false">AB109-AB107-AB106</f>
        <v>-2.10350000000001</v>
      </c>
      <c r="AC108" s="32" t="n">
        <f aca="false">AC109-AC107-AC106</f>
        <v>-0.299000000000035</v>
      </c>
      <c r="AD108" s="32" t="n">
        <f aca="false">AD109-AD107-AD106</f>
        <v>-2.38999999999999</v>
      </c>
      <c r="AE108" s="32" t="n">
        <f aca="false">AE109-AE107-AE106</f>
        <v>-0.933999999999955</v>
      </c>
      <c r="AF108" s="32" t="n">
        <f aca="false">AF109-AF107-AF106</f>
        <v>-3.03299999999992</v>
      </c>
      <c r="AG108" s="32" t="n">
        <f aca="false">AG109-AG107-AG106</f>
        <v>-0.280000000000058</v>
      </c>
      <c r="AH108" s="32" t="n">
        <f aca="false">AH109-AH107-AH106</f>
        <v>-1.28899999999994</v>
      </c>
      <c r="AI108" s="32" t="n">
        <f aca="false">AI109-AI107-AI106</f>
        <v>-0.692000000000107</v>
      </c>
      <c r="AJ108" s="32" t="n">
        <f aca="false">AJ109-AJ107-AJ106</f>
        <v>-3.67599999999997</v>
      </c>
      <c r="AK108" s="32" t="n">
        <f aca="false">AK109-AK107-AK106</f>
        <v>-4.54100000000001</v>
      </c>
      <c r="AL108" s="32" t="n">
        <f aca="false">AL109-AL107-AL106</f>
        <v>-4.886</v>
      </c>
      <c r="AM108" s="32" t="n">
        <f aca="false">AM109-AM107-AM106</f>
        <v>-5.48799999999991</v>
      </c>
      <c r="AN108" s="32" t="n">
        <f aca="false">AN109-AN107-AN106</f>
        <v>-2.89100000000013</v>
      </c>
      <c r="AO108" s="32" t="n">
        <f aca="false">AO109-AO107-AO106</f>
        <v>-2.98399999999992</v>
      </c>
      <c r="AP108" s="32" t="n">
        <f aca="false">AP109-AP107-AP106</f>
        <v>-1.59900000000019</v>
      </c>
      <c r="AQ108" s="33"/>
      <c r="AR108" s="33"/>
      <c r="AS108" s="33"/>
      <c r="AT108" s="33"/>
      <c r="AU108" s="33"/>
      <c r="AV108" s="33"/>
      <c r="AW108" s="33"/>
    </row>
    <row r="109" customFormat="false" ht="14.25" hidden="false" customHeight="true" outlineLevel="0" collapsed="false">
      <c r="B109" s="36" t="s">
        <v>115</v>
      </c>
      <c r="G109" s="37" t="n">
        <f aca="false">SUM(G106:G108)</f>
        <v>636.364</v>
      </c>
      <c r="H109" s="80" t="n">
        <f aca="false">SUM(H106:H108)</f>
        <v>590.001</v>
      </c>
      <c r="J109" s="39" t="n">
        <f aca="false">SUM(J106:J108)</f>
        <v>466.103</v>
      </c>
      <c r="K109" s="39" t="n">
        <f aca="false">SUM(K106:K108)</f>
        <v>489.032</v>
      </c>
      <c r="L109" s="39" t="n">
        <f aca="false">SUM(L106:L108)</f>
        <v>360.318</v>
      </c>
      <c r="M109" s="39" t="n">
        <f aca="false">SUM(M106:M108)</f>
        <v>290.537</v>
      </c>
      <c r="N109" s="39" t="n">
        <f aca="false">SUM(N106:N108)</f>
        <v>387.35</v>
      </c>
      <c r="O109" s="39" t="n">
        <f aca="false">SUM(O106:O108)</f>
        <v>541.239</v>
      </c>
      <c r="P109" s="26"/>
      <c r="R109" s="39" t="n">
        <f aca="false">R23</f>
        <v>103.04</v>
      </c>
      <c r="S109" s="39" t="n">
        <f aca="false">S23</f>
        <v>110.903</v>
      </c>
      <c r="T109" s="39" t="n">
        <f aca="false">T23</f>
        <v>125.869</v>
      </c>
      <c r="U109" s="39" t="n">
        <f aca="false">U23</f>
        <v>126.291</v>
      </c>
      <c r="V109" s="39" t="n">
        <f aca="false">V23</f>
        <v>125.172</v>
      </c>
      <c r="W109" s="39" t="n">
        <f aca="false">W23</f>
        <v>127.818</v>
      </c>
      <c r="X109" s="39" t="n">
        <f aca="false">X23</f>
        <v>132.73</v>
      </c>
      <c r="Y109" s="39" t="n">
        <f aca="false">Y23</f>
        <v>103.312</v>
      </c>
      <c r="Z109" s="39" t="n">
        <f aca="false">Z23</f>
        <v>106.872</v>
      </c>
      <c r="AA109" s="39" t="n">
        <f aca="false">AA23</f>
        <v>88.943</v>
      </c>
      <c r="AB109" s="39" t="n">
        <f aca="false">AB23</f>
        <v>85.006</v>
      </c>
      <c r="AC109" s="39" t="n">
        <f aca="false">AC23</f>
        <v>79.497</v>
      </c>
      <c r="AD109" s="39" t="n">
        <f aca="false">AD23</f>
        <v>55.921</v>
      </c>
      <c r="AE109" s="39" t="n">
        <f aca="false">AE23</f>
        <v>77.0410000000001</v>
      </c>
      <c r="AF109" s="39" t="n">
        <f aca="false">AF23</f>
        <v>76.4190000000001</v>
      </c>
      <c r="AG109" s="39" t="n">
        <f aca="false">AG23</f>
        <v>81.156</v>
      </c>
      <c r="AH109" s="39" t="n">
        <f aca="false">AH23</f>
        <v>74.8090000000001</v>
      </c>
      <c r="AI109" s="39" t="n">
        <f aca="false">AI23</f>
        <v>95.206</v>
      </c>
      <c r="AJ109" s="39" t="n">
        <f aca="false">AJ23</f>
        <v>108.949</v>
      </c>
      <c r="AK109" s="39" t="n">
        <f aca="false">AK23</f>
        <v>108.386</v>
      </c>
      <c r="AL109" s="39" t="n">
        <f aca="false">AL23</f>
        <v>110.329</v>
      </c>
      <c r="AM109" s="39" t="n">
        <f aca="false">AM23</f>
        <v>138.525</v>
      </c>
      <c r="AN109" s="39" t="n">
        <f aca="false">AN23</f>
        <v>145.44</v>
      </c>
      <c r="AO109" s="39" t="n">
        <f aca="false">AO23</f>
        <v>146.945</v>
      </c>
      <c r="AP109" s="39" t="n">
        <f aca="false">AP23</f>
        <v>159.091</v>
      </c>
      <c r="AQ109" s="26"/>
      <c r="AR109" s="26"/>
      <c r="AS109" s="26"/>
      <c r="AT109" s="26"/>
      <c r="AU109" s="26"/>
      <c r="AV109" s="26"/>
      <c r="AW109" s="26"/>
    </row>
    <row r="110" customFormat="false" ht="14.25" hidden="false" customHeight="true" outlineLevel="0" collapsed="false">
      <c r="B110" s="4" t="s">
        <v>104</v>
      </c>
      <c r="G110" s="77"/>
      <c r="H110" s="77"/>
      <c r="J110" s="79"/>
      <c r="K110" s="43" t="n">
        <f aca="false">K109/J109-1</f>
        <v>0.0491929895323562</v>
      </c>
      <c r="L110" s="43" t="n">
        <f aca="false">L109/K109-1</f>
        <v>-0.263201590079994</v>
      </c>
      <c r="M110" s="43" t="n">
        <f aca="false">M109/L109-1</f>
        <v>-0.19366504032549</v>
      </c>
      <c r="N110" s="43" t="n">
        <f aca="false">N109/M109-1</f>
        <v>0.333220897854662</v>
      </c>
      <c r="O110" s="43" t="n">
        <f aca="false">O109/N109-1</f>
        <v>0.397286691622563</v>
      </c>
      <c r="P110" s="26"/>
      <c r="R110" s="79"/>
      <c r="S110" s="79"/>
      <c r="T110" s="79"/>
      <c r="U110" s="79"/>
      <c r="V110" s="43" t="n">
        <f aca="false">V109/R109-1</f>
        <v>0.214790372670806</v>
      </c>
      <c r="W110" s="43" t="n">
        <f aca="false">W109/S109-1</f>
        <v>0.152520671217189</v>
      </c>
      <c r="X110" s="43" t="n">
        <f aca="false">X109/T109-1</f>
        <v>0.0545090530631045</v>
      </c>
      <c r="Y110" s="43" t="n">
        <f aca="false">Y109/U109-1</f>
        <v>-0.181952791568678</v>
      </c>
      <c r="Z110" s="43" t="n">
        <f aca="false">Z109/V109-1</f>
        <v>-0.146198830409356</v>
      </c>
      <c r="AA110" s="43" t="n">
        <f aca="false">AA109/W109-1</f>
        <v>-0.304143391384624</v>
      </c>
      <c r="AB110" s="43" t="n">
        <f aca="false">AB109/X109-1</f>
        <v>-0.359556995404204</v>
      </c>
      <c r="AC110" s="43" t="n">
        <f aca="false">AC109/Y109-1</f>
        <v>-0.230515332197615</v>
      </c>
      <c r="AD110" s="43" t="n">
        <f aca="false">AD109/Z109-1</f>
        <v>-0.476747885320758</v>
      </c>
      <c r="AE110" s="43" t="n">
        <f aca="false">AE109/AA109-1</f>
        <v>-0.133816039485962</v>
      </c>
      <c r="AF110" s="43" t="n">
        <f aca="false">AF109/AB109-1</f>
        <v>-0.101016398842434</v>
      </c>
      <c r="AG110" s="43" t="n">
        <f aca="false">AG109/AC109-1</f>
        <v>0.0208687120268687</v>
      </c>
      <c r="AH110" s="43" t="n">
        <f aca="false">AH109/AD109-1</f>
        <v>0.337762200246778</v>
      </c>
      <c r="AI110" s="43" t="n">
        <f aca="false">AI109/AE109-1</f>
        <v>0.235783543827312</v>
      </c>
      <c r="AJ110" s="43" t="n">
        <f aca="false">AJ109/AF109-1</f>
        <v>0.425679477616822</v>
      </c>
      <c r="AK110" s="43" t="n">
        <f aca="false">AK109/AG109-1</f>
        <v>0.33552664005126</v>
      </c>
      <c r="AL110" s="43" t="n">
        <f aca="false">AL109/AH109-1</f>
        <v>0.474809180713548</v>
      </c>
      <c r="AM110" s="43" t="n">
        <f aca="false">AM109/AI109-1</f>
        <v>0.455002835955718</v>
      </c>
      <c r="AN110" s="43" t="n">
        <f aca="false">AN109/AJ109-1</f>
        <v>0.334936529936024</v>
      </c>
      <c r="AO110" s="43" t="n">
        <f aca="false">AO109/AK109-1</f>
        <v>0.355756278486152</v>
      </c>
      <c r="AP110" s="43" t="n">
        <f aca="false">AP109/AL109-1</f>
        <v>0.441969019931296</v>
      </c>
      <c r="AQ110" s="26"/>
      <c r="AR110" s="26"/>
      <c r="AS110" s="26"/>
      <c r="AT110" s="26"/>
      <c r="AU110" s="26"/>
      <c r="AV110" s="26"/>
      <c r="AW110" s="26"/>
    </row>
    <row r="111" customFormat="false" ht="14.25" hidden="false" customHeight="true" outlineLevel="0" collapsed="false">
      <c r="B111" s="4"/>
      <c r="G111" s="77"/>
      <c r="H111" s="78"/>
      <c r="J111" s="79"/>
      <c r="K111" s="42"/>
      <c r="L111" s="42"/>
      <c r="M111" s="42"/>
      <c r="N111" s="42"/>
      <c r="O111" s="42"/>
      <c r="P111" s="26"/>
      <c r="R111" s="79"/>
      <c r="S111" s="79"/>
      <c r="T111" s="79"/>
      <c r="U111" s="79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26"/>
      <c r="AR111" s="26"/>
      <c r="AS111" s="26"/>
      <c r="AT111" s="26"/>
      <c r="AU111" s="26"/>
      <c r="AV111" s="26"/>
      <c r="AW111" s="26"/>
    </row>
    <row r="112" customFormat="false" ht="14.25" hidden="false" customHeight="true" outlineLevel="0" collapsed="false">
      <c r="B112" s="1" t="s">
        <v>116</v>
      </c>
      <c r="G112" s="23" t="n">
        <f aca="true">OFFSET(R112,0,MATCH($G$2,$R$3:$AW$3,0)-1)*4</f>
        <v>13216</v>
      </c>
      <c r="H112" s="24" t="n">
        <f aca="true">SUM(OFFSET(R112,0,MATCH($G$2,$R$3:$AW$3,0)-4),OFFSET(R112,0,MATCH($G$2,$R$3:$AW$3,0)-3),OFFSET(R112,0,MATCH($G$2,$R$3:$AW$3,0)-2),OFFSET(R112,0,MATCH($G$2,$R$3:$AW$3,0)-1))</f>
        <v>13435</v>
      </c>
      <c r="J112" s="25" t="n">
        <f aca="false">SUM(R112:U112)</f>
        <v>14501</v>
      </c>
      <c r="K112" s="25" t="n">
        <f aca="false">SUM(V112:Y112)</f>
        <v>14611</v>
      </c>
      <c r="L112" s="25" t="n">
        <f aca="false">SUM(Z112:AC112)</f>
        <v>13006</v>
      </c>
      <c r="M112" s="25" t="n">
        <f aca="false">SUM(AD112:AG112)</f>
        <v>13696</v>
      </c>
      <c r="N112" s="25" t="n">
        <f aca="false">SUM(AH112:AK112)</f>
        <v>13775</v>
      </c>
      <c r="O112" s="25" t="n">
        <f aca="false">SUM(AL112:AO112)</f>
        <v>13571</v>
      </c>
      <c r="P112" s="26"/>
      <c r="R112" s="27" t="n">
        <v>3182</v>
      </c>
      <c r="S112" s="27" t="n">
        <v>3921</v>
      </c>
      <c r="T112" s="27" t="n">
        <v>3721</v>
      </c>
      <c r="U112" s="27" t="n">
        <v>3677</v>
      </c>
      <c r="V112" s="27" t="n">
        <v>3146</v>
      </c>
      <c r="W112" s="27" t="n">
        <v>3707</v>
      </c>
      <c r="X112" s="27" t="n">
        <v>3958</v>
      </c>
      <c r="Y112" s="27" t="n">
        <v>3800</v>
      </c>
      <c r="Z112" s="27" t="n">
        <v>3619</v>
      </c>
      <c r="AA112" s="27" t="n">
        <v>3688</v>
      </c>
      <c r="AB112" s="27" t="n">
        <v>2794</v>
      </c>
      <c r="AC112" s="27" t="n">
        <v>2905</v>
      </c>
      <c r="AD112" s="27" t="n">
        <v>2981</v>
      </c>
      <c r="AE112" s="27" t="n">
        <v>3478</v>
      </c>
      <c r="AF112" s="27" t="n">
        <v>3393</v>
      </c>
      <c r="AG112" s="27" t="n">
        <v>3844</v>
      </c>
      <c r="AH112" s="27" t="n">
        <v>3168</v>
      </c>
      <c r="AI112" s="27" t="n">
        <v>3536</v>
      </c>
      <c r="AJ112" s="27" t="n">
        <v>3706</v>
      </c>
      <c r="AK112" s="27" t="n">
        <v>3365</v>
      </c>
      <c r="AL112" s="27" t="n">
        <v>3440</v>
      </c>
      <c r="AM112" s="27" t="n">
        <v>3500</v>
      </c>
      <c r="AN112" s="27" t="n">
        <v>3291</v>
      </c>
      <c r="AO112" s="27" t="n">
        <v>3340</v>
      </c>
      <c r="AP112" s="27" t="n">
        <v>3304</v>
      </c>
      <c r="AQ112" s="26"/>
      <c r="AR112" s="26"/>
      <c r="AS112" s="26"/>
      <c r="AT112" s="26"/>
      <c r="AU112" s="26"/>
      <c r="AV112" s="26"/>
      <c r="AW112" s="26"/>
    </row>
    <row r="113" customFormat="false" ht="14.25" hidden="false" customHeight="true" outlineLevel="0" collapsed="false">
      <c r="B113" s="29" t="s">
        <v>117</v>
      </c>
      <c r="C113" s="29"/>
      <c r="D113" s="29"/>
      <c r="E113" s="29"/>
      <c r="F113" s="29"/>
      <c r="G113" s="81" t="n">
        <f aca="false">G114/G112*100</f>
        <v>11.7</v>
      </c>
      <c r="H113" s="82" t="n">
        <f aca="false">H114/H112*100</f>
        <v>10.9139188686267</v>
      </c>
      <c r="I113" s="83"/>
      <c r="J113" s="84" t="n">
        <f aca="false">J114/J112*100</f>
        <v>7.70838562857734</v>
      </c>
      <c r="K113" s="84" t="n">
        <f aca="false">K114/K112*100</f>
        <v>8.3688180138252</v>
      </c>
      <c r="L113" s="84" t="n">
        <f aca="false">L114/L112*100</f>
        <v>8.42798708288482</v>
      </c>
      <c r="M113" s="84" t="n">
        <f aca="false">M114/M112*100</f>
        <v>7.33694509345794</v>
      </c>
      <c r="N113" s="84" t="n">
        <f aca="false">N114/N112*100</f>
        <v>9.27899818511797</v>
      </c>
      <c r="O113" s="84" t="n">
        <f aca="false">O114/O112*100</f>
        <v>10.4401812688822</v>
      </c>
      <c r="P113" s="85"/>
      <c r="Q113" s="83"/>
      <c r="R113" s="86" t="n">
        <v>8</v>
      </c>
      <c r="S113" s="86" t="n">
        <v>7.3</v>
      </c>
      <c r="T113" s="86" t="n">
        <v>7.7</v>
      </c>
      <c r="U113" s="86" t="n">
        <v>7.9</v>
      </c>
      <c r="V113" s="86" t="n">
        <v>9</v>
      </c>
      <c r="W113" s="86" t="n">
        <v>8.4</v>
      </c>
      <c r="X113" s="86" t="n">
        <v>8</v>
      </c>
      <c r="Y113" s="86" t="n">
        <v>8.2</v>
      </c>
      <c r="Z113" s="86" t="n">
        <v>8.8</v>
      </c>
      <c r="AA113" s="86" t="n">
        <v>8.2</v>
      </c>
      <c r="AB113" s="86" t="n">
        <v>8.9</v>
      </c>
      <c r="AC113" s="86" t="n">
        <v>7.8</v>
      </c>
      <c r="AD113" s="86" t="n">
        <v>7.5</v>
      </c>
      <c r="AE113" s="86" t="n">
        <v>7.3</v>
      </c>
      <c r="AF113" s="86" t="n">
        <v>7.5</v>
      </c>
      <c r="AG113" s="86" t="n">
        <v>7.1</v>
      </c>
      <c r="AH113" s="86" t="n">
        <v>8.8</v>
      </c>
      <c r="AI113" s="86" t="n">
        <v>9</v>
      </c>
      <c r="AJ113" s="86" t="n">
        <v>9.3</v>
      </c>
      <c r="AK113" s="86" t="n">
        <v>10</v>
      </c>
      <c r="AL113" s="86" t="n">
        <v>9.8</v>
      </c>
      <c r="AM113" s="86" t="n">
        <v>10.1</v>
      </c>
      <c r="AN113" s="86" t="n">
        <v>10.7</v>
      </c>
      <c r="AO113" s="86" t="n">
        <v>11.2</v>
      </c>
      <c r="AP113" s="86" t="n">
        <v>11.7</v>
      </c>
      <c r="AQ113" s="33"/>
      <c r="AR113" s="33"/>
      <c r="AS113" s="33"/>
      <c r="AT113" s="33"/>
      <c r="AU113" s="33"/>
      <c r="AV113" s="33"/>
      <c r="AW113" s="33"/>
    </row>
    <row r="114" customFormat="false" ht="14.25" hidden="false" customHeight="true" outlineLevel="0" collapsed="false">
      <c r="B114" s="36" t="s">
        <v>118</v>
      </c>
      <c r="G114" s="37" t="n">
        <f aca="true">OFFSET(R114,0,MATCH($G$2,$R$3:$AW$3,0)-1)*4</f>
        <v>1546.272</v>
      </c>
      <c r="H114" s="38" t="n">
        <f aca="true">SUM(OFFSET(R114,0,MATCH($G$2,$R$3:$AW$3,0)-4),OFFSET(R114,0,MATCH($G$2,$R$3:$AW$3,0)-3),OFFSET(R114,0,MATCH($G$2,$R$3:$AW$3,0)-2),OFFSET(R114,0,MATCH($G$2,$R$3:$AW$3,0)-1))</f>
        <v>1466.285</v>
      </c>
      <c r="J114" s="39" t="n">
        <f aca="false">SUM(R114:U114)</f>
        <v>1117.793</v>
      </c>
      <c r="K114" s="39" t="n">
        <f aca="false">SUM(V114:Y114)</f>
        <v>1222.768</v>
      </c>
      <c r="L114" s="39" t="n">
        <f aca="false">SUM(Z114:AC114)</f>
        <v>1096.144</v>
      </c>
      <c r="M114" s="39" t="n">
        <f aca="false">SUM(AD114:AG114)</f>
        <v>1004.868</v>
      </c>
      <c r="N114" s="39" t="n">
        <f aca="false">SUM(AH114:AK114)</f>
        <v>1278.182</v>
      </c>
      <c r="O114" s="39" t="n">
        <f aca="false">SUM(AL114:AO114)</f>
        <v>1416.837</v>
      </c>
      <c r="P114" s="26"/>
      <c r="R114" s="39" t="n">
        <f aca="false">R112*R113/100</f>
        <v>254.56</v>
      </c>
      <c r="S114" s="39" t="n">
        <f aca="false">S112*S113/100</f>
        <v>286.233</v>
      </c>
      <c r="T114" s="39" t="n">
        <f aca="false">T112*T113/100</f>
        <v>286.517</v>
      </c>
      <c r="U114" s="39" t="n">
        <f aca="false">U112*U113/100</f>
        <v>290.483</v>
      </c>
      <c r="V114" s="39" t="n">
        <f aca="false">V112*V113/100</f>
        <v>283.14</v>
      </c>
      <c r="W114" s="39" t="n">
        <f aca="false">W112*W113/100</f>
        <v>311.388</v>
      </c>
      <c r="X114" s="39" t="n">
        <f aca="false">X112*X113/100</f>
        <v>316.64</v>
      </c>
      <c r="Y114" s="39" t="n">
        <f aca="false">Y112*Y113/100</f>
        <v>311.6</v>
      </c>
      <c r="Z114" s="39" t="n">
        <f aca="false">Z112*Z113/100</f>
        <v>318.472</v>
      </c>
      <c r="AA114" s="39" t="n">
        <f aca="false">AA112*AA113/100</f>
        <v>302.416</v>
      </c>
      <c r="AB114" s="39" t="n">
        <f aca="false">AB112*AB113/100</f>
        <v>248.666</v>
      </c>
      <c r="AC114" s="39" t="n">
        <f aca="false">AC112*AC113/100</f>
        <v>226.59</v>
      </c>
      <c r="AD114" s="39" t="n">
        <f aca="false">AD112*AD113/100</f>
        <v>223.575</v>
      </c>
      <c r="AE114" s="39" t="n">
        <f aca="false">AE112*AE113/100</f>
        <v>253.894</v>
      </c>
      <c r="AF114" s="39" t="n">
        <f aca="false">AF112*AF113/100</f>
        <v>254.475</v>
      </c>
      <c r="AG114" s="39" t="n">
        <f aca="false">AG112*AG113/100</f>
        <v>272.924</v>
      </c>
      <c r="AH114" s="39" t="n">
        <f aca="false">AH112*AH113/100</f>
        <v>278.784</v>
      </c>
      <c r="AI114" s="39" t="n">
        <f aca="false">AI112*AI113/100</f>
        <v>318.24</v>
      </c>
      <c r="AJ114" s="39" t="n">
        <f aca="false">AJ112*AJ113/100</f>
        <v>344.658</v>
      </c>
      <c r="AK114" s="39" t="n">
        <f aca="false">AK112*AK113/100</f>
        <v>336.5</v>
      </c>
      <c r="AL114" s="39" t="n">
        <f aca="false">AL112*AL113/100</f>
        <v>337.12</v>
      </c>
      <c r="AM114" s="39" t="n">
        <f aca="false">AM112*AM113/100</f>
        <v>353.5</v>
      </c>
      <c r="AN114" s="39" t="n">
        <f aca="false">AN112*AN113/100</f>
        <v>352.137</v>
      </c>
      <c r="AO114" s="39" t="n">
        <f aca="false">AO112*AO113/100</f>
        <v>374.08</v>
      </c>
      <c r="AP114" s="39" t="n">
        <f aca="false">AP112*AP113/100</f>
        <v>386.568</v>
      </c>
      <c r="AQ114" s="26"/>
      <c r="AR114" s="26"/>
      <c r="AS114" s="26"/>
      <c r="AT114" s="26"/>
      <c r="AU114" s="26"/>
      <c r="AV114" s="26"/>
      <c r="AW114" s="26"/>
    </row>
    <row r="115" customFormat="false" ht="14.25" hidden="false" customHeight="true" outlineLevel="0" collapsed="false">
      <c r="B115" s="36" t="s">
        <v>119</v>
      </c>
      <c r="G115" s="37" t="n">
        <f aca="false">G91-G114</f>
        <v>355.376</v>
      </c>
      <c r="H115" s="37" t="n">
        <f aca="false">H91-H114</f>
        <v>318.569</v>
      </c>
      <c r="J115" s="39" t="n">
        <f aca="false">J91-J114</f>
        <v>365.35</v>
      </c>
      <c r="K115" s="39" t="n">
        <f aca="false">K91-K114</f>
        <v>364.314</v>
      </c>
      <c r="L115" s="39" t="n">
        <f aca="false">L91-L114</f>
        <v>308.121</v>
      </c>
      <c r="M115" s="39" t="n">
        <f aca="false">M91-M114</f>
        <v>318.05</v>
      </c>
      <c r="N115" s="39" t="n">
        <f aca="false">N91-N114</f>
        <v>338.785</v>
      </c>
      <c r="O115" s="39" t="n">
        <f aca="false">O91-O114</f>
        <v>305.1</v>
      </c>
      <c r="P115" s="26"/>
      <c r="R115" s="39" t="n">
        <f aca="false">R91-R114</f>
        <v>85.843</v>
      </c>
      <c r="S115" s="39" t="n">
        <f aca="false">S91-S114</f>
        <v>91.93</v>
      </c>
      <c r="T115" s="39" t="n">
        <f aca="false">T91-T114</f>
        <v>95.523</v>
      </c>
      <c r="U115" s="39" t="n">
        <f aca="false">U91-U114</f>
        <v>92.054</v>
      </c>
      <c r="V115" s="39" t="n">
        <f aca="false">V91-V114</f>
        <v>84.981</v>
      </c>
      <c r="W115" s="39" t="n">
        <f aca="false">W91-W114</f>
        <v>92.898</v>
      </c>
      <c r="X115" s="39" t="n">
        <f aca="false">X91-X114</f>
        <v>96.025</v>
      </c>
      <c r="Y115" s="39" t="n">
        <f aca="false">Y91-Y114</f>
        <v>90.41</v>
      </c>
      <c r="Z115" s="39" t="n">
        <f aca="false">Z91-Z114</f>
        <v>84.785</v>
      </c>
      <c r="AA115" s="39" t="n">
        <f aca="false">AA91-AA114</f>
        <v>78.571</v>
      </c>
      <c r="AB115" s="39" t="n">
        <f aca="false">AB91-AB114</f>
        <v>71.936</v>
      </c>
      <c r="AC115" s="39" t="n">
        <f aca="false">AC91-AC114</f>
        <v>72.829</v>
      </c>
      <c r="AD115" s="39" t="n">
        <f aca="false">AD91-AD114</f>
        <v>77.376</v>
      </c>
      <c r="AE115" s="39" t="n">
        <f aca="false">AE91-AE114</f>
        <v>78.993</v>
      </c>
      <c r="AF115" s="39" t="n">
        <f aca="false">AF91-AF114</f>
        <v>84.039</v>
      </c>
      <c r="AG115" s="39" t="n">
        <f aca="false">AG91-AG114</f>
        <v>77.642</v>
      </c>
      <c r="AH115" s="39" t="n">
        <f aca="false">AH91-AH114</f>
        <v>76.752</v>
      </c>
      <c r="AI115" s="39" t="n">
        <f aca="false">AI91-AI114</f>
        <v>87.415</v>
      </c>
      <c r="AJ115" s="39" t="n">
        <f aca="false">AJ91-AJ114</f>
        <v>88.382</v>
      </c>
      <c r="AK115" s="39" t="n">
        <f aca="false">AK91-AK114</f>
        <v>86.236</v>
      </c>
      <c r="AL115" s="39" t="n">
        <f aca="false">AL91-AL114</f>
        <v>75.375</v>
      </c>
      <c r="AM115" s="39" t="n">
        <f aca="false">AM91-AM114</f>
        <v>73.462</v>
      </c>
      <c r="AN115" s="39" t="n">
        <f aca="false">AN91-AN114</f>
        <v>77.7480000000001</v>
      </c>
      <c r="AO115" s="39" t="n">
        <f aca="false">AO91-AO114</f>
        <v>78.515</v>
      </c>
      <c r="AP115" s="39" t="n">
        <f aca="false">AP91-AP114</f>
        <v>88.844</v>
      </c>
      <c r="AQ115" s="26"/>
      <c r="AR115" s="26"/>
      <c r="AS115" s="26"/>
      <c r="AT115" s="26"/>
      <c r="AU115" s="26"/>
      <c r="AV115" s="26"/>
      <c r="AW115" s="26"/>
    </row>
    <row r="116" customFormat="false" ht="14.25" hidden="false" customHeight="true" outlineLevel="0" collapsed="false">
      <c r="B116" s="4"/>
      <c r="G116" s="77"/>
      <c r="H116" s="78"/>
      <c r="J116" s="79"/>
      <c r="K116" s="42"/>
      <c r="L116" s="42"/>
      <c r="M116" s="42"/>
      <c r="N116" s="42"/>
      <c r="O116" s="42"/>
      <c r="P116" s="26"/>
      <c r="R116" s="79"/>
      <c r="S116" s="79"/>
      <c r="T116" s="79"/>
      <c r="U116" s="79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26"/>
      <c r="AR116" s="26"/>
      <c r="AS116" s="26"/>
      <c r="AT116" s="26"/>
      <c r="AU116" s="26"/>
      <c r="AV116" s="26"/>
      <c r="AW116" s="26"/>
    </row>
    <row r="117" customFormat="false" ht="14.25" hidden="false" customHeight="true" outlineLevel="0" collapsed="false">
      <c r="G117" s="44"/>
      <c r="H117" s="21"/>
      <c r="P117" s="26"/>
      <c r="AQ117" s="26"/>
      <c r="AR117" s="26"/>
      <c r="AS117" s="26"/>
      <c r="AT117" s="26"/>
      <c r="AU117" s="26"/>
      <c r="AV117" s="26"/>
      <c r="AW117" s="26"/>
    </row>
    <row r="118" customFormat="false" ht="15" hidden="false" customHeight="true" outlineLevel="0" collapsed="false">
      <c r="A118" s="16" t="s">
        <v>38</v>
      </c>
      <c r="B118" s="16" t="s">
        <v>120</v>
      </c>
      <c r="C118" s="17"/>
      <c r="D118" s="17"/>
      <c r="E118" s="17"/>
      <c r="F118" s="17"/>
      <c r="G118" s="18"/>
      <c r="H118" s="19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</row>
    <row r="119" customFormat="false" ht="14.25" hidden="false" customHeight="true" outlineLevel="0" collapsed="false">
      <c r="G119" s="44"/>
      <c r="H119" s="21"/>
      <c r="P119" s="26"/>
      <c r="AQ119" s="26"/>
      <c r="AR119" s="26"/>
      <c r="AS119" s="26"/>
      <c r="AT119" s="26"/>
      <c r="AU119" s="26"/>
      <c r="AV119" s="26"/>
      <c r="AW119" s="26"/>
    </row>
    <row r="120" customFormat="false" ht="14.25" hidden="false" customHeight="true" outlineLevel="0" collapsed="false">
      <c r="B120" s="1" t="s">
        <v>121</v>
      </c>
      <c r="G120" s="23" t="n">
        <f aca="true">OFFSET(R120,0,MATCH($G$2,$R$3:$AW$3,0)-1)*4</f>
        <v>636.364</v>
      </c>
      <c r="H120" s="24" t="n">
        <f aca="true">SUM(OFFSET(R120,0,MATCH($G$2,$R$3:$AW$3,0)-4),OFFSET(R120,0,MATCH($G$2,$R$3:$AW$3,0)-3),OFFSET(R120,0,MATCH($G$2,$R$3:$AW$3,0)-2),OFFSET(R120,0,MATCH($G$2,$R$3:$AW$3,0)-1))</f>
        <v>590.001</v>
      </c>
      <c r="J120" s="25" t="n">
        <f aca="false">SUM(R120:U120)</f>
        <v>466.103</v>
      </c>
      <c r="K120" s="25" t="n">
        <f aca="false">SUM(V120:Y120)</f>
        <v>489.032</v>
      </c>
      <c r="L120" s="25" t="n">
        <f aca="false">SUM(Z120:AC120)</f>
        <v>360.318</v>
      </c>
      <c r="M120" s="25" t="n">
        <f aca="false">M23</f>
        <v>290.537</v>
      </c>
      <c r="N120" s="25" t="n">
        <f aca="false">N23</f>
        <v>387.35</v>
      </c>
      <c r="O120" s="25" t="n">
        <f aca="false">O23</f>
        <v>541.239</v>
      </c>
      <c r="P120" s="26"/>
      <c r="R120" s="25" t="n">
        <f aca="false">R23</f>
        <v>103.04</v>
      </c>
      <c r="S120" s="25" t="n">
        <f aca="false">S23</f>
        <v>110.903</v>
      </c>
      <c r="T120" s="25" t="n">
        <f aca="false">T23</f>
        <v>125.869</v>
      </c>
      <c r="U120" s="25" t="n">
        <f aca="false">U23</f>
        <v>126.291</v>
      </c>
      <c r="V120" s="25" t="n">
        <f aca="false">V23</f>
        <v>125.172</v>
      </c>
      <c r="W120" s="25" t="n">
        <f aca="false">W23</f>
        <v>127.818</v>
      </c>
      <c r="X120" s="25" t="n">
        <f aca="false">X23</f>
        <v>132.73</v>
      </c>
      <c r="Y120" s="25" t="n">
        <f aca="false">Y23</f>
        <v>103.312</v>
      </c>
      <c r="Z120" s="25" t="n">
        <f aca="false">Z23</f>
        <v>106.872</v>
      </c>
      <c r="AA120" s="25" t="n">
        <f aca="false">AA23</f>
        <v>88.943</v>
      </c>
      <c r="AB120" s="25" t="n">
        <f aca="false">AB23</f>
        <v>85.006</v>
      </c>
      <c r="AC120" s="25" t="n">
        <f aca="false">AC23</f>
        <v>79.497</v>
      </c>
      <c r="AD120" s="25" t="n">
        <f aca="false">AD23</f>
        <v>55.921</v>
      </c>
      <c r="AE120" s="25" t="n">
        <f aca="false">AE23</f>
        <v>77.0410000000001</v>
      </c>
      <c r="AF120" s="25" t="n">
        <f aca="false">AF23</f>
        <v>76.4190000000001</v>
      </c>
      <c r="AG120" s="25" t="n">
        <f aca="false">AG23</f>
        <v>81.156</v>
      </c>
      <c r="AH120" s="25" t="n">
        <f aca="false">AH23</f>
        <v>74.8090000000001</v>
      </c>
      <c r="AI120" s="25" t="n">
        <f aca="false">AI23</f>
        <v>95.206</v>
      </c>
      <c r="AJ120" s="25" t="n">
        <f aca="false">AJ23</f>
        <v>108.949</v>
      </c>
      <c r="AK120" s="25" t="n">
        <f aca="false">AK23</f>
        <v>108.386</v>
      </c>
      <c r="AL120" s="25" t="n">
        <f aca="false">AL23</f>
        <v>110.329</v>
      </c>
      <c r="AM120" s="25" t="n">
        <f aca="false">AM23</f>
        <v>138.525</v>
      </c>
      <c r="AN120" s="25" t="n">
        <f aca="false">AN23</f>
        <v>145.44</v>
      </c>
      <c r="AO120" s="25" t="n">
        <f aca="false">AO23</f>
        <v>146.945</v>
      </c>
      <c r="AP120" s="25" t="n">
        <f aca="false">AP23</f>
        <v>159.091</v>
      </c>
      <c r="AQ120" s="26"/>
      <c r="AR120" s="26"/>
      <c r="AS120" s="26"/>
      <c r="AT120" s="26"/>
      <c r="AU120" s="26"/>
      <c r="AV120" s="26"/>
      <c r="AW120" s="26"/>
    </row>
    <row r="121" customFormat="false" ht="14.25" hidden="false" customHeight="true" outlineLevel="0" collapsed="false">
      <c r="B121" s="1" t="s">
        <v>122</v>
      </c>
      <c r="G121" s="23" t="n">
        <f aca="true">OFFSET(R121,0,MATCH($G$2,$R$3:$AW$3,0)-1)*4</f>
        <v>13.076</v>
      </c>
      <c r="H121" s="24" t="n">
        <f aca="true">SUM(OFFSET(R121,0,MATCH($G$2,$R$3:$AW$3,0)-4),OFFSET(R121,0,MATCH($G$2,$R$3:$AW$3,0)-3),OFFSET(R121,0,MATCH($G$2,$R$3:$AW$3,0)-2),OFFSET(R121,0,MATCH($G$2,$R$3:$AW$3,0)-1))</f>
        <v>7.867</v>
      </c>
      <c r="J121" s="25" t="n">
        <f aca="false">SUM(R121:U121)</f>
        <v>5.726</v>
      </c>
      <c r="K121" s="25" t="n">
        <f aca="false">SUM(V121:Y121)</f>
        <v>3.787</v>
      </c>
      <c r="L121" s="25" t="n">
        <f aca="false">SUM(Z121:AC121)</f>
        <v>8.147</v>
      </c>
      <c r="M121" s="25" t="n">
        <f aca="false">M28</f>
        <v>10.001</v>
      </c>
      <c r="N121" s="25" t="n">
        <f aca="false">N28</f>
        <v>16.686</v>
      </c>
      <c r="O121" s="25" t="n">
        <f aca="false">O28</f>
        <v>11.041</v>
      </c>
      <c r="P121" s="26"/>
      <c r="R121" s="25" t="n">
        <f aca="false">R28</f>
        <v>1.591</v>
      </c>
      <c r="S121" s="25" t="n">
        <f aca="false">S28</f>
        <v>1.541</v>
      </c>
      <c r="T121" s="25" t="n">
        <f aca="false">T28</f>
        <v>1.454</v>
      </c>
      <c r="U121" s="25" t="n">
        <f aca="false">U28</f>
        <v>1.14</v>
      </c>
      <c r="V121" s="25" t="n">
        <f aca="false">V28</f>
        <v>-0.568</v>
      </c>
      <c r="W121" s="25" t="n">
        <f aca="false">W28</f>
        <v>2.381</v>
      </c>
      <c r="X121" s="25" t="n">
        <f aca="false">X28</f>
        <v>0.864</v>
      </c>
      <c r="Y121" s="25" t="n">
        <f aca="false">Y28</f>
        <v>1.11</v>
      </c>
      <c r="Z121" s="25" t="n">
        <f aca="false">Z28</f>
        <v>2.723</v>
      </c>
      <c r="AA121" s="25" t="n">
        <f aca="false">AA28</f>
        <v>2.29</v>
      </c>
      <c r="AB121" s="25" t="n">
        <f aca="false">AB28</f>
        <v>1.172</v>
      </c>
      <c r="AC121" s="25" t="n">
        <f aca="false">AC28</f>
        <v>1.962</v>
      </c>
      <c r="AD121" s="25" t="n">
        <f aca="false">AD28</f>
        <v>3.791</v>
      </c>
      <c r="AE121" s="25" t="n">
        <f aca="false">AE28</f>
        <v>2.523</v>
      </c>
      <c r="AF121" s="25" t="n">
        <f aca="false">AF28</f>
        <v>1.832</v>
      </c>
      <c r="AG121" s="25" t="n">
        <f aca="false">AG28</f>
        <v>1.855</v>
      </c>
      <c r="AH121" s="25" t="n">
        <f aca="false">AH28</f>
        <v>4.308</v>
      </c>
      <c r="AI121" s="25" t="n">
        <f aca="false">AI28</f>
        <v>3.749</v>
      </c>
      <c r="AJ121" s="25" t="n">
        <f aca="false">AJ28</f>
        <v>3.805</v>
      </c>
      <c r="AK121" s="25" t="n">
        <f aca="false">AK28</f>
        <v>4.824</v>
      </c>
      <c r="AL121" s="25" t="n">
        <f aca="false">AL28</f>
        <v>6.443</v>
      </c>
      <c r="AM121" s="25" t="n">
        <f aca="false">AM28</f>
        <v>1.264</v>
      </c>
      <c r="AN121" s="25" t="n">
        <f aca="false">AN28</f>
        <v>1.589</v>
      </c>
      <c r="AO121" s="25" t="n">
        <f aca="false">AO28</f>
        <v>1.745</v>
      </c>
      <c r="AP121" s="25" t="n">
        <f aca="false">AP28</f>
        <v>3.269</v>
      </c>
      <c r="AQ121" s="26"/>
      <c r="AR121" s="26"/>
      <c r="AS121" s="26"/>
      <c r="AT121" s="26"/>
      <c r="AU121" s="26"/>
      <c r="AV121" s="26"/>
      <c r="AW121" s="26"/>
    </row>
    <row r="122" customFormat="false" ht="14.25" hidden="false" customHeight="true" outlineLevel="0" collapsed="false">
      <c r="B122" s="1" t="s">
        <v>123</v>
      </c>
      <c r="G122" s="23" t="n">
        <f aca="true">OFFSET(R122,0,MATCH($G$2,$R$3:$AW$3,0)-1)*4</f>
        <v>-86.044</v>
      </c>
      <c r="H122" s="24" t="n">
        <f aca="true">SUM(OFFSET(R122,0,MATCH($G$2,$R$3:$AW$3,0)-4),OFFSET(R122,0,MATCH($G$2,$R$3:$AW$3,0)-3),OFFSET(R122,0,MATCH($G$2,$R$3:$AW$3,0)-2),OFFSET(R122,0,MATCH($G$2,$R$3:$AW$3,0)-1))</f>
        <v>-50.535</v>
      </c>
      <c r="J122" s="25" t="n">
        <f aca="false">- 40.772</f>
        <v>-40.772</v>
      </c>
      <c r="K122" s="25" t="n">
        <f aca="false">-55.766</f>
        <v>-55.766</v>
      </c>
      <c r="L122" s="25" t="n">
        <f aca="false">-48.721</f>
        <v>-48.721</v>
      </c>
      <c r="M122" s="27" t="n">
        <v>-40.878</v>
      </c>
      <c r="N122" s="27" t="n">
        <v>-42.816</v>
      </c>
      <c r="O122" s="27" t="n">
        <v>-49.317</v>
      </c>
      <c r="P122" s="26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27" t="n">
        <v>-18.022</v>
      </c>
      <c r="AI122" s="25" t="n">
        <f aca="false">-20.161-AH122</f>
        <v>-2.139</v>
      </c>
      <c r="AJ122" s="25" t="n">
        <f aca="false">-39.754-AI122-AH122</f>
        <v>-19.593</v>
      </c>
      <c r="AK122" s="25" t="n">
        <f aca="false">N122-SUM(AH122:AJ122)</f>
        <v>-3.062</v>
      </c>
      <c r="AL122" s="27" t="n">
        <v>-20.293</v>
      </c>
      <c r="AM122" s="25" t="n">
        <f aca="false">-24.553-AL122</f>
        <v>-4.26</v>
      </c>
      <c r="AN122" s="25" t="n">
        <f aca="false">-45.276-AM122-AL122</f>
        <v>-20.723</v>
      </c>
      <c r="AO122" s="25" t="n">
        <f aca="false">O122-SUM(AL122:AN122)</f>
        <v>-4.04099999999999</v>
      </c>
      <c r="AP122" s="27" t="n">
        <v>-21.511</v>
      </c>
      <c r="AQ122" s="26"/>
      <c r="AR122" s="26"/>
      <c r="AS122" s="26"/>
      <c r="AT122" s="26"/>
      <c r="AU122" s="26"/>
      <c r="AV122" s="26"/>
      <c r="AW122" s="26"/>
    </row>
    <row r="123" customFormat="false" ht="14.25" hidden="false" customHeight="true" outlineLevel="0" collapsed="false">
      <c r="B123" s="1" t="s">
        <v>124</v>
      </c>
      <c r="G123" s="23" t="n">
        <f aca="true">OFFSET(R123,0,MATCH($G$2,$R$3:$AW$3,0)-1)*4</f>
        <v>-4.248</v>
      </c>
      <c r="H123" s="24" t="n">
        <f aca="true">SUM(OFFSET(R123,0,MATCH($G$2,$R$3:$AW$3,0)-4),OFFSET(R123,0,MATCH($G$2,$R$3:$AW$3,0)-3),OFFSET(R123,0,MATCH($G$2,$R$3:$AW$3,0)-2),OFFSET(R123,0,MATCH($G$2,$R$3:$AW$3,0)-1))</f>
        <v>65.419</v>
      </c>
      <c r="J123" s="25" t="n">
        <f aca="false">SUM(R123:U123)</f>
        <v>0</v>
      </c>
      <c r="K123" s="25" t="n">
        <f aca="false">SUM(V123:Y123)</f>
        <v>0</v>
      </c>
      <c r="L123" s="25" t="n">
        <f aca="false">SUM(Z123:AC123)</f>
        <v>0</v>
      </c>
      <c r="M123" s="27" t="n">
        <v>116.648</v>
      </c>
      <c r="N123" s="27" t="n">
        <v>-2.553</v>
      </c>
      <c r="O123" s="27" t="n">
        <v>65.787</v>
      </c>
      <c r="P123" s="26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25" t="n">
        <f aca="false">0.024</f>
        <v>0.024</v>
      </c>
      <c r="AI123" s="25" t="n">
        <f aca="false">-1.19-AH123</f>
        <v>-1.214</v>
      </c>
      <c r="AJ123" s="25" t="n">
        <f aca="false">2.097-AI123-AH123</f>
        <v>3.287</v>
      </c>
      <c r="AK123" s="25" t="n">
        <f aca="false">N123-SUM(AH123:AJ123)</f>
        <v>-4.65</v>
      </c>
      <c r="AL123" s="27" t="n">
        <v>-0.694</v>
      </c>
      <c r="AM123" s="25" t="n">
        <f aca="false">67.921-AL123</f>
        <v>68.615</v>
      </c>
      <c r="AN123" s="25" t="n">
        <f aca="false">67.118-AM123-AL123</f>
        <v>-0.803000000000014</v>
      </c>
      <c r="AO123" s="25" t="n">
        <f aca="false">O123-SUM(AL123:AN123)</f>
        <v>-1.33099999999999</v>
      </c>
      <c r="AP123" s="27" t="n">
        <v>-1.062</v>
      </c>
      <c r="AQ123" s="26"/>
      <c r="AR123" s="26"/>
      <c r="AS123" s="26"/>
      <c r="AT123" s="26"/>
      <c r="AU123" s="26"/>
      <c r="AV123" s="26"/>
      <c r="AW123" s="26"/>
    </row>
    <row r="124" customFormat="false" ht="14.25" hidden="false" customHeight="true" outlineLevel="0" collapsed="false">
      <c r="B124" s="1" t="s">
        <v>125</v>
      </c>
      <c r="G124" s="23" t="n">
        <f aca="true">OFFSET(R124,0,MATCH($G$2,$R$3:$AW$3,0)-1)*4</f>
        <v>25.632</v>
      </c>
      <c r="H124" s="24" t="n">
        <f aca="true">SUM(OFFSET(R124,0,MATCH($G$2,$R$3:$AW$3,0)-4),OFFSET(R124,0,MATCH($G$2,$R$3:$AW$3,0)-3),OFFSET(R124,0,MATCH($G$2,$R$3:$AW$3,0)-2),OFFSET(R124,0,MATCH($G$2,$R$3:$AW$3,0)-1))</f>
        <v>15.541</v>
      </c>
      <c r="J124" s="25" t="n">
        <f aca="false">SUM(R124:U124)</f>
        <v>0</v>
      </c>
      <c r="K124" s="25" t="n">
        <f aca="false">SUM(V124:Y124)</f>
        <v>0</v>
      </c>
      <c r="L124" s="25" t="n">
        <f aca="false">SUM(Z124:AC124)</f>
        <v>0</v>
      </c>
      <c r="M124" s="27" t="n">
        <v>15.713</v>
      </c>
      <c r="N124" s="27" t="n">
        <v>13.865</v>
      </c>
      <c r="O124" s="27" t="n">
        <v>14.941</v>
      </c>
      <c r="P124" s="26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27" t="n">
        <v>5.965</v>
      </c>
      <c r="AI124" s="25" t="n">
        <f aca="false">8.555-AH124</f>
        <v>2.59</v>
      </c>
      <c r="AJ124" s="25" t="n">
        <f aca="false">11.448-AI124-AH124</f>
        <v>2.893</v>
      </c>
      <c r="AK124" s="25" t="n">
        <f aca="false">N124-SUM(AH124:AJ124)</f>
        <v>2.417</v>
      </c>
      <c r="AL124" s="27" t="n">
        <v>5.808</v>
      </c>
      <c r="AM124" s="25" t="n">
        <f aca="false">8.912-AL124</f>
        <v>3.104</v>
      </c>
      <c r="AN124" s="25" t="n">
        <f aca="false">12.31-AM124-AL124</f>
        <v>3.398</v>
      </c>
      <c r="AO124" s="25" t="n">
        <f aca="false">O124-SUM(AL124:AN124)</f>
        <v>2.631</v>
      </c>
      <c r="AP124" s="27" t="n">
        <v>6.408</v>
      </c>
      <c r="AQ124" s="26"/>
      <c r="AR124" s="26"/>
      <c r="AS124" s="26"/>
      <c r="AT124" s="26"/>
      <c r="AU124" s="26"/>
      <c r="AV124" s="26"/>
      <c r="AW124" s="26"/>
    </row>
    <row r="125" customFormat="false" ht="14.25" hidden="false" customHeight="true" outlineLevel="0" collapsed="false">
      <c r="B125" s="1" t="s">
        <v>126</v>
      </c>
      <c r="G125" s="23" t="n">
        <f aca="true">OFFSET(R125,0,MATCH($G$2,$R$3:$AW$3,0)-1)*4</f>
        <v>33.38</v>
      </c>
      <c r="H125" s="24" t="n">
        <f aca="true">SUM(OFFSET(R125,0,MATCH($G$2,$R$3:$AW$3,0)-4),OFFSET(R125,0,MATCH($G$2,$R$3:$AW$3,0)-3),OFFSET(R125,0,MATCH($G$2,$R$3:$AW$3,0)-2),OFFSET(R125,0,MATCH($G$2,$R$3:$AW$3,0)-1))</f>
        <v>30.319</v>
      </c>
      <c r="J125" s="25" t="n">
        <f aca="false">SUM(R125:U125)</f>
        <v>0</v>
      </c>
      <c r="K125" s="25" t="n">
        <f aca="false">SUM(V125:Y125)</f>
        <v>0</v>
      </c>
      <c r="L125" s="25" t="n">
        <f aca="false">SUM(Z125:AC125)</f>
        <v>0</v>
      </c>
      <c r="M125" s="27" t="n">
        <v>33.213</v>
      </c>
      <c r="N125" s="27" t="n">
        <v>29.031</v>
      </c>
      <c r="O125" s="27" t="n">
        <v>28.966</v>
      </c>
      <c r="P125" s="26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27" t="n">
        <v>7.113</v>
      </c>
      <c r="AI125" s="25" t="n">
        <f aca="false">14.405-AH125</f>
        <v>7.292</v>
      </c>
      <c r="AJ125" s="25" t="n">
        <f aca="false">21.677-AI125-AH125</f>
        <v>7.272</v>
      </c>
      <c r="AK125" s="25" t="n">
        <f aca="false">N125-SUM(AH125:AJ125)</f>
        <v>7.354</v>
      </c>
      <c r="AL125" s="27" t="n">
        <v>6.992</v>
      </c>
      <c r="AM125" s="25" t="n">
        <f aca="false">14.043-AL125</f>
        <v>7.051</v>
      </c>
      <c r="AN125" s="25" t="n">
        <f aca="false">21.05-AM125-AL125</f>
        <v>7.007</v>
      </c>
      <c r="AO125" s="25" t="n">
        <f aca="false">O125-SUM(AL125:AN125)</f>
        <v>7.916</v>
      </c>
      <c r="AP125" s="27" t="n">
        <v>8.345</v>
      </c>
      <c r="AQ125" s="26"/>
      <c r="AR125" s="26"/>
      <c r="AS125" s="26"/>
      <c r="AT125" s="26"/>
      <c r="AU125" s="26"/>
      <c r="AV125" s="26"/>
      <c r="AW125" s="26"/>
    </row>
    <row r="126" customFormat="false" ht="14.25" hidden="false" customHeight="true" outlineLevel="0" collapsed="false">
      <c r="B126" s="1" t="s">
        <v>127</v>
      </c>
      <c r="G126" s="23" t="n">
        <f aca="true">OFFSET(R126,0,MATCH($G$2,$R$3:$AW$3,0)-1)*4</f>
        <v>-115.912</v>
      </c>
      <c r="H126" s="24" t="n">
        <f aca="true">SUM(OFFSET(R126,0,MATCH($G$2,$R$3:$AW$3,0)-4),OFFSET(R126,0,MATCH($G$2,$R$3:$AW$3,0)-3),OFFSET(R126,0,MATCH($G$2,$R$3:$AW$3,0)-2),OFFSET(R126,0,MATCH($G$2,$R$3:$AW$3,0)-1))</f>
        <v>7.77</v>
      </c>
      <c r="J126" s="25" t="n">
        <f aca="false">SUM(R126:U126)</f>
        <v>0</v>
      </c>
      <c r="K126" s="25" t="n">
        <f aca="false">SUM(V126:Y126)</f>
        <v>0</v>
      </c>
      <c r="L126" s="25" t="n">
        <f aca="false">SUM(Z126:AC126)</f>
        <v>0</v>
      </c>
      <c r="M126" s="25" t="n">
        <f aca="false">29.126-19.248-38.335+0.48+15.951+27.974-M123</f>
        <v>-100.7</v>
      </c>
      <c r="N126" s="25" t="n">
        <f aca="false">-31.55-127.095-27.801+1.975+75.996+5.1-N123</f>
        <v>-100.822</v>
      </c>
      <c r="O126" s="25" t="n">
        <f aca="false">-50.135+7.695-37.688+71.604-18.271+31.703-O123</f>
        <v>-60.879</v>
      </c>
      <c r="P126" s="26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25" t="n">
        <f aca="false">-50.782-AH123</f>
        <v>-50.806</v>
      </c>
      <c r="AI126" s="25" t="n">
        <f aca="false">-82.51-AH126-AI123</f>
        <v>-30.49</v>
      </c>
      <c r="AJ126" s="25" t="n">
        <f aca="false">-126.252-AI126-AH126-AJ123</f>
        <v>-48.243</v>
      </c>
      <c r="AK126" s="25" t="n">
        <f aca="false">N126-SUM(AH126:AJ126)</f>
        <v>28.717</v>
      </c>
      <c r="AL126" s="25" t="n">
        <f aca="false">-98.321-AL123</f>
        <v>-97.627</v>
      </c>
      <c r="AM126" s="25" t="n">
        <f aca="false">-22.878-AL126-AM123</f>
        <v>6.13399999999999</v>
      </c>
      <c r="AN126" s="25" t="n">
        <f aca="false">-64.767-AM126-AL126-AN123</f>
        <v>27.529</v>
      </c>
      <c r="AO126" s="25" t="n">
        <f aca="false">O126-SUM(AL126:AN126)</f>
        <v>3.08499999999998</v>
      </c>
      <c r="AP126" s="25" t="n">
        <f aca="false">-30.04-AP123</f>
        <v>-28.978</v>
      </c>
      <c r="AQ126" s="26"/>
      <c r="AR126" s="26"/>
      <c r="AS126" s="26"/>
      <c r="AT126" s="26"/>
      <c r="AU126" s="26"/>
      <c r="AV126" s="26"/>
      <c r="AW126" s="26"/>
    </row>
    <row r="127" customFormat="false" ht="14.25" hidden="false" customHeight="true" outlineLevel="0" collapsed="false">
      <c r="B127" s="1" t="s">
        <v>128</v>
      </c>
      <c r="G127" s="23" t="n">
        <f aca="true">OFFSET(R127,0,MATCH($G$2,$R$3:$AW$3,0)-1)*4</f>
        <v>6.428</v>
      </c>
      <c r="H127" s="24" t="n">
        <f aca="true">SUM(OFFSET(R127,0,MATCH($G$2,$R$3:$AW$3,0)-4),OFFSET(R127,0,MATCH($G$2,$R$3:$AW$3,0)-3),OFFSET(R127,0,MATCH($G$2,$R$3:$AW$3,0)-2),OFFSET(R127,0,MATCH($G$2,$R$3:$AW$3,0)-1))</f>
        <v>0.571</v>
      </c>
      <c r="J127" s="25" t="n">
        <f aca="false">SUM(R127:U127)</f>
        <v>0</v>
      </c>
      <c r="K127" s="25" t="n">
        <f aca="false">SUM(V127:Y127)</f>
        <v>0</v>
      </c>
      <c r="L127" s="25" t="n">
        <f aca="false">SUM(Z127:AC127)</f>
        <v>0</v>
      </c>
      <c r="M127" s="27" t="n">
        <v>-0.64</v>
      </c>
      <c r="N127" s="27" t="n">
        <v>-0.283</v>
      </c>
      <c r="O127" s="25" t="n">
        <f aca="false">-3.338</f>
        <v>-3.338</v>
      </c>
      <c r="P127" s="26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27" t="n">
        <v>-3.48</v>
      </c>
      <c r="AI127" s="25" t="n">
        <f aca="false">-6.412-AH127</f>
        <v>-2.932</v>
      </c>
      <c r="AJ127" s="25" t="n">
        <f aca="false">-7.608-AI127-AH127</f>
        <v>-1.196</v>
      </c>
      <c r="AK127" s="25" t="n">
        <f aca="false">N127-SUM(AH127:AJ127)</f>
        <v>7.325</v>
      </c>
      <c r="AL127" s="27" t="n">
        <v>-2.302</v>
      </c>
      <c r="AM127" s="25" t="n">
        <f aca="false">-3.111-AL127</f>
        <v>-0.809</v>
      </c>
      <c r="AN127" s="25" t="n">
        <f aca="false">-8.001-AM127-AL127</f>
        <v>-4.89</v>
      </c>
      <c r="AO127" s="25" t="n">
        <f aca="false">O127-SUM(AL127:AN127)</f>
        <v>4.663</v>
      </c>
      <c r="AP127" s="27" t="n">
        <v>1.607</v>
      </c>
      <c r="AQ127" s="26"/>
      <c r="AR127" s="26"/>
      <c r="AS127" s="26"/>
      <c r="AT127" s="26"/>
      <c r="AU127" s="26"/>
      <c r="AV127" s="26"/>
      <c r="AW127" s="26"/>
    </row>
    <row r="128" customFormat="false" ht="14.25" hidden="false" customHeight="true" outlineLevel="0" collapsed="false">
      <c r="B128" s="29" t="s">
        <v>129</v>
      </c>
      <c r="C128" s="29"/>
      <c r="D128" s="29"/>
      <c r="E128" s="29"/>
      <c r="F128" s="29"/>
      <c r="G128" s="30" t="n">
        <f aca="true">OFFSET(R128,0,MATCH($G$2,$R$3:$AW$3,0)-1)*4</f>
        <v>-15.5239999999996</v>
      </c>
      <c r="H128" s="31" t="n">
        <f aca="true">SUM(OFFSET(R128,0,MATCH($G$2,$R$3:$AW$3,0)-4),OFFSET(R128,0,MATCH($G$2,$R$3:$AW$3,0)-3),OFFSET(R128,0,MATCH($G$2,$R$3:$AW$3,0)-2),OFFSET(R128,0,MATCH($G$2,$R$3:$AW$3,0)-1))</f>
        <v>-19.917</v>
      </c>
      <c r="I128" s="29"/>
      <c r="J128" s="32" t="n">
        <f aca="false">J129-SUM(J120:J127)</f>
        <v>-84.0580000000001</v>
      </c>
      <c r="K128" s="32" t="n">
        <f aca="false">K129-SUM(K120:K127)</f>
        <v>74.7600000000001</v>
      </c>
      <c r="L128" s="32" t="n">
        <f aca="false">L129-SUM(L120:L127)</f>
        <v>125.196</v>
      </c>
      <c r="M128" s="32" t="n">
        <f aca="false">M129-SUM(M120:M127)</f>
        <v>-2.31799999999987</v>
      </c>
      <c r="N128" s="32" t="n">
        <f aca="false">N129-SUM(N120:N127)</f>
        <v>-6.33000000000016</v>
      </c>
      <c r="O128" s="32" t="n">
        <f aca="false">O129-SUM(O120:O127)</f>
        <v>-8.21199999999988</v>
      </c>
      <c r="P128" s="33"/>
      <c r="Q128" s="29"/>
      <c r="R128" s="32" t="n">
        <f aca="false">R129-SUM(R120:R127)</f>
        <v>-85.8970000000001</v>
      </c>
      <c r="S128" s="32" t="n">
        <f aca="false">S129-SUM(S120:S127)</f>
        <v>22.577</v>
      </c>
      <c r="T128" s="32" t="n">
        <f aca="false">T129-SUM(T120:T127)</f>
        <v>-8.77400000000004</v>
      </c>
      <c r="U128" s="32" t="n">
        <f aca="false">U129-SUM(U120:U127)</f>
        <v>-52.7359999999999</v>
      </c>
      <c r="V128" s="32" t="n">
        <f aca="false">V129-SUM(V120:V127)</f>
        <v>-86.075</v>
      </c>
      <c r="W128" s="32" t="n">
        <f aca="false">W129-SUM(W120:W127)</f>
        <v>19.4690000000001</v>
      </c>
      <c r="X128" s="32" t="n">
        <f aca="false">X129-SUM(X120:X127)</f>
        <v>65.808</v>
      </c>
      <c r="Y128" s="32" t="n">
        <f aca="false">Y129-SUM(Y120:Y127)</f>
        <v>19.792</v>
      </c>
      <c r="Z128" s="32" t="n">
        <f aca="false">Z129-SUM(Z120:Z127)</f>
        <v>-38.091</v>
      </c>
      <c r="AA128" s="32" t="n">
        <f aca="false">AA129-SUM(AA120:AA127)</f>
        <v>79.404</v>
      </c>
      <c r="AB128" s="32" t="n">
        <f aca="false">AB129-SUM(AB120:AB127)</f>
        <v>31.444</v>
      </c>
      <c r="AC128" s="32" t="n">
        <f aca="false">AC129-SUM(AC120:AC127)</f>
        <v>3.71800000000003</v>
      </c>
      <c r="AD128" s="32" t="n">
        <f aca="false">AD129-SUM(AD120:AD127)</f>
        <v>42.846</v>
      </c>
      <c r="AE128" s="32" t="n">
        <f aca="false">AE129-SUM(AE120:AE127)</f>
        <v>15.696</v>
      </c>
      <c r="AF128" s="32" t="n">
        <f aca="false">AF129-SUM(AF120:AF127)</f>
        <v>4.29299999999992</v>
      </c>
      <c r="AG128" s="32" t="n">
        <f aca="false">AG129-SUM(AG120:AG127)</f>
        <v>-41.797</v>
      </c>
      <c r="AH128" s="32" t="n">
        <f aca="false">AH129-SUM(AH120:AH127)</f>
        <v>12.3109999999999</v>
      </c>
      <c r="AI128" s="32" t="n">
        <f aca="false">AI129-SUM(AI120:AI127)</f>
        <v>-8.63999999999997</v>
      </c>
      <c r="AJ128" s="32" t="n">
        <f aca="false">AJ129-SUM(AJ120:AJ127)</f>
        <v>8.36699999999996</v>
      </c>
      <c r="AK128" s="32" t="n">
        <f aca="false">AK129-SUM(AK120:AK127)</f>
        <v>-18.368</v>
      </c>
      <c r="AL128" s="32" t="n">
        <f aca="false">AL129-SUM(AL120:AL127)</f>
        <v>7.82400000000007</v>
      </c>
      <c r="AM128" s="32" t="n">
        <f aca="false">AM129-SUM(AM120:AM127)</f>
        <v>-8.15500000000006</v>
      </c>
      <c r="AN128" s="32" t="n">
        <f aca="false">AN129-SUM(AN120:AN127)</f>
        <v>-62.2689999999999</v>
      </c>
      <c r="AO128" s="32" t="n">
        <f aca="false">AO129-SUM(AO120:AO127)</f>
        <v>54.3879999999999</v>
      </c>
      <c r="AP128" s="32" t="n">
        <f aca="false">AP129-SUM(AP120:AP127)</f>
        <v>-3.8809999999999</v>
      </c>
      <c r="AQ128" s="33"/>
      <c r="AR128" s="33"/>
      <c r="AS128" s="33"/>
      <c r="AT128" s="33"/>
      <c r="AU128" s="33"/>
      <c r="AV128" s="33"/>
      <c r="AW128" s="33"/>
    </row>
    <row r="129" customFormat="false" ht="14.25" hidden="false" customHeight="true" outlineLevel="0" collapsed="false">
      <c r="B129" s="36" t="s">
        <v>130</v>
      </c>
      <c r="G129" s="37" t="n">
        <f aca="false">SUM(G120:G128)</f>
        <v>493.152</v>
      </c>
      <c r="H129" s="37" t="n">
        <f aca="false">SUM(H120:H128)</f>
        <v>647.036</v>
      </c>
      <c r="J129" s="39" t="n">
        <f aca="false">SUM(R129:U129)</f>
        <v>346.999</v>
      </c>
      <c r="K129" s="39" t="n">
        <f aca="false">SUM(V129:Y129)</f>
        <v>511.813</v>
      </c>
      <c r="L129" s="39" t="n">
        <f aca="false">SUM(Z129:AC129)</f>
        <v>444.94</v>
      </c>
      <c r="M129" s="88" t="n">
        <v>321.576</v>
      </c>
      <c r="N129" s="88" t="n">
        <v>294.128</v>
      </c>
      <c r="O129" s="88" t="n">
        <v>540.228</v>
      </c>
      <c r="P129" s="26"/>
      <c r="R129" s="88" t="n">
        <v>18.734</v>
      </c>
      <c r="S129" s="88" t="n">
        <v>135.021</v>
      </c>
      <c r="T129" s="88" t="n">
        <v>118.549</v>
      </c>
      <c r="U129" s="88" t="n">
        <v>74.695</v>
      </c>
      <c r="V129" s="88" t="n">
        <v>38.529</v>
      </c>
      <c r="W129" s="88" t="n">
        <v>149.668</v>
      </c>
      <c r="X129" s="88" t="n">
        <v>199.402</v>
      </c>
      <c r="Y129" s="88" t="n">
        <v>124.214</v>
      </c>
      <c r="Z129" s="88" t="n">
        <v>71.5040000000001</v>
      </c>
      <c r="AA129" s="88" t="n">
        <v>170.637</v>
      </c>
      <c r="AB129" s="88" t="n">
        <v>117.622</v>
      </c>
      <c r="AC129" s="88" t="n">
        <v>85.177</v>
      </c>
      <c r="AD129" s="88" t="n">
        <v>102.558</v>
      </c>
      <c r="AE129" s="88" t="n">
        <v>95.26</v>
      </c>
      <c r="AF129" s="88" t="n">
        <v>82.544</v>
      </c>
      <c r="AG129" s="88" t="n">
        <v>41.214</v>
      </c>
      <c r="AH129" s="88" t="n">
        <v>32.222</v>
      </c>
      <c r="AI129" s="39" t="n">
        <f aca="false">95.644-AH129</f>
        <v>63.422</v>
      </c>
      <c r="AJ129" s="39" t="n">
        <f aca="false">161.185-AI129-AH129</f>
        <v>65.541</v>
      </c>
      <c r="AK129" s="39" t="n">
        <f aca="false">N129-SUM(AH129:AJ129)</f>
        <v>132.943</v>
      </c>
      <c r="AL129" s="88" t="n">
        <v>16.48</v>
      </c>
      <c r="AM129" s="39" t="n">
        <f aca="false">227.949-AL129</f>
        <v>211.469</v>
      </c>
      <c r="AN129" s="39" t="n">
        <f aca="false">324.227-AM129-AL129</f>
        <v>96.278</v>
      </c>
      <c r="AO129" s="39" t="n">
        <f aca="false">O129-SUM(AL129:AN129)</f>
        <v>216.001</v>
      </c>
      <c r="AP129" s="88" t="n">
        <v>123.288</v>
      </c>
      <c r="AQ129" s="26"/>
      <c r="AR129" s="26"/>
      <c r="AS129" s="26"/>
      <c r="AT129" s="26"/>
      <c r="AU129" s="26"/>
      <c r="AV129" s="26"/>
      <c r="AW129" s="26"/>
    </row>
    <row r="130" customFormat="false" ht="14.25" hidden="false" customHeight="true" outlineLevel="0" collapsed="false">
      <c r="G130" s="44"/>
      <c r="H130" s="21"/>
      <c r="P130" s="26"/>
      <c r="AQ130" s="26"/>
      <c r="AR130" s="26"/>
      <c r="AS130" s="26"/>
      <c r="AT130" s="26"/>
      <c r="AU130" s="26"/>
      <c r="AV130" s="26"/>
      <c r="AW130" s="26"/>
    </row>
    <row r="131" customFormat="false" ht="14.25" hidden="false" customHeight="true" outlineLevel="0" collapsed="false">
      <c r="B131" s="1" t="s">
        <v>131</v>
      </c>
      <c r="G131" s="23" t="n">
        <f aca="true">OFFSET(R131,0,MATCH($G$2,$R$3:$AW$3,0)-1)*4</f>
        <v>-324.188</v>
      </c>
      <c r="H131" s="24" t="n">
        <f aca="true">SUM(OFFSET(R131,0,MATCH($G$2,$R$3:$AW$3,0)-4),OFFSET(R131,0,MATCH($G$2,$R$3:$AW$3,0)-3),OFFSET(R131,0,MATCH($G$2,$R$3:$AW$3,0)-2),OFFSET(R131,0,MATCH($G$2,$R$3:$AW$3,0)-1))</f>
        <v>-409.511</v>
      </c>
      <c r="J131" s="25" t="n">
        <f aca="false">SUM(R131:U131)</f>
        <v>-301.861</v>
      </c>
      <c r="K131" s="25" t="n">
        <f aca="false">SUM(V131:Y131)</f>
        <v>-248.164</v>
      </c>
      <c r="L131" s="25" t="n">
        <f aca="false">SUM(Z131:AC131)</f>
        <v>-148.185</v>
      </c>
      <c r="M131" s="25" t="n">
        <f aca="false">SUM(AD131:AG131)</f>
        <v>-98.015</v>
      </c>
      <c r="N131" s="25" t="n">
        <f aca="false">SUM(AH131:AK131)</f>
        <v>-172.606</v>
      </c>
      <c r="O131" s="25" t="n">
        <f aca="false">SUM(AL131:AO131)</f>
        <v>-401.663</v>
      </c>
      <c r="P131" s="26"/>
      <c r="R131" s="27" t="n">
        <v>-40.961</v>
      </c>
      <c r="S131" s="27" t="n">
        <v>-111.95</v>
      </c>
      <c r="T131" s="27" t="n">
        <v>-78.841</v>
      </c>
      <c r="U131" s="27" t="n">
        <v>-70.109</v>
      </c>
      <c r="V131" s="27" t="n">
        <v>-60.932</v>
      </c>
      <c r="W131" s="27" t="n">
        <v>-66.336</v>
      </c>
      <c r="X131" s="27" t="n">
        <v>-56.8</v>
      </c>
      <c r="Y131" s="27" t="n">
        <v>-64.096</v>
      </c>
      <c r="Z131" s="27" t="n">
        <v>-49.225</v>
      </c>
      <c r="AA131" s="27" t="n">
        <v>-43.605</v>
      </c>
      <c r="AB131" s="27" t="n">
        <v>-36.541</v>
      </c>
      <c r="AC131" s="27" t="n">
        <v>-18.814</v>
      </c>
      <c r="AD131" s="27" t="n">
        <v>-14.052</v>
      </c>
      <c r="AE131" s="27" t="n">
        <v>-24.317</v>
      </c>
      <c r="AF131" s="27" t="n">
        <v>-33.599</v>
      </c>
      <c r="AG131" s="27" t="n">
        <v>-26.047</v>
      </c>
      <c r="AH131" s="27" t="n">
        <v>-35.075</v>
      </c>
      <c r="AI131" s="27" t="n">
        <v>-43.984</v>
      </c>
      <c r="AJ131" s="27" t="n">
        <v>-41.204</v>
      </c>
      <c r="AK131" s="27" t="n">
        <v>-52.343</v>
      </c>
      <c r="AL131" s="27" t="n">
        <v>-73.199</v>
      </c>
      <c r="AM131" s="27" t="n">
        <v>-98.046</v>
      </c>
      <c r="AN131" s="27" t="n">
        <v>-103.718</v>
      </c>
      <c r="AO131" s="27" t="n">
        <v>-126.7</v>
      </c>
      <c r="AP131" s="27" t="n">
        <v>-81.047</v>
      </c>
      <c r="AQ131" s="26"/>
      <c r="AR131" s="26"/>
      <c r="AS131" s="26"/>
      <c r="AT131" s="26"/>
      <c r="AU131" s="26"/>
      <c r="AV131" s="26"/>
      <c r="AW131" s="26"/>
      <c r="AX131" s="51"/>
      <c r="AY131" s="51"/>
      <c r="AZ131" s="49"/>
      <c r="BA131" s="49"/>
      <c r="BB131" s="49"/>
      <c r="BC131" s="49"/>
      <c r="BD131" s="51"/>
      <c r="BE131" s="51"/>
      <c r="BF131" s="51"/>
      <c r="BG131" s="51"/>
    </row>
    <row r="132" customFormat="false" ht="14.25" hidden="false" customHeight="true" outlineLevel="0" collapsed="false">
      <c r="B132" s="1" t="s">
        <v>132</v>
      </c>
      <c r="G132" s="23" t="n">
        <f aca="true">OFFSET(R132,0,MATCH($G$2,$R$3:$AW$3,0)-1)*4</f>
        <v>0</v>
      </c>
      <c r="H132" s="24" t="n">
        <f aca="true">SUM(OFFSET(R132,0,MATCH($G$2,$R$3:$AW$3,0)-4),OFFSET(R132,0,MATCH($G$2,$R$3:$AW$3,0)-3),OFFSET(R132,0,MATCH($G$2,$R$3:$AW$3,0)-2),OFFSET(R132,0,MATCH($G$2,$R$3:$AW$3,0)-1))</f>
        <v>-37.5</v>
      </c>
      <c r="J132" s="25" t="n">
        <f aca="false">SUM(R132:U132)</f>
        <v>-533.897</v>
      </c>
      <c r="K132" s="25" t="n">
        <f aca="false">SUM(V132:Y132)</f>
        <v>-262.491</v>
      </c>
      <c r="L132" s="25" t="n">
        <f aca="false">SUM(Z132:AC132)</f>
        <v>-354.972</v>
      </c>
      <c r="M132" s="25" t="n">
        <f aca="false">SUM(AD132:AG132)</f>
        <v>-9.115</v>
      </c>
      <c r="N132" s="25" t="n">
        <f aca="false">SUM(AH132:AK132)</f>
        <v>-3.9</v>
      </c>
      <c r="O132" s="25" t="n">
        <f aca="false">SUM(AL132:AO132)</f>
        <v>-37.5</v>
      </c>
      <c r="P132" s="26"/>
      <c r="R132" s="27" t="n">
        <v>-429.977</v>
      </c>
      <c r="S132" s="27" t="n">
        <v>-69.25</v>
      </c>
      <c r="T132" s="27" t="n">
        <v>-0.0680000000000405</v>
      </c>
      <c r="U132" s="27" t="n">
        <v>-34.602</v>
      </c>
      <c r="V132" s="27" t="n">
        <v>-247.47</v>
      </c>
      <c r="W132" s="27" t="n">
        <v>-5.37000000000001</v>
      </c>
      <c r="X132" s="27" t="n">
        <v>-4.70000000000002</v>
      </c>
      <c r="Y132" s="27" t="n">
        <v>-4.95099999999997</v>
      </c>
      <c r="Z132" s="27" t="n">
        <v>-60.422</v>
      </c>
      <c r="AA132" s="27" t="n">
        <v>-281.825</v>
      </c>
      <c r="AB132" s="27" t="n">
        <v>-6.52499999999995</v>
      </c>
      <c r="AC132" s="27" t="n">
        <v>-6.19999999999993</v>
      </c>
      <c r="AD132" s="27" t="n">
        <v>0</v>
      </c>
      <c r="AE132" s="27" t="n">
        <v>-7.47</v>
      </c>
      <c r="AF132" s="27" t="n">
        <v>0</v>
      </c>
      <c r="AG132" s="27" t="n">
        <v>-1.645</v>
      </c>
      <c r="AH132" s="27" t="n">
        <v>-3.9</v>
      </c>
      <c r="AI132" s="27" t="n">
        <v>0</v>
      </c>
      <c r="AJ132" s="27" t="n">
        <v>0</v>
      </c>
      <c r="AK132" s="27" t="n">
        <v>0</v>
      </c>
      <c r="AL132" s="27" t="n">
        <v>0</v>
      </c>
      <c r="AM132" s="27" t="n">
        <v>0</v>
      </c>
      <c r="AN132" s="27" t="n">
        <v>-37.5</v>
      </c>
      <c r="AO132" s="27" t="n">
        <v>0</v>
      </c>
      <c r="AP132" s="27" t="n">
        <v>0</v>
      </c>
      <c r="AQ132" s="26"/>
      <c r="AR132" s="26"/>
      <c r="AS132" s="26"/>
      <c r="AT132" s="26"/>
      <c r="AU132" s="26"/>
      <c r="AV132" s="26"/>
      <c r="AW132" s="26"/>
      <c r="AX132" s="51"/>
      <c r="AY132" s="51"/>
      <c r="AZ132" s="49"/>
      <c r="BA132" s="49"/>
      <c r="BB132" s="49"/>
      <c r="BC132" s="49"/>
      <c r="BD132" s="51"/>
      <c r="BE132" s="51"/>
      <c r="BF132" s="51"/>
      <c r="BG132" s="51"/>
    </row>
    <row r="133" customFormat="false" ht="14.25" hidden="false" customHeight="true" outlineLevel="0" collapsed="false">
      <c r="B133" s="29" t="s">
        <v>133</v>
      </c>
      <c r="C133" s="29"/>
      <c r="D133" s="29"/>
      <c r="E133" s="29"/>
      <c r="F133" s="29"/>
      <c r="G133" s="30" t="n">
        <f aca="true">OFFSET(R133,0,MATCH($G$2,$R$3:$AW$3,0)-1)*4</f>
        <v>9.648</v>
      </c>
      <c r="H133" s="31" t="n">
        <f aca="true">SUM(OFFSET(R133,0,MATCH($G$2,$R$3:$AW$3,0)-4),OFFSET(R133,0,MATCH($G$2,$R$3:$AW$3,0)-3),OFFSET(R133,0,MATCH($G$2,$R$3:$AW$3,0)-2),OFFSET(R133,0,MATCH($G$2,$R$3:$AW$3,0)-1))</f>
        <v>20.462</v>
      </c>
      <c r="I133" s="29"/>
      <c r="J133" s="32" t="n">
        <f aca="false">SUM(R133:U133)</f>
        <v>53.392</v>
      </c>
      <c r="K133" s="32" t="n">
        <f aca="false">SUM(V133:Y133)</f>
        <v>57.657</v>
      </c>
      <c r="L133" s="32" t="n">
        <f aca="false">SUM(Z133:AC133)</f>
        <v>17.31</v>
      </c>
      <c r="M133" s="32" t="n">
        <f aca="false">SUM(AD133:AG133)</f>
        <v>51.342</v>
      </c>
      <c r="N133" s="32" t="n">
        <f aca="false">SUM(AH133:AK133)</f>
        <v>36.905</v>
      </c>
      <c r="O133" s="32" t="n">
        <f aca="false">SUM(AL133:AO133)</f>
        <v>26.081</v>
      </c>
      <c r="P133" s="33"/>
      <c r="Q133" s="29"/>
      <c r="R133" s="34" t="n">
        <v>12.181</v>
      </c>
      <c r="S133" s="34" t="n">
        <v>13.027</v>
      </c>
      <c r="T133" s="34" t="n">
        <v>2.598</v>
      </c>
      <c r="U133" s="34" t="n">
        <v>25.586</v>
      </c>
      <c r="V133" s="34" t="n">
        <v>13.187</v>
      </c>
      <c r="W133" s="34" t="n">
        <v>10.177</v>
      </c>
      <c r="X133" s="34" t="n">
        <v>11.126</v>
      </c>
      <c r="Y133" s="34" t="n">
        <v>23.167</v>
      </c>
      <c r="Z133" s="34" t="n">
        <v>3.993</v>
      </c>
      <c r="AA133" s="34" t="n">
        <v>0.925</v>
      </c>
      <c r="AB133" s="34" t="n">
        <v>1.62</v>
      </c>
      <c r="AC133" s="34" t="n">
        <v>10.772</v>
      </c>
      <c r="AD133" s="34" t="n">
        <v>4.754</v>
      </c>
      <c r="AE133" s="34" t="n">
        <v>11.977</v>
      </c>
      <c r="AF133" s="34" t="n">
        <v>22.432</v>
      </c>
      <c r="AG133" s="34" t="n">
        <v>12.179</v>
      </c>
      <c r="AH133" s="34" t="n">
        <v>14.28</v>
      </c>
      <c r="AI133" s="34" t="n">
        <v>9.031</v>
      </c>
      <c r="AJ133" s="34" t="n">
        <v>9.59300000000001</v>
      </c>
      <c r="AK133" s="34" t="n">
        <v>4.001</v>
      </c>
      <c r="AL133" s="34" t="n">
        <v>8.031</v>
      </c>
      <c r="AM133" s="34" t="n">
        <v>12.498</v>
      </c>
      <c r="AN133" s="34" t="n">
        <v>1.317</v>
      </c>
      <c r="AO133" s="34" t="n">
        <v>4.235</v>
      </c>
      <c r="AP133" s="34" t="n">
        <v>2.412</v>
      </c>
      <c r="AQ133" s="33"/>
      <c r="AR133" s="33"/>
      <c r="AS133" s="33"/>
      <c r="AT133" s="33"/>
      <c r="AU133" s="33"/>
      <c r="AV133" s="33"/>
      <c r="AW133" s="33"/>
      <c r="AX133" s="51"/>
      <c r="AY133" s="51"/>
      <c r="AZ133" s="49"/>
      <c r="BA133" s="49"/>
      <c r="BB133" s="49"/>
      <c r="BC133" s="49"/>
      <c r="BD133" s="51"/>
      <c r="BE133" s="51"/>
      <c r="BF133" s="51"/>
      <c r="BG133" s="51"/>
    </row>
    <row r="134" customFormat="false" ht="14.25" hidden="false" customHeight="true" outlineLevel="0" collapsed="false">
      <c r="B134" s="36" t="s">
        <v>134</v>
      </c>
      <c r="G134" s="37" t="n">
        <f aca="false">SUM(G131:G133)</f>
        <v>-314.54</v>
      </c>
      <c r="H134" s="38" t="n">
        <f aca="false">SUM(H131:H133)</f>
        <v>-426.549</v>
      </c>
      <c r="J134" s="39" t="n">
        <f aca="false">SUM(J131:J133)</f>
        <v>-782.366</v>
      </c>
      <c r="K134" s="39" t="n">
        <f aca="false">SUM(K131:K133)</f>
        <v>-452.998</v>
      </c>
      <c r="L134" s="39" t="n">
        <f aca="false">SUM(L131:L133)</f>
        <v>-485.847</v>
      </c>
      <c r="M134" s="39" t="n">
        <f aca="false">SUM(M131:M133)</f>
        <v>-55.788</v>
      </c>
      <c r="N134" s="39" t="n">
        <f aca="false">SUM(N131:N133)</f>
        <v>-139.601</v>
      </c>
      <c r="O134" s="39" t="n">
        <f aca="false">SUM(O131:O133)</f>
        <v>-413.082</v>
      </c>
      <c r="P134" s="26"/>
      <c r="R134" s="39" t="n">
        <f aca="false">SUM(R131:R133)</f>
        <v>-458.757</v>
      </c>
      <c r="S134" s="39" t="n">
        <f aca="false">SUM(S131:S133)</f>
        <v>-168.173</v>
      </c>
      <c r="T134" s="39" t="n">
        <f aca="false">SUM(T131:T133)</f>
        <v>-76.311</v>
      </c>
      <c r="U134" s="39" t="n">
        <f aca="false">SUM(U131:U133)</f>
        <v>-79.125</v>
      </c>
      <c r="V134" s="39" t="n">
        <f aca="false">SUM(V131:V133)</f>
        <v>-295.215</v>
      </c>
      <c r="W134" s="39" t="n">
        <f aca="false">SUM(W131:W133)</f>
        <v>-61.529</v>
      </c>
      <c r="X134" s="39" t="n">
        <f aca="false">SUM(X131:X133)</f>
        <v>-50.374</v>
      </c>
      <c r="Y134" s="39" t="n">
        <f aca="false">SUM(Y131:Y133)</f>
        <v>-45.88</v>
      </c>
      <c r="Z134" s="39" t="n">
        <f aca="false">SUM(Z131:Z133)</f>
        <v>-105.654</v>
      </c>
      <c r="AA134" s="39" t="n">
        <f aca="false">SUM(AA131:AA133)</f>
        <v>-324.505</v>
      </c>
      <c r="AB134" s="39" t="n">
        <f aca="false">SUM(AB131:AB133)</f>
        <v>-41.446</v>
      </c>
      <c r="AC134" s="39" t="n">
        <f aca="false">SUM(AC131:AC133)</f>
        <v>-14.2419999999999</v>
      </c>
      <c r="AD134" s="39" t="n">
        <f aca="false">SUM(AD131:AD133)</f>
        <v>-9.298</v>
      </c>
      <c r="AE134" s="39" t="n">
        <f aca="false">SUM(AE131:AE133)</f>
        <v>-19.81</v>
      </c>
      <c r="AF134" s="39" t="n">
        <f aca="false">SUM(AF131:AF133)</f>
        <v>-11.167</v>
      </c>
      <c r="AG134" s="39" t="n">
        <f aca="false">SUM(AG131:AG133)</f>
        <v>-15.513</v>
      </c>
      <c r="AH134" s="39" t="n">
        <f aca="false">SUM(AH131:AH133)</f>
        <v>-24.695</v>
      </c>
      <c r="AI134" s="39" t="n">
        <f aca="false">SUM(AI131:AI133)</f>
        <v>-34.953</v>
      </c>
      <c r="AJ134" s="39" t="n">
        <f aca="false">SUM(AJ131:AJ133)</f>
        <v>-31.611</v>
      </c>
      <c r="AK134" s="39" t="n">
        <f aca="false">SUM(AK131:AK133)</f>
        <v>-48.342</v>
      </c>
      <c r="AL134" s="39" t="n">
        <f aca="false">SUM(AL131:AL133)</f>
        <v>-65.168</v>
      </c>
      <c r="AM134" s="39" t="n">
        <f aca="false">SUM(AM131:AM133)</f>
        <v>-85.548</v>
      </c>
      <c r="AN134" s="39" t="n">
        <f aca="false">SUM(AN131:AN133)</f>
        <v>-139.901</v>
      </c>
      <c r="AO134" s="39" t="n">
        <f aca="false">SUM(AO131:AO133)</f>
        <v>-122.465</v>
      </c>
      <c r="AP134" s="39" t="n">
        <f aca="false">SUM(AP131:AP133)</f>
        <v>-78.635</v>
      </c>
      <c r="AQ134" s="26"/>
      <c r="AR134" s="26"/>
      <c r="AS134" s="26"/>
      <c r="AT134" s="26"/>
      <c r="AU134" s="26"/>
      <c r="AV134" s="26"/>
      <c r="AW134" s="26"/>
      <c r="BC134" s="49"/>
    </row>
    <row r="135" customFormat="false" ht="14.25" hidden="false" customHeight="true" outlineLevel="0" collapsed="false">
      <c r="G135" s="44"/>
      <c r="H135" s="21"/>
      <c r="P135" s="26"/>
      <c r="S135" s="89"/>
      <c r="AE135" s="90"/>
      <c r="AQ135" s="26"/>
      <c r="AR135" s="26"/>
      <c r="AS135" s="26"/>
      <c r="AT135" s="26"/>
      <c r="AU135" s="26"/>
      <c r="AV135" s="26"/>
      <c r="AW135" s="26"/>
    </row>
    <row r="136" customFormat="false" ht="14.25" hidden="false" customHeight="true" outlineLevel="0" collapsed="false">
      <c r="B136" s="1" t="s">
        <v>135</v>
      </c>
      <c r="G136" s="23" t="n">
        <f aca="true">OFFSET(R136,0,MATCH($G$2,$R$3:$AW$3,0)-1)*4</f>
        <v>174.3</v>
      </c>
      <c r="H136" s="24" t="n">
        <f aca="true">SUM(OFFSET(R136,0,MATCH($G$2,$R$3:$AW$3,0)-4),OFFSET(R136,0,MATCH($G$2,$R$3:$AW$3,0)-3),OFFSET(R136,0,MATCH($G$2,$R$3:$AW$3,0)-2),OFFSET(R136,0,MATCH($G$2,$R$3:$AW$3,0)-1))</f>
        <v>-20.34</v>
      </c>
      <c r="J136" s="25" t="n">
        <f aca="false">499.295-78.455-4.276</f>
        <v>416.564</v>
      </c>
      <c r="K136" s="25" t="n">
        <f aca="false">-125-417.376+500</f>
        <v>-42.376</v>
      </c>
      <c r="L136" s="25" t="n">
        <f aca="false">-150+250.024</f>
        <v>100.024</v>
      </c>
      <c r="M136" s="25" t="n">
        <f aca="false">-60-248.105</f>
        <v>-308.105</v>
      </c>
      <c r="N136" s="25" t="n">
        <f aca="false">310-395</f>
        <v>-85</v>
      </c>
      <c r="O136" s="25" t="n">
        <f aca="false">48.776+240-350</f>
        <v>-61.224</v>
      </c>
      <c r="P136" s="26"/>
      <c r="R136" s="27" t="n">
        <v>434.881</v>
      </c>
      <c r="S136" s="25" t="n">
        <f aca="false">-4.263+499.295-R136-45.485</f>
        <v>14.6660000000001</v>
      </c>
      <c r="T136" s="25" t="n">
        <f aca="false">499.295-S136-R136-88.392-4.276</f>
        <v>-42.92</v>
      </c>
      <c r="U136" s="25" t="n">
        <f aca="false">J136-SUM(R136:T136)</f>
        <v>9.93699999999996</v>
      </c>
      <c r="V136" s="25" t="n">
        <f aca="false">500-240.801</f>
        <v>259.199</v>
      </c>
      <c r="W136" s="25" t="n">
        <f aca="false">500-V136-313.805</f>
        <v>-73.004</v>
      </c>
      <c r="X136" s="25" t="n">
        <f aca="false">500-60-W136-V136-417.377</f>
        <v>-163.572</v>
      </c>
      <c r="Y136" s="25" t="n">
        <f aca="false">K136-SUM(V136:X136)</f>
        <v>-64.999</v>
      </c>
      <c r="Z136" s="25" t="n">
        <f aca="false">485.001-150</f>
        <v>335.001</v>
      </c>
      <c r="AA136" s="25" t="n">
        <f aca="false">-150-Z136+424.991</f>
        <v>-60.01</v>
      </c>
      <c r="AB136" s="25" t="n">
        <f aca="false">-150-AA136-Z136+360.139</f>
        <v>-64.852</v>
      </c>
      <c r="AC136" s="25" t="n">
        <f aca="false">L136-SUM(Z136:AB136)</f>
        <v>-110.115</v>
      </c>
      <c r="AD136" s="27" t="n">
        <v>-119.606</v>
      </c>
      <c r="AE136" s="25" t="n">
        <f aca="false">-193.623-AD136</f>
        <v>-74.017</v>
      </c>
      <c r="AF136" s="25" t="n">
        <f aca="false">-15-SUM(AD136:AE136)-248.057</f>
        <v>-69.434</v>
      </c>
      <c r="AG136" s="25" t="n">
        <f aca="false">M136-SUM(AD136:AF136)</f>
        <v>-45.048</v>
      </c>
      <c r="AH136" s="25" t="n">
        <f aca="false">1.163-10</f>
        <v>-8.837</v>
      </c>
      <c r="AI136" s="25" t="n">
        <f aca="false">-30-AH136+2.272</f>
        <v>-18.891</v>
      </c>
      <c r="AJ136" s="25" t="n">
        <f aca="false">250-315-AI136-AH136+21.664</f>
        <v>-15.608</v>
      </c>
      <c r="AK136" s="25" t="n">
        <f aca="false">N136-SUM(AH136:AJ136)</f>
        <v>-41.664</v>
      </c>
      <c r="AL136" s="25" t="n">
        <f aca="false">112.691+240-350</f>
        <v>2.69100000000003</v>
      </c>
      <c r="AM136" s="25" t="n">
        <f aca="false">31.155+240-350-AL136</f>
        <v>-81.5360000000001</v>
      </c>
      <c r="AN136" s="25" t="n">
        <f aca="false">240-350+100.316-AM136-AL136</f>
        <v>69.161</v>
      </c>
      <c r="AO136" s="25" t="n">
        <f aca="false">O136-SUM(AL136:AN136)</f>
        <v>-51.54</v>
      </c>
      <c r="AP136" s="27" t="n">
        <v>43.575</v>
      </c>
      <c r="AQ136" s="26"/>
      <c r="AR136" s="26"/>
      <c r="AS136" s="26"/>
      <c r="AT136" s="26"/>
      <c r="AU136" s="26"/>
      <c r="AV136" s="26"/>
      <c r="AW136" s="26"/>
    </row>
    <row r="137" customFormat="false" ht="14.25" hidden="false" customHeight="true" outlineLevel="0" collapsed="false">
      <c r="B137" s="1" t="s">
        <v>128</v>
      </c>
      <c r="G137" s="23" t="n">
        <f aca="true">OFFSET(R137,0,MATCH($G$2,$R$3:$AW$3,0)-1)*4</f>
        <v>-0.096</v>
      </c>
      <c r="H137" s="24" t="n">
        <f aca="true">SUM(OFFSET(R137,0,MATCH($G$2,$R$3:$AW$3,0)-4),OFFSET(R137,0,MATCH($G$2,$R$3:$AW$3,0)-3),OFFSET(R137,0,MATCH($G$2,$R$3:$AW$3,0)-2),OFFSET(R137,0,MATCH($G$2,$R$3:$AW$3,0)-1))</f>
        <v>-0.099</v>
      </c>
      <c r="J137" s="27" t="n">
        <v>-0.915</v>
      </c>
      <c r="K137" s="27" t="n">
        <v>-0.817</v>
      </c>
      <c r="L137" s="27" t="n">
        <v>-0.676</v>
      </c>
      <c r="M137" s="27" t="n">
        <v>-0.981</v>
      </c>
      <c r="N137" s="25" t="n">
        <f aca="false">-0.722</f>
        <v>-0.722</v>
      </c>
      <c r="O137" s="25" t="n">
        <f aca="false">-0.099</f>
        <v>-0.099</v>
      </c>
      <c r="P137" s="26"/>
      <c r="R137" s="27" t="n">
        <v>0</v>
      </c>
      <c r="S137" s="27" t="n">
        <v>0</v>
      </c>
      <c r="T137" s="25" t="n">
        <f aca="false">0-S137-R137</f>
        <v>0</v>
      </c>
      <c r="U137" s="25" t="n">
        <f aca="false">J137-SUM(R137:T137)</f>
        <v>-0.915</v>
      </c>
      <c r="V137" s="27" t="n">
        <v>0</v>
      </c>
      <c r="W137" s="27" t="n">
        <v>0</v>
      </c>
      <c r="X137" s="27" t="n">
        <v>0</v>
      </c>
      <c r="Y137" s="25" t="n">
        <f aca="false">K137-SUM(V137:X137)</f>
        <v>-0.817</v>
      </c>
      <c r="Z137" s="27" t="n">
        <v>-0.202</v>
      </c>
      <c r="AA137" s="25" t="n">
        <f aca="false">-0.404-Z137</f>
        <v>-0.202</v>
      </c>
      <c r="AB137" s="25" t="n">
        <f aca="false">-0.608-AA137-Z137</f>
        <v>-0.204</v>
      </c>
      <c r="AC137" s="25" t="n">
        <f aca="false">L137-SUM(Z137:AB137)</f>
        <v>-0.0680000000000001</v>
      </c>
      <c r="AD137" s="27" t="n">
        <v>-0.025</v>
      </c>
      <c r="AE137" s="25" t="n">
        <f aca="false">-0.025-AD137</f>
        <v>0</v>
      </c>
      <c r="AF137" s="25" t="n">
        <f aca="false">-0.764-SUM(AD137:AE137)</f>
        <v>-0.739</v>
      </c>
      <c r="AG137" s="25" t="n">
        <f aca="false">M137-SUM(AD137:AF137)</f>
        <v>-0.217</v>
      </c>
      <c r="AH137" s="25" t="n">
        <f aca="false">-0.348</f>
        <v>-0.348</v>
      </c>
      <c r="AI137" s="25" t="n">
        <f aca="false">-0.585-AH137</f>
        <v>-0.237</v>
      </c>
      <c r="AJ137" s="25" t="n">
        <f aca="false">-0.665-AI137-AH137</f>
        <v>-0.0800000000000001</v>
      </c>
      <c r="AK137" s="25" t="n">
        <f aca="false">N137-SUM(AH137:AJ137)</f>
        <v>-0.0569999999999999</v>
      </c>
      <c r="AL137" s="27" t="n">
        <v>-0.024</v>
      </c>
      <c r="AM137" s="25" t="n">
        <f aca="false">-0.049-AL137</f>
        <v>-0.025</v>
      </c>
      <c r="AN137" s="25" t="n">
        <f aca="false">-0.073-AM137-AL137</f>
        <v>-0.024</v>
      </c>
      <c r="AO137" s="25" t="n">
        <f aca="false">O137-SUM(AL137:AN137)</f>
        <v>-0.026</v>
      </c>
      <c r="AP137" s="27" t="n">
        <v>-0.024</v>
      </c>
      <c r="AQ137" s="26"/>
      <c r="AR137" s="26"/>
      <c r="AS137" s="26"/>
      <c r="AT137" s="26"/>
      <c r="AU137" s="26"/>
      <c r="AV137" s="26"/>
      <c r="AW137" s="26"/>
    </row>
    <row r="138" customFormat="false" ht="14.25" hidden="false" customHeight="true" outlineLevel="0" collapsed="false">
      <c r="B138" s="1" t="s">
        <v>136</v>
      </c>
      <c r="G138" s="23" t="n">
        <f aca="true">OFFSET(R138,0,MATCH($G$2,$R$3:$AW$3,0)-1)*4</f>
        <v>6.036</v>
      </c>
      <c r="H138" s="24" t="n">
        <f aca="true">SUM(OFFSET(R138,0,MATCH($G$2,$R$3:$AW$3,0)-4),OFFSET(R138,0,MATCH($G$2,$R$3:$AW$3,0)-3),OFFSET(R138,0,MATCH($G$2,$R$3:$AW$3,0)-2),OFFSET(R138,0,MATCH($G$2,$R$3:$AW$3,0)-1))</f>
        <v>5.6</v>
      </c>
      <c r="J138" s="27" t="n">
        <v>13.264</v>
      </c>
      <c r="K138" s="27" t="n">
        <v>5.743</v>
      </c>
      <c r="L138" s="27" t="n">
        <v>0.353</v>
      </c>
      <c r="M138" s="27" t="n">
        <v>0.629</v>
      </c>
      <c r="N138" s="25" t="n">
        <f aca="false">3.887</f>
        <v>3.887</v>
      </c>
      <c r="O138" s="25" t="n">
        <f aca="false">4.209</f>
        <v>4.209</v>
      </c>
      <c r="P138" s="26"/>
      <c r="R138" s="27" t="n">
        <v>-3.766</v>
      </c>
      <c r="S138" s="25" t="n">
        <f aca="false">12.987-R138</f>
        <v>16.753</v>
      </c>
      <c r="T138" s="25" t="n">
        <f aca="false">13.264-S138-R138</f>
        <v>0.276999999999999</v>
      </c>
      <c r="U138" s="25" t="n">
        <f aca="false">J138-SUM(R138:T138)</f>
        <v>0</v>
      </c>
      <c r="V138" s="27" t="n">
        <v>1.415</v>
      </c>
      <c r="W138" s="25" t="n">
        <f aca="false">1.903-V138</f>
        <v>0.488</v>
      </c>
      <c r="X138" s="25" t="n">
        <f aca="false">3.563-W138-V138</f>
        <v>1.66</v>
      </c>
      <c r="Y138" s="25" t="n">
        <f aca="false">K138-SUM(V138:X138)</f>
        <v>2.18</v>
      </c>
      <c r="Z138" s="27" t="n">
        <v>0.353</v>
      </c>
      <c r="AA138" s="25" t="n">
        <f aca="false">0.353-Z138</f>
        <v>0</v>
      </c>
      <c r="AB138" s="25" t="n">
        <f aca="false">0.353-AA138-Z138</f>
        <v>0</v>
      </c>
      <c r="AC138" s="25" t="n">
        <f aca="false">L138-SUM(Z138:AB138)</f>
        <v>0</v>
      </c>
      <c r="AD138" s="27" t="n">
        <v>0.411</v>
      </c>
      <c r="AE138" s="25" t="n">
        <f aca="false">0.505-AD138</f>
        <v>0.094</v>
      </c>
      <c r="AF138" s="25" t="n">
        <f aca="false">0.629-SUM(AD138:AE138)</f>
        <v>0.124</v>
      </c>
      <c r="AG138" s="25" t="n">
        <f aca="false">M138-SUM(AD138:AF138)</f>
        <v>0</v>
      </c>
      <c r="AH138" s="27" t="n">
        <v>2.336</v>
      </c>
      <c r="AI138" s="25" t="n">
        <f aca="false">3.885-AH138</f>
        <v>1.549</v>
      </c>
      <c r="AJ138" s="25" t="n">
        <f aca="false">3.885-AI138-AH138</f>
        <v>0</v>
      </c>
      <c r="AK138" s="25" t="n">
        <f aca="false">N138-SUM(AH138:AJ138)</f>
        <v>0.00200000000000022</v>
      </c>
      <c r="AL138" s="27" t="n">
        <v>0.118</v>
      </c>
      <c r="AM138" s="25" t="n">
        <f aca="false">0.118-AL138</f>
        <v>0</v>
      </c>
      <c r="AN138" s="25" t="n">
        <f aca="false">3.431-AM138-AL138</f>
        <v>3.313</v>
      </c>
      <c r="AO138" s="25" t="n">
        <f aca="false">O138-SUM(AL138:AN138)</f>
        <v>0.778</v>
      </c>
      <c r="AP138" s="27" t="n">
        <v>1.509</v>
      </c>
      <c r="AQ138" s="26"/>
      <c r="AR138" s="26"/>
      <c r="AS138" s="26"/>
      <c r="AT138" s="26"/>
      <c r="AU138" s="26"/>
      <c r="AV138" s="26"/>
      <c r="AW138" s="26"/>
    </row>
    <row r="139" customFormat="false" ht="14.25" hidden="false" customHeight="true" outlineLevel="0" collapsed="false">
      <c r="B139" s="1" t="s">
        <v>137</v>
      </c>
      <c r="G139" s="23" t="n">
        <f aca="true">OFFSET(R139,0,MATCH($G$2,$R$3:$AW$3,0)-1)*4</f>
        <v>-167.148</v>
      </c>
      <c r="H139" s="24" t="n">
        <f aca="true">SUM(OFFSET(R139,0,MATCH($G$2,$R$3:$AW$3,0)-4),OFFSET(R139,0,MATCH($G$2,$R$3:$AW$3,0)-3),OFFSET(R139,0,MATCH($G$2,$R$3:$AW$3,0)-2),OFFSET(R139,0,MATCH($G$2,$R$3:$AW$3,0)-1))</f>
        <v>-151.406</v>
      </c>
      <c r="J139" s="27" t="n">
        <v>-0.776</v>
      </c>
      <c r="K139" s="27" t="n">
        <v>0</v>
      </c>
      <c r="L139" s="27" t="n">
        <v>0</v>
      </c>
      <c r="M139" s="27" t="n">
        <v>0</v>
      </c>
      <c r="N139" s="25" t="n">
        <f aca="false">-22.901</f>
        <v>-22.901</v>
      </c>
      <c r="O139" s="25" t="n">
        <f aca="false">-112.803</f>
        <v>-112.803</v>
      </c>
      <c r="P139" s="26"/>
      <c r="R139" s="27" t="n">
        <v>0</v>
      </c>
      <c r="S139" s="27" t="n">
        <v>0</v>
      </c>
      <c r="T139" s="25" t="n">
        <f aca="false">0-S139-R139</f>
        <v>0</v>
      </c>
      <c r="U139" s="25" t="n">
        <f aca="false">J139-SUM(R139:T139)</f>
        <v>-0.776</v>
      </c>
      <c r="V139" s="27" t="n">
        <v>0</v>
      </c>
      <c r="W139" s="27" t="n">
        <v>0</v>
      </c>
      <c r="X139" s="27" t="n">
        <v>0</v>
      </c>
      <c r="Y139" s="25" t="n">
        <f aca="false">K139-SUM(V139:X139)</f>
        <v>0</v>
      </c>
      <c r="Z139" s="27" t="n">
        <v>0</v>
      </c>
      <c r="AA139" s="27" t="n">
        <v>0</v>
      </c>
      <c r="AB139" s="27" t="n">
        <v>0</v>
      </c>
      <c r="AC139" s="25" t="n">
        <f aca="false">L139-SUM(Z139:AB139)</f>
        <v>0</v>
      </c>
      <c r="AD139" s="27" t="n">
        <v>0</v>
      </c>
      <c r="AE139" s="27" t="n">
        <v>0</v>
      </c>
      <c r="AF139" s="27" t="n">
        <v>0</v>
      </c>
      <c r="AG139" s="25" t="n">
        <f aca="false">M139-SUM(AD139:AF139)</f>
        <v>0</v>
      </c>
      <c r="AH139" s="27" t="n">
        <v>0</v>
      </c>
      <c r="AI139" s="25" t="n">
        <f aca="false">-18.085-AH139</f>
        <v>-18.085</v>
      </c>
      <c r="AJ139" s="25" t="n">
        <f aca="false">-22.901-AI139-AH139</f>
        <v>-4.816</v>
      </c>
      <c r="AK139" s="25" t="n">
        <f aca="false">N139-SUM(AH139:AJ139)</f>
        <v>0</v>
      </c>
      <c r="AL139" s="27" t="n">
        <v>-3.184</v>
      </c>
      <c r="AM139" s="25" t="n">
        <f aca="false">-37.6-AL139</f>
        <v>-34.416</v>
      </c>
      <c r="AN139" s="25" t="n">
        <f aca="false">-60.91-AM139-AL139</f>
        <v>-23.31</v>
      </c>
      <c r="AO139" s="25" t="n">
        <f aca="false">O139-SUM(AL139:AN139)</f>
        <v>-51.893</v>
      </c>
      <c r="AP139" s="27" t="n">
        <v>-41.787</v>
      </c>
      <c r="AQ139" s="26"/>
      <c r="AR139" s="26"/>
      <c r="AS139" s="26"/>
      <c r="AT139" s="26"/>
      <c r="AU139" s="26"/>
      <c r="AV139" s="26"/>
      <c r="AW139" s="26"/>
    </row>
    <row r="140" customFormat="false" ht="14.25" hidden="false" customHeight="true" outlineLevel="0" collapsed="false">
      <c r="B140" s="1" t="s">
        <v>138</v>
      </c>
      <c r="G140" s="23" t="n">
        <f aca="true">OFFSET(R140,0,MATCH($G$2,$R$3:$AW$3,0)-1)*4</f>
        <v>-21.136</v>
      </c>
      <c r="H140" s="24" t="n">
        <f aca="true">SUM(OFFSET(R140,0,MATCH($G$2,$R$3:$AW$3,0)-4),OFFSET(R140,0,MATCH($G$2,$R$3:$AW$3,0)-3),OFFSET(R140,0,MATCH($G$2,$R$3:$AW$3,0)-2),OFFSET(R140,0,MATCH($G$2,$R$3:$AW$3,0)-1))</f>
        <v>-5.637</v>
      </c>
      <c r="J140" s="27" t="n">
        <v>-4.822</v>
      </c>
      <c r="K140" s="27" t="n">
        <v>-2.031</v>
      </c>
      <c r="L140" s="27" t="n">
        <v>-3.193</v>
      </c>
      <c r="M140" s="27" t="n">
        <v>-2.856</v>
      </c>
      <c r="N140" s="25" t="n">
        <f aca="false">-3.408</f>
        <v>-3.408</v>
      </c>
      <c r="O140" s="25" t="n">
        <f aca="false">-3.908</f>
        <v>-3.908</v>
      </c>
      <c r="P140" s="26"/>
      <c r="R140" s="27" t="n">
        <v>0.292</v>
      </c>
      <c r="S140" s="25" t="n">
        <f aca="false">-4.813-R140</f>
        <v>-5.105</v>
      </c>
      <c r="T140" s="25" t="n">
        <f aca="false">0-S140-R140</f>
        <v>4.813</v>
      </c>
      <c r="U140" s="25" t="n">
        <f aca="false">J140-SUM(R140:T140)</f>
        <v>-4.822</v>
      </c>
      <c r="V140" s="27" t="n">
        <v>-2.003</v>
      </c>
      <c r="W140" s="25" t="n">
        <f aca="false">-2.023-V140</f>
        <v>-0.02</v>
      </c>
      <c r="X140" s="25" t="n">
        <f aca="false">-2.031-W140-V140</f>
        <v>-0.00800000000000001</v>
      </c>
      <c r="Y140" s="25" t="n">
        <f aca="false">K140-SUM(V140:X140)</f>
        <v>0</v>
      </c>
      <c r="Z140" s="27" t="n">
        <v>-3.165</v>
      </c>
      <c r="AA140" s="25" t="n">
        <f aca="false">-3.191-Z140</f>
        <v>-0.0259999999999998</v>
      </c>
      <c r="AB140" s="25" t="n">
        <f aca="false">-3.193-AA140-Z140</f>
        <v>-0.00200000000000022</v>
      </c>
      <c r="AC140" s="25" t="n">
        <f aca="false">L140-SUM(Z140:AB140)</f>
        <v>0</v>
      </c>
      <c r="AD140" s="27" t="n">
        <v>-2.045</v>
      </c>
      <c r="AE140" s="25" t="n">
        <f aca="false">-2.853-AD140</f>
        <v>-0.808</v>
      </c>
      <c r="AF140" s="25" t="n">
        <f aca="false">-2.856-SUM(AD140:AE140)</f>
        <v>-0.00299999999999967</v>
      </c>
      <c r="AG140" s="25" t="n">
        <f aca="false">M140-SUM(AD140:AF140)</f>
        <v>0</v>
      </c>
      <c r="AH140" s="27" t="n">
        <v>-3.093</v>
      </c>
      <c r="AI140" s="25" t="n">
        <f aca="false">-3.192-AH140</f>
        <v>-0.0990000000000002</v>
      </c>
      <c r="AJ140" s="25" t="n">
        <f aca="false">-3.193-AI140-AH140</f>
        <v>-0.00099999999999989</v>
      </c>
      <c r="AK140" s="25" t="n">
        <f aca="false">N140-SUM(AH140:AJ140)</f>
        <v>-0.215</v>
      </c>
      <c r="AL140" s="27" t="n">
        <v>-3.555</v>
      </c>
      <c r="AM140" s="25" t="n">
        <f aca="false">-3.595-AL140</f>
        <v>-0.04</v>
      </c>
      <c r="AN140" s="25" t="n">
        <f aca="false">-3.598-AM140-AL140</f>
        <v>-0.00299999999999967</v>
      </c>
      <c r="AO140" s="25" t="n">
        <f aca="false">O140-SUM(AL140:AN140)</f>
        <v>-0.31</v>
      </c>
      <c r="AP140" s="27" t="n">
        <v>-5.284</v>
      </c>
      <c r="AQ140" s="26"/>
      <c r="AR140" s="26"/>
      <c r="AS140" s="26"/>
      <c r="AT140" s="26"/>
      <c r="AU140" s="26"/>
      <c r="AV140" s="26"/>
      <c r="AW140" s="26"/>
    </row>
    <row r="141" customFormat="false" ht="14.25" hidden="false" customHeight="true" outlineLevel="0" collapsed="false">
      <c r="B141" s="29" t="s">
        <v>139</v>
      </c>
      <c r="C141" s="29"/>
      <c r="D141" s="29"/>
      <c r="E141" s="29"/>
      <c r="F141" s="29"/>
      <c r="G141" s="30" t="n">
        <f aca="true">OFFSET(R141,0,MATCH($G$2,$R$3:$AW$3,0)-1)*4</f>
        <v>-0.012</v>
      </c>
      <c r="H141" s="31" t="n">
        <f aca="true">SUM(OFFSET(R141,0,MATCH($G$2,$R$3:$AW$3,0)-4),OFFSET(R141,0,MATCH($G$2,$R$3:$AW$3,0)-3),OFFSET(R141,0,MATCH($G$2,$R$3:$AW$3,0)-2),OFFSET(R141,0,MATCH($G$2,$R$3:$AW$3,0)-1))</f>
        <v>-0.021</v>
      </c>
      <c r="I141" s="29"/>
      <c r="J141" s="34" t="n">
        <v>0</v>
      </c>
      <c r="K141" s="34" t="n">
        <v>-2.397</v>
      </c>
      <c r="L141" s="34" t="n">
        <v>0</v>
      </c>
      <c r="M141" s="34" t="n">
        <v>0</v>
      </c>
      <c r="N141" s="32" t="n">
        <f aca="false">1.358-1.977</f>
        <v>-0.619</v>
      </c>
      <c r="O141" s="32" t="n">
        <f aca="false">-1.254</f>
        <v>-1.254</v>
      </c>
      <c r="P141" s="33"/>
      <c r="Q141" s="29"/>
      <c r="R141" s="32" t="n">
        <f aca="false">-4.251-0.225</f>
        <v>-4.476</v>
      </c>
      <c r="S141" s="32" t="n">
        <f aca="false">-0.45-R141</f>
        <v>4.026</v>
      </c>
      <c r="T141" s="32" t="n">
        <f aca="false">-4.821-0.686-S141-R141</f>
        <v>-5.057</v>
      </c>
      <c r="U141" s="32" t="n">
        <f aca="false">J141-SUM(R141:T141)</f>
        <v>5.507</v>
      </c>
      <c r="V141" s="32" t="n">
        <f aca="false">-2.232-0.204</f>
        <v>-2.436</v>
      </c>
      <c r="W141" s="32" t="n">
        <f aca="false">-2.397-0.41-V141</f>
        <v>-0.371</v>
      </c>
      <c r="X141" s="32" t="n">
        <f aca="false">-2.397-0.614-W141-V141</f>
        <v>-0.204</v>
      </c>
      <c r="Y141" s="32" t="n">
        <f aca="false">K141-SUM(V141:X141)</f>
        <v>0.614</v>
      </c>
      <c r="Z141" s="34" t="n">
        <v>0</v>
      </c>
      <c r="AA141" s="34" t="n">
        <v>0</v>
      </c>
      <c r="AB141" s="34" t="n">
        <v>0</v>
      </c>
      <c r="AC141" s="32" t="n">
        <f aca="false">L141-SUM(Z141:AB141)</f>
        <v>0</v>
      </c>
      <c r="AD141" s="91" t="n">
        <f aca="false">[1]Equity!AD173</f>
        <v>0</v>
      </c>
      <c r="AE141" s="91" t="n">
        <f aca="false">[1]Equity!AE173</f>
        <v>0</v>
      </c>
      <c r="AF141" s="34" t="n">
        <v>0</v>
      </c>
      <c r="AG141" s="32" t="n">
        <f aca="false">M141-SUM(AD141:AF141)</f>
        <v>0</v>
      </c>
      <c r="AH141" s="34" t="n">
        <v>0</v>
      </c>
      <c r="AI141" s="34" t="n">
        <v>0</v>
      </c>
      <c r="AJ141" s="32" t="n">
        <f aca="false">-1.538-AI141-AH141</f>
        <v>-1.538</v>
      </c>
      <c r="AK141" s="32" t="n">
        <f aca="false">N141-SUM(AH141:AJ141)</f>
        <v>0.919</v>
      </c>
      <c r="AL141" s="34" t="n">
        <v>-1.236</v>
      </c>
      <c r="AM141" s="32" t="n">
        <f aca="false">-1.236-AL141</f>
        <v>0</v>
      </c>
      <c r="AN141" s="32" t="n">
        <f aca="false">-1.237-AM141-AL141</f>
        <v>-0.00100000000000011</v>
      </c>
      <c r="AO141" s="32" t="n">
        <f aca="false">O141-SUM(AL141:AN141)</f>
        <v>-0.0169999999999999</v>
      </c>
      <c r="AP141" s="34" t="n">
        <v>-0.003</v>
      </c>
      <c r="AQ141" s="33"/>
      <c r="AR141" s="33"/>
      <c r="AS141" s="33"/>
      <c r="AT141" s="33"/>
      <c r="AU141" s="33"/>
      <c r="AV141" s="33"/>
      <c r="AW141" s="33"/>
    </row>
    <row r="142" customFormat="false" ht="14.25" hidden="false" customHeight="true" outlineLevel="0" collapsed="false">
      <c r="B142" s="36" t="s">
        <v>140</v>
      </c>
      <c r="G142" s="37" t="n">
        <f aca="false">SUM(G136:G141)</f>
        <v>-8.05599999999999</v>
      </c>
      <c r="H142" s="38" t="n">
        <f aca="false">SUM(H136:H141)</f>
        <v>-171.903</v>
      </c>
      <c r="J142" s="39" t="n">
        <f aca="false">SUM(J136:J141)</f>
        <v>423.315</v>
      </c>
      <c r="K142" s="39" t="n">
        <f aca="false">SUM(K136:K141)</f>
        <v>-41.878</v>
      </c>
      <c r="L142" s="39" t="n">
        <f aca="false">SUM(L136:L141)</f>
        <v>96.508</v>
      </c>
      <c r="M142" s="39" t="n">
        <f aca="false">SUM(M136:M141)</f>
        <v>-311.313</v>
      </c>
      <c r="N142" s="39" t="n">
        <f aca="false">SUM(N136:N141)</f>
        <v>-108.763</v>
      </c>
      <c r="O142" s="39" t="n">
        <f aca="false">SUM(O136:O141)</f>
        <v>-175.079</v>
      </c>
      <c r="P142" s="26"/>
      <c r="R142" s="39" t="n">
        <f aca="false">SUM(R136:R141)</f>
        <v>426.931</v>
      </c>
      <c r="S142" s="39" t="n">
        <f aca="false">SUM(S136:S141)</f>
        <v>30.3400000000001</v>
      </c>
      <c r="T142" s="39" t="n">
        <f aca="false">SUM(T136:T141)</f>
        <v>-42.887</v>
      </c>
      <c r="U142" s="39" t="n">
        <f aca="false">SUM(U136:U141)</f>
        <v>8.93099999999996</v>
      </c>
      <c r="V142" s="39" t="n">
        <f aca="false">SUM(V136:V141)</f>
        <v>256.175</v>
      </c>
      <c r="W142" s="39" t="n">
        <f aca="false">SUM(W136:W141)</f>
        <v>-72.907</v>
      </c>
      <c r="X142" s="39" t="n">
        <f aca="false">SUM(X136:X141)</f>
        <v>-162.124</v>
      </c>
      <c r="Y142" s="39" t="n">
        <f aca="false">SUM(Y136:Y141)</f>
        <v>-63.022</v>
      </c>
      <c r="Z142" s="39" t="n">
        <f aca="false">SUM(Z136:Z141)</f>
        <v>331.987</v>
      </c>
      <c r="AA142" s="39" t="n">
        <f aca="false">SUM(AA136:AA141)</f>
        <v>-60.238</v>
      </c>
      <c r="AB142" s="39" t="n">
        <f aca="false">SUM(AB136:AB141)</f>
        <v>-65.058</v>
      </c>
      <c r="AC142" s="39" t="n">
        <f aca="false">SUM(AC136:AC141)</f>
        <v>-110.183</v>
      </c>
      <c r="AD142" s="39" t="n">
        <f aca="false">SUM(AD136:AD141)</f>
        <v>-121.265</v>
      </c>
      <c r="AE142" s="39" t="n">
        <f aca="false">SUM(AE136:AE141)</f>
        <v>-74.731</v>
      </c>
      <c r="AF142" s="39" t="n">
        <f aca="false">SUM(AF136:AF141)</f>
        <v>-70.052</v>
      </c>
      <c r="AG142" s="39" t="n">
        <f aca="false">SUM(AG136:AG141)</f>
        <v>-45.265</v>
      </c>
      <c r="AH142" s="39" t="n">
        <f aca="false">SUM(AH136:AH141)</f>
        <v>-9.942</v>
      </c>
      <c r="AI142" s="39" t="n">
        <f aca="false">SUM(AI136:AI141)</f>
        <v>-35.763</v>
      </c>
      <c r="AJ142" s="39" t="n">
        <f aca="false">SUM(AJ136:AJ141)</f>
        <v>-22.043</v>
      </c>
      <c r="AK142" s="39" t="n">
        <f aca="false">SUM(AK136:AK141)</f>
        <v>-41.015</v>
      </c>
      <c r="AL142" s="39" t="n">
        <f aca="false">SUM(AL136:AL141)</f>
        <v>-5.18999999999997</v>
      </c>
      <c r="AM142" s="39" t="n">
        <f aca="false">SUM(AM136:AM141)</f>
        <v>-116.017</v>
      </c>
      <c r="AN142" s="39" t="n">
        <f aca="false">SUM(AN136:AN141)</f>
        <v>49.136</v>
      </c>
      <c r="AO142" s="39" t="n">
        <f aca="false">SUM(AO136:AO141)</f>
        <v>-103.008</v>
      </c>
      <c r="AP142" s="39" t="n">
        <f aca="false">SUM(AP136:AP141)</f>
        <v>-2.014</v>
      </c>
      <c r="AQ142" s="26"/>
      <c r="AR142" s="26"/>
      <c r="AS142" s="26"/>
      <c r="AT142" s="26"/>
      <c r="AU142" s="26"/>
      <c r="AV142" s="26"/>
      <c r="AW142" s="26"/>
    </row>
    <row r="143" customFormat="false" ht="14.25" hidden="false" customHeight="true" outlineLevel="0" collapsed="false">
      <c r="B143" s="36"/>
      <c r="G143" s="65"/>
      <c r="H143" s="66"/>
      <c r="J143" s="67"/>
      <c r="K143" s="67"/>
      <c r="L143" s="67"/>
      <c r="M143" s="67"/>
      <c r="N143" s="67"/>
      <c r="O143" s="67"/>
      <c r="P143" s="26"/>
      <c r="R143" s="92"/>
      <c r="S143" s="92"/>
      <c r="T143" s="92"/>
      <c r="U143" s="92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67"/>
      <c r="AQ143" s="26"/>
      <c r="AR143" s="26"/>
      <c r="AS143" s="26"/>
      <c r="AT143" s="26"/>
      <c r="AU143" s="26"/>
      <c r="AV143" s="26"/>
      <c r="AW143" s="26"/>
    </row>
    <row r="144" customFormat="false" ht="14.25" hidden="false" customHeight="true" outlineLevel="0" collapsed="false">
      <c r="B144" s="36" t="s">
        <v>141</v>
      </c>
      <c r="G144" s="93" t="n">
        <f aca="false">G142+G134+G129</f>
        <v>170.556</v>
      </c>
      <c r="H144" s="94" t="n">
        <f aca="false">H142+H134+H129</f>
        <v>48.5839999999999</v>
      </c>
      <c r="I144" s="36"/>
      <c r="J144" s="67"/>
      <c r="K144" s="39" t="n">
        <f aca="false">K142+K134+K129</f>
        <v>16.937</v>
      </c>
      <c r="L144" s="39" t="n">
        <f aca="false">L142+L134+L129</f>
        <v>55.6010000000002</v>
      </c>
      <c r="M144" s="39" t="n">
        <f aca="false">M142+M134+M129</f>
        <v>-45.525</v>
      </c>
      <c r="N144" s="39" t="n">
        <f aca="false">N142+N134+N129</f>
        <v>45.764</v>
      </c>
      <c r="O144" s="39" t="n">
        <f aca="false">O142+O134+O129</f>
        <v>-47.933</v>
      </c>
      <c r="P144" s="95"/>
      <c r="Q144" s="36"/>
      <c r="R144" s="39" t="n">
        <f aca="false">R142+R134+R129</f>
        <v>-13.092</v>
      </c>
      <c r="S144" s="39" t="n">
        <f aca="false">S142+S134+S129</f>
        <v>-2.81199999999996</v>
      </c>
      <c r="T144" s="39" t="n">
        <f aca="false">T142+T134+T129</f>
        <v>-0.649000000000029</v>
      </c>
      <c r="U144" s="39" t="n">
        <f aca="false">U142+U134+U129</f>
        <v>4.50099999999995</v>
      </c>
      <c r="V144" s="39" t="n">
        <f aca="false">V142+V134+V129</f>
        <v>-0.51099999999996</v>
      </c>
      <c r="W144" s="39" t="n">
        <f aca="false">W142+W134+W129</f>
        <v>15.232</v>
      </c>
      <c r="X144" s="39" t="n">
        <f aca="false">X142+X134+X129</f>
        <v>-13.096</v>
      </c>
      <c r="Y144" s="39" t="n">
        <f aca="false">Y142+Y134+Y129</f>
        <v>15.3120000000001</v>
      </c>
      <c r="Z144" s="39" t="n">
        <f aca="false">Z142+Z134+Z129</f>
        <v>297.837</v>
      </c>
      <c r="AA144" s="39" t="n">
        <f aca="false">AA142+AA134+AA129</f>
        <v>-214.106</v>
      </c>
      <c r="AB144" s="39" t="n">
        <f aca="false">AB142+AB134+AB129</f>
        <v>11.1180000000001</v>
      </c>
      <c r="AC144" s="39" t="n">
        <f aca="false">AC142+AC134+AC129</f>
        <v>-39.2479999999999</v>
      </c>
      <c r="AD144" s="39" t="n">
        <f aca="false">AD142+AD134+AD129</f>
        <v>-28.005</v>
      </c>
      <c r="AE144" s="39" t="n">
        <f aca="false">AE142+AE134+AE129</f>
        <v>0.719000000000008</v>
      </c>
      <c r="AF144" s="39" t="n">
        <f aca="false">AF142+AF134+AF129</f>
        <v>1.325</v>
      </c>
      <c r="AG144" s="39" t="n">
        <f aca="false">AG142+AG134+AG129</f>
        <v>-19.564</v>
      </c>
      <c r="AH144" s="39" t="n">
        <f aca="false">AH142+AH134+AH129</f>
        <v>-2.415</v>
      </c>
      <c r="AI144" s="39" t="n">
        <f aca="false">AI142+AI134+AI129</f>
        <v>-7.294</v>
      </c>
      <c r="AJ144" s="39" t="n">
        <f aca="false">AJ142+AJ134+AJ129</f>
        <v>11.887</v>
      </c>
      <c r="AK144" s="39" t="n">
        <f aca="false">AK142+AK134+AK129</f>
        <v>43.586</v>
      </c>
      <c r="AL144" s="39" t="n">
        <f aca="false">AL142+AL134+AL129</f>
        <v>-53.878</v>
      </c>
      <c r="AM144" s="39" t="n">
        <f aca="false">AM142+AM134+AM129</f>
        <v>9.90399999999997</v>
      </c>
      <c r="AN144" s="39" t="n">
        <f aca="false">AN142+AN134+AN129</f>
        <v>5.51299999999998</v>
      </c>
      <c r="AO144" s="39" t="n">
        <f aca="false">AO142+AO134+AO129</f>
        <v>-9.47200000000004</v>
      </c>
      <c r="AP144" s="39" t="n">
        <f aca="false">AP142+AP134+AP129</f>
        <v>42.639</v>
      </c>
      <c r="AQ144" s="95"/>
      <c r="AR144" s="95"/>
      <c r="AS144" s="95"/>
      <c r="AT144" s="95"/>
      <c r="AU144" s="95"/>
      <c r="AV144" s="95"/>
      <c r="AW144" s="95"/>
    </row>
    <row r="145" customFormat="false" ht="14.25" hidden="false" customHeight="true" outlineLevel="0" collapsed="false">
      <c r="B145" s="72" t="s">
        <v>142</v>
      </c>
      <c r="G145" s="96"/>
      <c r="H145" s="97"/>
      <c r="L145" s="75" t="str">
        <f aca="false">IF(ROUND(L144-(L48-K48),1)=0,"OK",ROUND(L144-(L48-K48),2))</f>
        <v>OK</v>
      </c>
      <c r="M145" s="75" t="str">
        <f aca="false">IF(ROUND(M144-(M48-L48),1)=0,"OK",ROUND(M144-(M48-L48),2))</f>
        <v>OK</v>
      </c>
      <c r="N145" s="75" t="str">
        <f aca="false">IF(ROUND(N144-(N48-M48),1)=0,"OK",ROUND(N144-(N48-M48),2))</f>
        <v>OK</v>
      </c>
      <c r="O145" s="75" t="n">
        <f aca="false">IF(ROUND(O144-(O48-N48),1)=0,"OK",ROUND(O144-(O48-N48),2))</f>
        <v>0.07</v>
      </c>
      <c r="S145" s="75" t="str">
        <f aca="false">IF(ROUND(S144-(S48-R48),1)=0,"OK",ROUND(S144-(S48-R48),2))</f>
        <v>OK</v>
      </c>
      <c r="T145" s="75" t="n">
        <f aca="false">IF(ROUND(T144-(T48-S48),1)=0,"OK",ROUND(T144-(T48-S48),2))</f>
        <v>-0.07</v>
      </c>
      <c r="U145" s="75" t="n">
        <f aca="false">IF(ROUND(U144-(U48-T48),1)=0,"OK",ROUND(U144-(U48-T48),2))</f>
        <v>0.32</v>
      </c>
      <c r="V145" s="75" t="str">
        <f aca="false">IF(ROUND(V144-(V48-U48),1)=0,"OK",ROUND(V144-(V48-U48),2))</f>
        <v>OK</v>
      </c>
      <c r="W145" s="75" t="str">
        <f aca="false">IF(ROUND(W144-(W48-V48),1)=0,"OK",ROUND(W144-(W48-V48),2))</f>
        <v>OK</v>
      </c>
      <c r="X145" s="75" t="str">
        <f aca="false">IF(ROUND(X144-(X48-W48),1)=0,"OK",ROUND(X144-(X48-W48),2))</f>
        <v>OK</v>
      </c>
      <c r="Y145" s="75" t="str">
        <f aca="false">IF(ROUND(Y144-(Y48-X48),1)=0,"OK",ROUND(Y144-(Y48-X48),2))</f>
        <v>OK</v>
      </c>
      <c r="Z145" s="75" t="str">
        <f aca="false">IF(ROUND(Z144-(Z48-Y48),1)=0,"OK",ROUND(Z144-(Z48-Y48),2))</f>
        <v>OK</v>
      </c>
      <c r="AA145" s="75" t="str">
        <f aca="false">IF(ROUND(AA144-(AA48-Z48),1)=0,"OK",ROUND(AA144-(AA48-Z48),2))</f>
        <v>OK</v>
      </c>
      <c r="AB145" s="75" t="str">
        <f aca="false">IF(ROUND(AB144-(AB48-AA48),1)=0,"OK",ROUND(AB144-(AB48-AA48),2))</f>
        <v>OK</v>
      </c>
      <c r="AC145" s="75" t="str">
        <f aca="false">IF(ROUND(AC144-(AC48-AB48),1)=0,"OK",ROUND(AC144-(AC48-AB48),2))</f>
        <v>OK</v>
      </c>
      <c r="AD145" s="75" t="str">
        <f aca="false">IF(ROUND(AD144-(AD48-AC48),1)=0,"OK",ROUND(AD144-(AD48-AC48),2))</f>
        <v>OK</v>
      </c>
      <c r="AE145" s="75" t="str">
        <f aca="false">IF(ROUND(AE144-(AE48-AD48),1)=0,"OK",ROUND(AE144-(AE48-AD48),2))</f>
        <v>OK</v>
      </c>
      <c r="AF145" s="75" t="str">
        <f aca="false">IF(ROUND(AF144-(AF48-AE48),1)=0,"OK",ROUND(AF144-(AF48-AE48),2))</f>
        <v>OK</v>
      </c>
      <c r="AG145" s="75" t="str">
        <f aca="false">IF(ROUND(AG144-(AG48-AF48),1)=0,"OK",ROUND(AG144-(AG48-AF48),2))</f>
        <v>OK</v>
      </c>
      <c r="AH145" s="75" t="str">
        <f aca="false">IF(ROUND(AH144-(AH48-AG48),1)=0,"OK",ROUND(AH144-(AH48-AG48),2))</f>
        <v>OK</v>
      </c>
      <c r="AI145" s="75" t="str">
        <f aca="false">IF(ROUND(AI144-(AI48-AH48),1)=0,"OK",ROUND(AI144-(AI48-AH48),2))</f>
        <v>OK</v>
      </c>
      <c r="AJ145" s="75" t="str">
        <f aca="false">IF(ROUND(AJ144-(AJ48-AI48),1)=0,"OK",ROUND(AJ144-(AJ48-AI48),2))</f>
        <v>OK</v>
      </c>
      <c r="AK145" s="75" t="str">
        <f aca="false">IF(ROUND(AK144-(AK48-AJ48),1)=0,"OK",ROUND(AK144-(AK48-AJ48),2))</f>
        <v>OK</v>
      </c>
      <c r="AL145" s="75" t="str">
        <f aca="false">IF(ROUND(AL144-(AL48-AK48),1)=0,"OK",ROUND(AL144-(AL48-AK48),2))</f>
        <v>OK</v>
      </c>
      <c r="AM145" s="75" t="str">
        <f aca="false">IF(ROUND(AM144-(AM48-AL48),1)=0,"OK",ROUND(AM144-(AM48-AL48),2))</f>
        <v>OK</v>
      </c>
      <c r="AN145" s="75" t="str">
        <f aca="false">IF(ROUND(AN144-(AN48-AM48),1)=0,"OK",ROUND(AN144-(AN48-AM48),2))</f>
        <v>OK</v>
      </c>
      <c r="AO145" s="75" t="n">
        <f aca="false">IF(ROUND(AO144-(AO48-AN48),1)=0,"OK",ROUND(AO144-(AO48-AN48),2))</f>
        <v>0.07</v>
      </c>
      <c r="AP145" s="75" t="str">
        <f aca="false">IF(ROUND(AP144-(AP48-AO48),1)=0,"OK",ROUND(AP144-(AP48-AO48),2))</f>
        <v>OK</v>
      </c>
    </row>
    <row r="146" customFormat="false" ht="14.25" hidden="false" customHeight="true" outlineLevel="0" collapsed="false">
      <c r="G146" s="96"/>
      <c r="H146" s="97"/>
      <c r="J146" s="98"/>
      <c r="K146" s="98"/>
      <c r="L146" s="98"/>
      <c r="M146" s="98"/>
      <c r="N146" s="98"/>
      <c r="O146" s="98"/>
    </row>
    <row r="147" customFormat="false" ht="14.25" hidden="false" customHeight="true" outlineLevel="0" collapsed="false">
      <c r="B147" s="1" t="s">
        <v>130</v>
      </c>
      <c r="G147" s="23" t="n">
        <f aca="true">OFFSET(R147,0,MATCH($G$2,$R$3:$AW$3,0)-1)*4</f>
        <v>493.152</v>
      </c>
      <c r="H147" s="24" t="n">
        <f aca="true">SUM(OFFSET(R147,0,MATCH($G$2,$R$3:$AW$3,0)-4),OFFSET(R147,0,MATCH($G$2,$R$3:$AW$3,0)-3),OFFSET(R147,0,MATCH($G$2,$R$3:$AW$3,0)-2),OFFSET(R147,0,MATCH($G$2,$R$3:$AW$3,0)-1))</f>
        <v>647.036</v>
      </c>
      <c r="J147" s="25" t="n">
        <f aca="false">J129</f>
        <v>346.999</v>
      </c>
      <c r="K147" s="25" t="n">
        <f aca="false">K129</f>
        <v>511.813</v>
      </c>
      <c r="L147" s="25" t="n">
        <f aca="false">L129</f>
        <v>444.94</v>
      </c>
      <c r="M147" s="25" t="n">
        <f aca="false">M129</f>
        <v>321.576</v>
      </c>
      <c r="N147" s="25" t="n">
        <f aca="false">N129</f>
        <v>294.128</v>
      </c>
      <c r="O147" s="25" t="n">
        <f aca="false">O129</f>
        <v>540.228</v>
      </c>
      <c r="R147" s="25" t="n">
        <f aca="false">R129</f>
        <v>18.734</v>
      </c>
      <c r="S147" s="25" t="n">
        <f aca="false">S129</f>
        <v>135.021</v>
      </c>
      <c r="T147" s="25" t="n">
        <f aca="false">T129</f>
        <v>118.549</v>
      </c>
      <c r="U147" s="25" t="n">
        <f aca="false">U129</f>
        <v>74.695</v>
      </c>
      <c r="V147" s="25" t="n">
        <f aca="false">V129</f>
        <v>38.529</v>
      </c>
      <c r="W147" s="25" t="n">
        <f aca="false">W129</f>
        <v>149.668</v>
      </c>
      <c r="X147" s="25" t="n">
        <f aca="false">X129</f>
        <v>199.402</v>
      </c>
      <c r="Y147" s="25" t="n">
        <f aca="false">Y129</f>
        <v>124.214</v>
      </c>
      <c r="Z147" s="25" t="n">
        <f aca="false">Z129</f>
        <v>71.5040000000001</v>
      </c>
      <c r="AA147" s="25" t="n">
        <f aca="false">AA129</f>
        <v>170.637</v>
      </c>
      <c r="AB147" s="25" t="n">
        <f aca="false">AB129</f>
        <v>117.622</v>
      </c>
      <c r="AC147" s="25" t="n">
        <f aca="false">AC129</f>
        <v>85.177</v>
      </c>
      <c r="AD147" s="25" t="n">
        <f aca="false">AD129</f>
        <v>102.558</v>
      </c>
      <c r="AE147" s="25" t="n">
        <f aca="false">AE129</f>
        <v>95.26</v>
      </c>
      <c r="AF147" s="25" t="n">
        <f aca="false">AF129</f>
        <v>82.544</v>
      </c>
      <c r="AG147" s="25" t="n">
        <f aca="false">AG129</f>
        <v>41.214</v>
      </c>
      <c r="AH147" s="25" t="n">
        <f aca="false">AH129</f>
        <v>32.222</v>
      </c>
      <c r="AI147" s="25" t="n">
        <f aca="false">AI129</f>
        <v>63.422</v>
      </c>
      <c r="AJ147" s="25" t="n">
        <f aca="false">AJ129</f>
        <v>65.541</v>
      </c>
      <c r="AK147" s="25" t="n">
        <f aca="false">AK129</f>
        <v>132.943</v>
      </c>
      <c r="AL147" s="25" t="n">
        <f aca="false">AL129</f>
        <v>16.48</v>
      </c>
      <c r="AM147" s="25" t="n">
        <f aca="false">AM129</f>
        <v>211.469</v>
      </c>
      <c r="AN147" s="25" t="n">
        <f aca="false">AN129</f>
        <v>96.278</v>
      </c>
      <c r="AO147" s="25" t="n">
        <f aca="false">AO129</f>
        <v>216.001</v>
      </c>
      <c r="AP147" s="25" t="n">
        <f aca="false">AP129</f>
        <v>123.288</v>
      </c>
    </row>
    <row r="148" customFormat="false" ht="14.25" hidden="false" customHeight="true" outlineLevel="0" collapsed="false">
      <c r="B148" s="1" t="s">
        <v>143</v>
      </c>
      <c r="G148" s="23" t="n">
        <f aca="true">OFFSET(R148,0,MATCH($G$2,$R$3:$AW$3,0)-1)*4</f>
        <v>86.044</v>
      </c>
      <c r="H148" s="24" t="n">
        <f aca="true">SUM(OFFSET(R148,0,MATCH($G$2,$R$3:$AW$3,0)-4),OFFSET(R148,0,MATCH($G$2,$R$3:$AW$3,0)-3),OFFSET(R148,0,MATCH($G$2,$R$3:$AW$3,0)-2),OFFSET(R148,0,MATCH($G$2,$R$3:$AW$3,0)-1))</f>
        <v>50.535</v>
      </c>
      <c r="J148" s="25" t="n">
        <f aca="false">-J122</f>
        <v>40.772</v>
      </c>
      <c r="K148" s="25" t="n">
        <f aca="false">-K122</f>
        <v>55.766</v>
      </c>
      <c r="L148" s="25" t="n">
        <f aca="false">-L122</f>
        <v>48.721</v>
      </c>
      <c r="M148" s="25" t="n">
        <f aca="false">-M122</f>
        <v>40.878</v>
      </c>
      <c r="N148" s="25" t="n">
        <f aca="false">-N122</f>
        <v>42.816</v>
      </c>
      <c r="O148" s="25" t="n">
        <f aca="false">-O122</f>
        <v>49.317</v>
      </c>
      <c r="R148" s="25" t="n">
        <f aca="false">-R122</f>
        <v>-0</v>
      </c>
      <c r="S148" s="25" t="n">
        <f aca="false">-S122</f>
        <v>-0</v>
      </c>
      <c r="T148" s="25" t="n">
        <f aca="false">-T122</f>
        <v>-0</v>
      </c>
      <c r="U148" s="25" t="n">
        <f aca="false">-U122</f>
        <v>-0</v>
      </c>
      <c r="V148" s="25" t="n">
        <f aca="false">-V122</f>
        <v>-0</v>
      </c>
      <c r="W148" s="25" t="n">
        <f aca="false">-W122</f>
        <v>-0</v>
      </c>
      <c r="X148" s="25" t="n">
        <f aca="false">-X122</f>
        <v>-0</v>
      </c>
      <c r="Y148" s="25" t="n">
        <f aca="false">-Y122</f>
        <v>-0</v>
      </c>
      <c r="Z148" s="25" t="n">
        <f aca="false">-Z122</f>
        <v>-0</v>
      </c>
      <c r="AA148" s="25" t="n">
        <f aca="false">-AA122</f>
        <v>-0</v>
      </c>
      <c r="AB148" s="25" t="n">
        <f aca="false">-AB122</f>
        <v>-0</v>
      </c>
      <c r="AC148" s="25" t="n">
        <f aca="false">-AC122</f>
        <v>-0</v>
      </c>
      <c r="AD148" s="25" t="n">
        <f aca="false">-AD122</f>
        <v>-0</v>
      </c>
      <c r="AE148" s="25" t="n">
        <f aca="false">-AE122</f>
        <v>-0</v>
      </c>
      <c r="AF148" s="25" t="n">
        <f aca="false">-AF122</f>
        <v>-0</v>
      </c>
      <c r="AG148" s="25" t="n">
        <f aca="false">-AG122</f>
        <v>-0</v>
      </c>
      <c r="AH148" s="25" t="n">
        <f aca="false">-AH122</f>
        <v>18.022</v>
      </c>
      <c r="AI148" s="25" t="n">
        <f aca="false">-AI122</f>
        <v>2.139</v>
      </c>
      <c r="AJ148" s="25" t="n">
        <f aca="false">-AJ122</f>
        <v>19.593</v>
      </c>
      <c r="AK148" s="25" t="n">
        <f aca="false">-AK122</f>
        <v>3.062</v>
      </c>
      <c r="AL148" s="25" t="n">
        <f aca="false">-AL122</f>
        <v>20.293</v>
      </c>
      <c r="AM148" s="25" t="n">
        <f aca="false">-AM122</f>
        <v>4.26</v>
      </c>
      <c r="AN148" s="25" t="n">
        <f aca="false">-AN122</f>
        <v>20.723</v>
      </c>
      <c r="AO148" s="25" t="n">
        <f aca="false">-AO122</f>
        <v>4.04099999999999</v>
      </c>
      <c r="AP148" s="25" t="n">
        <f aca="false">-AP122</f>
        <v>21.511</v>
      </c>
    </row>
    <row r="149" customFormat="false" ht="14.25" hidden="false" customHeight="true" outlineLevel="0" collapsed="false">
      <c r="B149" s="29" t="s">
        <v>144</v>
      </c>
      <c r="C149" s="29"/>
      <c r="D149" s="29"/>
      <c r="E149" s="29"/>
      <c r="F149" s="29"/>
      <c r="G149" s="30" t="n">
        <f aca="true">OFFSET(R149,0,MATCH($G$2,$R$3:$AW$3,0)-1)*4</f>
        <v>-314.54</v>
      </c>
      <c r="H149" s="31" t="n">
        <f aca="true">SUM(OFFSET(R149,0,MATCH($G$2,$R$3:$AW$3,0)-4),OFFSET(R149,0,MATCH($G$2,$R$3:$AW$3,0)-3),OFFSET(R149,0,MATCH($G$2,$R$3:$AW$3,0)-2),OFFSET(R149,0,MATCH($G$2,$R$3:$AW$3,0)-1))</f>
        <v>-389.049</v>
      </c>
      <c r="I149" s="29"/>
      <c r="J149" s="32" t="n">
        <f aca="false">J131+J133</f>
        <v>-248.469</v>
      </c>
      <c r="K149" s="32" t="n">
        <f aca="false">K131+K133</f>
        <v>-190.507</v>
      </c>
      <c r="L149" s="32" t="n">
        <f aca="false">L131+L133</f>
        <v>-130.875</v>
      </c>
      <c r="M149" s="32" t="n">
        <f aca="false">M131+M133</f>
        <v>-46.673</v>
      </c>
      <c r="N149" s="32" t="n">
        <f aca="false">N131+N133</f>
        <v>-135.701</v>
      </c>
      <c r="O149" s="32" t="n">
        <f aca="false">O131+O133</f>
        <v>-375.582</v>
      </c>
      <c r="P149" s="29"/>
      <c r="Q149" s="29"/>
      <c r="R149" s="32" t="n">
        <f aca="false">R131+R133</f>
        <v>-28.78</v>
      </c>
      <c r="S149" s="32" t="n">
        <f aca="false">S131+S133</f>
        <v>-98.923</v>
      </c>
      <c r="T149" s="32" t="n">
        <f aca="false">T131+T133</f>
        <v>-76.243</v>
      </c>
      <c r="U149" s="32" t="n">
        <f aca="false">U131+U133</f>
        <v>-44.523</v>
      </c>
      <c r="V149" s="32" t="n">
        <f aca="false">V131+V133</f>
        <v>-47.745</v>
      </c>
      <c r="W149" s="32" t="n">
        <f aca="false">W131+W133</f>
        <v>-56.159</v>
      </c>
      <c r="X149" s="32" t="n">
        <f aca="false">X131+X133</f>
        <v>-45.674</v>
      </c>
      <c r="Y149" s="32" t="n">
        <f aca="false">Y131+Y133</f>
        <v>-40.929</v>
      </c>
      <c r="Z149" s="32" t="n">
        <f aca="false">Z131+Z133</f>
        <v>-45.232</v>
      </c>
      <c r="AA149" s="32" t="n">
        <f aca="false">AA131+AA133</f>
        <v>-42.68</v>
      </c>
      <c r="AB149" s="32" t="n">
        <f aca="false">AB131+AB133</f>
        <v>-34.921</v>
      </c>
      <c r="AC149" s="32" t="n">
        <f aca="false">AC131+AC133</f>
        <v>-8.042</v>
      </c>
      <c r="AD149" s="32" t="n">
        <f aca="false">AD131+AD133</f>
        <v>-9.298</v>
      </c>
      <c r="AE149" s="32" t="n">
        <f aca="false">AE131+AE133</f>
        <v>-12.34</v>
      </c>
      <c r="AF149" s="32" t="n">
        <f aca="false">AF131+AF133</f>
        <v>-11.167</v>
      </c>
      <c r="AG149" s="32" t="n">
        <f aca="false">AG131+AG133</f>
        <v>-13.868</v>
      </c>
      <c r="AH149" s="32" t="n">
        <f aca="false">AH131+AH133</f>
        <v>-20.795</v>
      </c>
      <c r="AI149" s="32" t="n">
        <f aca="false">AI131+AI133</f>
        <v>-34.953</v>
      </c>
      <c r="AJ149" s="32" t="n">
        <f aca="false">AJ131+AJ133</f>
        <v>-31.611</v>
      </c>
      <c r="AK149" s="32" t="n">
        <f aca="false">AK131+AK133</f>
        <v>-48.342</v>
      </c>
      <c r="AL149" s="32" t="n">
        <f aca="false">AL131+AL133</f>
        <v>-65.168</v>
      </c>
      <c r="AM149" s="32" t="n">
        <f aca="false">AM131+AM133</f>
        <v>-85.548</v>
      </c>
      <c r="AN149" s="32" t="n">
        <f aca="false">AN131+AN133</f>
        <v>-102.401</v>
      </c>
      <c r="AO149" s="32" t="n">
        <f aca="false">AO131+AO133</f>
        <v>-122.465</v>
      </c>
      <c r="AP149" s="32" t="n">
        <f aca="false">AP131+AP133</f>
        <v>-78.635</v>
      </c>
      <c r="AQ149" s="29"/>
      <c r="AR149" s="29"/>
      <c r="AS149" s="29"/>
      <c r="AT149" s="29"/>
      <c r="AU149" s="29"/>
      <c r="AV149" s="29"/>
      <c r="AW149" s="29"/>
    </row>
    <row r="150" customFormat="false" ht="14.25" hidden="false" customHeight="true" outlineLevel="0" collapsed="false">
      <c r="B150" s="36" t="s">
        <v>145</v>
      </c>
      <c r="G150" s="37" t="n">
        <f aca="true">OFFSET(R150,0,MATCH($G$2,$R$3:$AW$3,0)-1)*4</f>
        <v>264.656</v>
      </c>
      <c r="H150" s="38" t="n">
        <f aca="true">SUM(OFFSET(R150,0,MATCH($G$2,$R$3:$AW$3,0)-4),OFFSET(R150,0,MATCH($G$2,$R$3:$AW$3,0)-3),OFFSET(R150,0,MATCH($G$2,$R$3:$AW$3,0)-2),OFFSET(R150,0,MATCH($G$2,$R$3:$AW$3,0)-1))</f>
        <v>308.522</v>
      </c>
      <c r="J150" s="39" t="n">
        <f aca="false">SUM(J147:J149)</f>
        <v>139.302</v>
      </c>
      <c r="K150" s="39" t="n">
        <f aca="false">SUM(K147:K149)</f>
        <v>377.072</v>
      </c>
      <c r="L150" s="39" t="n">
        <f aca="false">SUM(L147:L149)</f>
        <v>362.786</v>
      </c>
      <c r="M150" s="39" t="n">
        <f aca="false">SUM(M147:M149)</f>
        <v>315.781</v>
      </c>
      <c r="N150" s="39" t="n">
        <f aca="false">SUM(N147:N149)</f>
        <v>201.243</v>
      </c>
      <c r="O150" s="39" t="n">
        <f aca="false">SUM(O147:O149)</f>
        <v>213.963</v>
      </c>
      <c r="R150" s="39" t="n">
        <f aca="false">SUM(R147:R149)</f>
        <v>-10.046</v>
      </c>
      <c r="S150" s="39" t="n">
        <f aca="false">SUM(S147:S149)</f>
        <v>36.098</v>
      </c>
      <c r="T150" s="39" t="n">
        <f aca="false">SUM(T147:T149)</f>
        <v>42.306</v>
      </c>
      <c r="U150" s="39" t="n">
        <f aca="false">SUM(U147:U149)</f>
        <v>30.172</v>
      </c>
      <c r="V150" s="39" t="n">
        <f aca="false">SUM(V147:V149)</f>
        <v>-9.216</v>
      </c>
      <c r="W150" s="39" t="n">
        <f aca="false">SUM(W147:W149)</f>
        <v>93.509</v>
      </c>
      <c r="X150" s="39" t="n">
        <f aca="false">SUM(X147:X149)</f>
        <v>153.728</v>
      </c>
      <c r="Y150" s="39" t="n">
        <f aca="false">SUM(Y147:Y149)</f>
        <v>83.285</v>
      </c>
      <c r="Z150" s="39" t="n">
        <f aca="false">SUM(Z147:Z149)</f>
        <v>26.2720000000001</v>
      </c>
      <c r="AA150" s="39" t="n">
        <f aca="false">SUM(AA147:AA149)</f>
        <v>127.957</v>
      </c>
      <c r="AB150" s="39" t="n">
        <f aca="false">SUM(AB147:AB149)</f>
        <v>82.701</v>
      </c>
      <c r="AC150" s="39" t="n">
        <f aca="false">SUM(AC147:AC149)</f>
        <v>77.135</v>
      </c>
      <c r="AD150" s="39" t="n">
        <f aca="false">SUM(AD147:AD149)</f>
        <v>93.26</v>
      </c>
      <c r="AE150" s="39" t="n">
        <f aca="false">SUM(AE147:AE149)</f>
        <v>82.92</v>
      </c>
      <c r="AF150" s="39" t="n">
        <f aca="false">SUM(AF147:AF149)</f>
        <v>71.377</v>
      </c>
      <c r="AG150" s="39" t="n">
        <f aca="false">SUM(AG147:AG149)</f>
        <v>27.346</v>
      </c>
      <c r="AH150" s="39" t="n">
        <f aca="false">SUM(AH147:AH149)</f>
        <v>29.449</v>
      </c>
      <c r="AI150" s="39" t="n">
        <f aca="false">SUM(AI147:AI149)</f>
        <v>30.608</v>
      </c>
      <c r="AJ150" s="39" t="n">
        <f aca="false">SUM(AJ147:AJ149)</f>
        <v>53.523</v>
      </c>
      <c r="AK150" s="39" t="n">
        <f aca="false">SUM(AK147:AK149)</f>
        <v>87.663</v>
      </c>
      <c r="AL150" s="39" t="n">
        <f aca="false">SUM(AL147:AL149)</f>
        <v>-28.395</v>
      </c>
      <c r="AM150" s="39" t="n">
        <f aca="false">SUM(AM147:AM149)</f>
        <v>130.181</v>
      </c>
      <c r="AN150" s="39" t="n">
        <f aca="false">SUM(AN147:AN149)</f>
        <v>14.5999999999999</v>
      </c>
      <c r="AO150" s="39" t="n">
        <f aca="false">SUM(AO147:AO149)</f>
        <v>97.577</v>
      </c>
      <c r="AP150" s="39" t="n">
        <f aca="false">SUM(AP147:AP149)</f>
        <v>66.164</v>
      </c>
    </row>
    <row r="151" customFormat="false" ht="14.25" hidden="false" customHeight="false" outlineLevel="0" collapsed="false"/>
    <row r="152" customFormat="false" ht="14.25" hidden="false" customHeight="false" outlineLevel="0" collapsed="false"/>
    <row r="153" customFormat="false" ht="14.25" hidden="false" customHeight="false" outlineLevel="0" collapsed="false"/>
    <row r="154" customFormat="false" ht="14.25" hidden="false" customHeight="false" outlineLevel="0" collapsed="false"/>
    <row r="155" customFormat="false" ht="14.25" hidden="false" customHeight="false" outlineLevel="0" collapsed="false"/>
    <row r="156" customFormat="false" ht="14.25" hidden="false" customHeight="false" outlineLevel="0" collapsed="false"/>
    <row r="157" customFormat="false" ht="14.25" hidden="false" customHeight="true" outlineLevel="0" collapsed="false">
      <c r="AP157" s="99" t="n">
        <v>43575</v>
      </c>
      <c r="AQ157" s="100" t="n">
        <v>43.575</v>
      </c>
    </row>
    <row r="158" customFormat="false" ht="14.25" hidden="false" customHeight="true" outlineLevel="0" collapsed="false">
      <c r="AP158" s="100" t="n">
        <v>3</v>
      </c>
      <c r="AQ158" s="100" t="n">
        <v>-0.003</v>
      </c>
    </row>
    <row r="159" customFormat="false" ht="14.25" hidden="false" customHeight="true" outlineLevel="0" collapsed="false">
      <c r="AP159" s="99" t="n">
        <v>1509</v>
      </c>
      <c r="AQ159" s="100" t="n">
        <v>1.509</v>
      </c>
    </row>
    <row r="160" customFormat="false" ht="14.25" hidden="false" customHeight="true" outlineLevel="0" collapsed="false">
      <c r="AP160" s="99" t="n">
        <v>5284</v>
      </c>
      <c r="AQ160" s="100" t="n">
        <v>-5.284</v>
      </c>
    </row>
    <row r="161" customFormat="false" ht="14.25" hidden="false" customHeight="true" outlineLevel="0" collapsed="false">
      <c r="AP161" s="99" t="n">
        <v>41787</v>
      </c>
      <c r="AQ161" s="100" t="n">
        <v>-41.787</v>
      </c>
    </row>
    <row r="162" customFormat="false" ht="14.25" hidden="false" customHeight="true" outlineLevel="0" collapsed="false">
      <c r="AP162" s="100" t="n">
        <v>24</v>
      </c>
      <c r="AQ162" s="100" t="n">
        <v>-0.024</v>
      </c>
    </row>
    <row r="163" customFormat="false" ht="14.25" hidden="false" customHeight="false" outlineLevel="0" collapsed="false"/>
    <row r="164" customFormat="false" ht="14.25" hidden="false" customHeight="false" outlineLevel="0" collapsed="false"/>
    <row r="165" customFormat="false" ht="14.25" hidden="false" customHeight="false" outlineLevel="0" collapsed="false"/>
    <row r="166" customFormat="false" ht="14.25" hidden="false" customHeight="false" outlineLevel="0" collapsed="false"/>
    <row r="167" customFormat="false" ht="14.25" hidden="false" customHeight="false" outlineLevel="0" collapsed="false"/>
    <row r="168" customFormat="false" ht="14.25" hidden="false" customHeight="true" outlineLevel="0" collapsed="false">
      <c r="AP168" s="1" t="s">
        <v>146</v>
      </c>
    </row>
  </sheetData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3" min="1" style="1" width="2.73"/>
    <col collapsed="false" customWidth="true" hidden="false" outlineLevel="0" max="4" min="4" style="1" width="13.73"/>
    <col collapsed="false" customWidth="true" hidden="false" outlineLevel="0" max="17" min="5" style="1" width="11.73"/>
    <col collapsed="false" customWidth="true" hidden="false" outlineLevel="0" max="22" min="18" style="1" width="13.73"/>
  </cols>
  <sheetData>
    <row r="1" customFormat="false" ht="14.25" hidden="false" customHeight="false" outlineLevel="0" collapsed="false"/>
    <row r="2" customFormat="false" ht="14.25" hidden="false" customHeight="true" outlineLevel="0" collapsed="false">
      <c r="A2" s="1" t="s">
        <v>38</v>
      </c>
      <c r="B2" s="101" t="s">
        <v>147</v>
      </c>
      <c r="K2" s="102" t="n">
        <v>1</v>
      </c>
      <c r="L2" s="75" t="n">
        <f aca="false">K2+1</f>
        <v>2</v>
      </c>
      <c r="M2" s="75" t="n">
        <f aca="false">L2+1</f>
        <v>3</v>
      </c>
      <c r="N2" s="75" t="n">
        <f aca="false">M2+1</f>
        <v>4</v>
      </c>
      <c r="O2" s="75" t="n">
        <f aca="false">N2+1</f>
        <v>5</v>
      </c>
      <c r="P2" s="75" t="n">
        <f aca="false">O2+1</f>
        <v>6</v>
      </c>
      <c r="Q2" s="75" t="n">
        <f aca="false">P2+1</f>
        <v>7</v>
      </c>
      <c r="R2" s="75" t="n">
        <f aca="false">Q2+1</f>
        <v>8</v>
      </c>
    </row>
    <row r="3" customFormat="false" ht="14.25" hidden="false" customHeight="true" outlineLevel="0" collapsed="false">
      <c r="E3" s="11" t="n">
        <v>2018</v>
      </c>
      <c r="F3" s="12" t="n">
        <f aca="false">E3+1</f>
        <v>2019</v>
      </c>
      <c r="G3" s="12" t="n">
        <f aca="false">F3+1</f>
        <v>2020</v>
      </c>
      <c r="H3" s="12" t="n">
        <f aca="false">G3+1</f>
        <v>2021</v>
      </c>
      <c r="I3" s="12" t="n">
        <f aca="false">H3+1</f>
        <v>2022</v>
      </c>
      <c r="J3" s="12" t="n">
        <f aca="false">I3+1</f>
        <v>2023</v>
      </c>
      <c r="K3" s="12" t="n">
        <f aca="false">J3+1</f>
        <v>2024</v>
      </c>
      <c r="L3" s="12" t="n">
        <f aca="false">K3+1</f>
        <v>2025</v>
      </c>
      <c r="M3" s="12" t="n">
        <f aca="false">L3+1</f>
        <v>2026</v>
      </c>
      <c r="N3" s="12" t="n">
        <f aca="false">M3+1</f>
        <v>2027</v>
      </c>
      <c r="O3" s="12" t="n">
        <f aca="false">N3+1</f>
        <v>2028</v>
      </c>
      <c r="P3" s="12" t="n">
        <f aca="false">O3+1</f>
        <v>2029</v>
      </c>
      <c r="Q3" s="12" t="n">
        <f aca="false">P3+1</f>
        <v>2030</v>
      </c>
      <c r="R3" s="13" t="s">
        <v>148</v>
      </c>
      <c r="S3" s="103"/>
    </row>
    <row r="4" customFormat="false" ht="14.25" hidden="false" customHeight="true" outlineLevel="0" collapsed="false">
      <c r="B4" s="1" t="s">
        <v>149</v>
      </c>
      <c r="E4" s="104" t="n">
        <f aca="false">'Model Shell'!J112</f>
        <v>14501</v>
      </c>
      <c r="F4" s="104" t="n">
        <f aca="false">'Model Shell'!K112</f>
        <v>14611</v>
      </c>
      <c r="G4" s="104" t="n">
        <f aca="false">'Model Shell'!L112</f>
        <v>13006</v>
      </c>
      <c r="H4" s="104" t="n">
        <f aca="false">'Model Shell'!M112</f>
        <v>13696</v>
      </c>
      <c r="I4" s="104" t="n">
        <f aca="false">'Model Shell'!N112</f>
        <v>13775</v>
      </c>
      <c r="J4" s="104" t="n">
        <f aca="false">'Model Shell'!O112</f>
        <v>13571</v>
      </c>
      <c r="K4" s="25" t="n">
        <f aca="false">J4*(1+K5)</f>
        <v>13842.42</v>
      </c>
      <c r="L4" s="25" t="n">
        <f aca="false">K4*(1+L5)</f>
        <v>14119.2684</v>
      </c>
      <c r="M4" s="25" t="n">
        <f aca="false">L4*(1+M5)</f>
        <v>14401.653768</v>
      </c>
      <c r="N4" s="25" t="n">
        <f aca="false">M4*(1+N5)</f>
        <v>14689.68684336</v>
      </c>
      <c r="O4" s="25" t="n">
        <f aca="false">N4*(1+O5)</f>
        <v>14983.4805802272</v>
      </c>
      <c r="P4" s="25" t="n">
        <f aca="false">O4*(1+P5)</f>
        <v>15283.1501918317</v>
      </c>
      <c r="Q4" s="25" t="n">
        <f aca="false">P4*(1+Q5)</f>
        <v>15588.8131956684</v>
      </c>
      <c r="R4" s="25" t="n">
        <f aca="false">Q4</f>
        <v>15588.8131956684</v>
      </c>
    </row>
    <row r="5" customFormat="false" ht="14.25" hidden="false" customHeight="true" outlineLevel="0" collapsed="false">
      <c r="C5" s="4" t="s">
        <v>150</v>
      </c>
      <c r="F5" s="43" t="n">
        <f aca="false">F4/E4-1</f>
        <v>0.00758568374594848</v>
      </c>
      <c r="G5" s="43" t="n">
        <f aca="false">G4/F4-1</f>
        <v>-0.109848744096913</v>
      </c>
      <c r="H5" s="43" t="n">
        <f aca="false">H4/G4-1</f>
        <v>0.0530524373366139</v>
      </c>
      <c r="I5" s="43" t="n">
        <f aca="false">I4/H4-1</f>
        <v>0.00576810747663559</v>
      </c>
      <c r="J5" s="43" t="n">
        <f aca="false">J4/I4-1</f>
        <v>-0.0148094373865699</v>
      </c>
      <c r="K5" s="105" t="n">
        <v>0.02</v>
      </c>
      <c r="L5" s="105" t="n">
        <v>0.02</v>
      </c>
      <c r="M5" s="105" t="n">
        <v>0.02</v>
      </c>
      <c r="N5" s="105" t="n">
        <v>0.02</v>
      </c>
      <c r="O5" s="105" t="n">
        <v>0.02</v>
      </c>
      <c r="P5" s="105" t="n">
        <v>0.02</v>
      </c>
      <c r="Q5" s="105" t="n">
        <v>0.02</v>
      </c>
    </row>
    <row r="6" customFormat="false" ht="14.25" hidden="false" customHeight="true" outlineLevel="0" collapsed="false">
      <c r="B6" s="1" t="s">
        <v>151</v>
      </c>
      <c r="E6" s="106" t="n">
        <f aca="false">'Model Shell'!J113</f>
        <v>7.70838562857734</v>
      </c>
      <c r="F6" s="106" t="n">
        <f aca="false">'Model Shell'!K113</f>
        <v>8.3688180138252</v>
      </c>
      <c r="G6" s="106" t="n">
        <f aca="false">'Model Shell'!L113</f>
        <v>8.42798708288482</v>
      </c>
      <c r="H6" s="106" t="n">
        <f aca="false">'Model Shell'!M113</f>
        <v>7.33694509345794</v>
      </c>
      <c r="I6" s="106" t="n">
        <f aca="false">'Model Shell'!N113</f>
        <v>9.27899818511797</v>
      </c>
      <c r="J6" s="106" t="n">
        <f aca="false">'Model Shell'!O113</f>
        <v>10.4401812688822</v>
      </c>
      <c r="K6" s="25" t="n">
        <f aca="false">J6*(1+K7)</f>
        <v>11.1709939577039</v>
      </c>
      <c r="L6" s="25" t="n">
        <f aca="false">K6*(1+L7)</f>
        <v>11.9529635347432</v>
      </c>
      <c r="M6" s="25" t="n">
        <f aca="false">L6*(1+M7)</f>
        <v>12.5506117114804</v>
      </c>
      <c r="N6" s="25" t="n">
        <f aca="false">M6*(1+N7)</f>
        <v>13.0526361799396</v>
      </c>
      <c r="O6" s="25" t="n">
        <f aca="false">N6*(1+O7)</f>
        <v>13.4442152653378</v>
      </c>
      <c r="P6" s="25" t="n">
        <f aca="false">O6*(1+P7)</f>
        <v>13.4442152653378</v>
      </c>
      <c r="Q6" s="25" t="n">
        <f aca="false">P6*(1+Q7)</f>
        <v>13.4442152653378</v>
      </c>
      <c r="R6" s="25" t="n">
        <f aca="false">Q6</f>
        <v>13.4442152653378</v>
      </c>
    </row>
    <row r="7" customFormat="false" ht="14.25" hidden="false" customHeight="true" outlineLevel="0" collapsed="false">
      <c r="B7" s="29"/>
      <c r="C7" s="48" t="s">
        <v>150</v>
      </c>
      <c r="D7" s="29"/>
      <c r="E7" s="29"/>
      <c r="F7" s="107" t="n">
        <f aca="false">F6/E6-1</f>
        <v>0.0856771335880548</v>
      </c>
      <c r="G7" s="107" t="n">
        <f aca="false">G6/F6-1</f>
        <v>0.00707018230792866</v>
      </c>
      <c r="H7" s="107" t="n">
        <f aca="false">H6/G6-1</f>
        <v>-0.129454634742205</v>
      </c>
      <c r="I7" s="107" t="n">
        <f aca="false">I6/H6-1</f>
        <v>0.264695055901628</v>
      </c>
      <c r="J7" s="107" t="n">
        <f aca="false">J6/I6-1</f>
        <v>0.125140996969539</v>
      </c>
      <c r="K7" s="108" t="n">
        <v>0.07</v>
      </c>
      <c r="L7" s="108" t="n">
        <v>0.07</v>
      </c>
      <c r="M7" s="108" t="n">
        <v>0.05</v>
      </c>
      <c r="N7" s="108" t="n">
        <v>0.04</v>
      </c>
      <c r="O7" s="108" t="n">
        <v>0.03</v>
      </c>
      <c r="P7" s="108" t="n">
        <v>0</v>
      </c>
      <c r="Q7" s="108" t="n">
        <v>0</v>
      </c>
      <c r="R7" s="29"/>
    </row>
    <row r="8" customFormat="false" ht="14.25" hidden="false" customHeight="true" outlineLevel="0" collapsed="false">
      <c r="B8" s="36" t="s">
        <v>152</v>
      </c>
      <c r="E8" s="39" t="n">
        <f aca="false">E6*E4/100</f>
        <v>1117.793</v>
      </c>
      <c r="F8" s="39" t="n">
        <f aca="false">F6*F4/100</f>
        <v>1222.768</v>
      </c>
      <c r="G8" s="39" t="n">
        <f aca="false">G6*G4/100</f>
        <v>1096.144</v>
      </c>
      <c r="H8" s="39" t="n">
        <f aca="false">H6*H4/100</f>
        <v>1004.868</v>
      </c>
      <c r="I8" s="39" t="n">
        <f aca="false">I6*I4/100</f>
        <v>1278.182</v>
      </c>
      <c r="J8" s="39" t="n">
        <f aca="false">J6*J4/100</f>
        <v>1416.837</v>
      </c>
      <c r="K8" s="39" t="n">
        <f aca="false">K6*K4/100</f>
        <v>1546.3359018</v>
      </c>
      <c r="L8" s="39" t="n">
        <f aca="false">L6*L4/100</f>
        <v>1687.67100322452</v>
      </c>
      <c r="M8" s="39" t="n">
        <f aca="false">M6*M4/100</f>
        <v>1807.49564445346</v>
      </c>
      <c r="N8" s="39" t="n">
        <f aca="false">N6*N4/100</f>
        <v>1917.39137963623</v>
      </c>
      <c r="O8" s="39" t="n">
        <f aca="false">O6*O4/100</f>
        <v>2014.41138344583</v>
      </c>
      <c r="P8" s="39" t="n">
        <f aca="false">P6*P4/100</f>
        <v>2054.69961111474</v>
      </c>
      <c r="Q8" s="39" t="n">
        <f aca="false">Q6*Q4/100</f>
        <v>2095.79360333704</v>
      </c>
      <c r="R8" s="39" t="n">
        <f aca="false">R6*R4/100</f>
        <v>2095.79360333704</v>
      </c>
    </row>
    <row r="9" customFormat="false" ht="14.25" hidden="false" customHeight="true" outlineLevel="0" collapsed="false">
      <c r="F9" s="43" t="n">
        <f aca="false">F8/E8-1</f>
        <v>0.0939127369736617</v>
      </c>
      <c r="G9" s="43" t="n">
        <f aca="false">G8/F8-1</f>
        <v>-0.103555212436047</v>
      </c>
      <c r="H9" s="43" t="n">
        <f aca="false">H8/G8-1</f>
        <v>-0.0832700813031865</v>
      </c>
      <c r="I9" s="43" t="n">
        <f aca="false">I8/H8-1</f>
        <v>0.271989952909238</v>
      </c>
      <c r="J9" s="43" t="n">
        <f aca="false">J8/I8-1</f>
        <v>0.108478291823856</v>
      </c>
      <c r="K9" s="43" t="n">
        <f aca="false">K8/J8-1</f>
        <v>0.0914000000000002</v>
      </c>
      <c r="L9" s="43" t="n">
        <f aca="false">L8/K8-1</f>
        <v>0.0914000000000002</v>
      </c>
      <c r="M9" s="43" t="n">
        <f aca="false">M8/L8-1</f>
        <v>0.071</v>
      </c>
      <c r="N9" s="43" t="n">
        <f aca="false">N8/M8-1</f>
        <v>0.0608000000000002</v>
      </c>
      <c r="O9" s="43" t="n">
        <f aca="false">O8/N8-1</f>
        <v>0.0506000000000002</v>
      </c>
      <c r="P9" s="43" t="n">
        <f aca="false">P8/O8-1</f>
        <v>0.02</v>
      </c>
      <c r="Q9" s="43" t="n">
        <f aca="false">Q8/P8-1</f>
        <v>0.02</v>
      </c>
      <c r="R9" s="43" t="n">
        <f aca="false">R8/Q8-1</f>
        <v>0</v>
      </c>
    </row>
    <row r="10" customFormat="false" ht="14.25" hidden="false" customHeight="true" outlineLevel="0" collapsed="false">
      <c r="B10" s="36" t="s">
        <v>153</v>
      </c>
      <c r="C10" s="36"/>
      <c r="D10" s="36"/>
      <c r="E10" s="109" t="n">
        <f aca="false">'Model Shell'!J115</f>
        <v>365.35</v>
      </c>
      <c r="F10" s="109" t="n">
        <f aca="false">'Model Shell'!K115</f>
        <v>364.314</v>
      </c>
      <c r="G10" s="109" t="n">
        <f aca="false">'Model Shell'!L115</f>
        <v>308.121</v>
      </c>
      <c r="H10" s="109" t="n">
        <f aca="false">'Model Shell'!M115</f>
        <v>318.05</v>
      </c>
      <c r="I10" s="109" t="n">
        <f aca="false">'Model Shell'!N115</f>
        <v>338.785</v>
      </c>
      <c r="J10" s="109" t="n">
        <f aca="false">'Model Shell'!O115</f>
        <v>305.1</v>
      </c>
      <c r="K10" s="39" t="n">
        <f aca="false">J10*(1+K11)</f>
        <v>317.304</v>
      </c>
      <c r="L10" s="39" t="n">
        <f aca="false">K10*(1+L11)</f>
        <v>317.304</v>
      </c>
      <c r="M10" s="39" t="n">
        <f aca="false">L10*(1+M11)</f>
        <v>317.304</v>
      </c>
      <c r="N10" s="39" t="n">
        <f aca="false">M10*(1+N11)</f>
        <v>317.304</v>
      </c>
      <c r="O10" s="39" t="n">
        <f aca="false">N10*(1+O11)</f>
        <v>317.304</v>
      </c>
      <c r="P10" s="39" t="n">
        <f aca="false">O10*(1+P11)</f>
        <v>317.304</v>
      </c>
      <c r="Q10" s="39" t="n">
        <f aca="false">P10*(1+Q11)</f>
        <v>317.304</v>
      </c>
      <c r="R10" s="39" t="n">
        <f aca="false">350</f>
        <v>350</v>
      </c>
    </row>
    <row r="11" customFormat="false" ht="14.25" hidden="false" customHeight="true" outlineLevel="0" collapsed="false">
      <c r="C11" s="48" t="s">
        <v>150</v>
      </c>
      <c r="D11" s="29"/>
      <c r="E11" s="29"/>
      <c r="F11" s="107" t="n">
        <f aca="false">F10/E10-1</f>
        <v>-0.00283563706035328</v>
      </c>
      <c r="G11" s="107" t="n">
        <f aca="false">G10/F10-1</f>
        <v>-0.154243317577694</v>
      </c>
      <c r="H11" s="107" t="n">
        <f aca="false">H10/G10-1</f>
        <v>0.0322243534195992</v>
      </c>
      <c r="I11" s="107" t="n">
        <f aca="false">I10/H10-1</f>
        <v>0.0651941518629142</v>
      </c>
      <c r="J11" s="107" t="n">
        <f aca="false">J10/I10-1</f>
        <v>-0.0994288413005303</v>
      </c>
      <c r="K11" s="108" t="n">
        <v>0.04</v>
      </c>
      <c r="L11" s="108" t="n">
        <v>0</v>
      </c>
      <c r="M11" s="108" t="n">
        <v>0</v>
      </c>
      <c r="N11" s="108" t="n">
        <v>0</v>
      </c>
      <c r="O11" s="108" t="n">
        <v>0</v>
      </c>
      <c r="P11" s="108" t="n">
        <v>0</v>
      </c>
      <c r="Q11" s="108" t="n">
        <v>0</v>
      </c>
      <c r="R11" s="107" t="n">
        <f aca="false">R10/Q10-1</f>
        <v>0.103043138441369</v>
      </c>
    </row>
    <row r="12" customFormat="false" ht="14.25" hidden="false" customHeight="true" outlineLevel="0" collapsed="false">
      <c r="B12" s="36" t="s">
        <v>154</v>
      </c>
      <c r="E12" s="39" t="n">
        <f aca="false">E10+E8</f>
        <v>1483.143</v>
      </c>
      <c r="F12" s="39" t="n">
        <f aca="false">F10+F8</f>
        <v>1587.082</v>
      </c>
      <c r="G12" s="39" t="n">
        <f aca="false">G10+G8</f>
        <v>1404.265</v>
      </c>
      <c r="H12" s="39" t="n">
        <f aca="false">H10+H8</f>
        <v>1322.918</v>
      </c>
      <c r="I12" s="39" t="n">
        <f aca="false">I10+I8</f>
        <v>1616.967</v>
      </c>
      <c r="J12" s="39" t="n">
        <f aca="false">J10+J8</f>
        <v>1721.937</v>
      </c>
      <c r="K12" s="39" t="n">
        <f aca="false">K10+K8</f>
        <v>1863.6399018</v>
      </c>
      <c r="L12" s="39" t="n">
        <f aca="false">L10+L8</f>
        <v>2004.97500322452</v>
      </c>
      <c r="M12" s="39" t="n">
        <f aca="false">M10+M8</f>
        <v>2124.79964445346</v>
      </c>
      <c r="N12" s="39" t="n">
        <f aca="false">N10+N8</f>
        <v>2234.69537963623</v>
      </c>
      <c r="O12" s="39" t="n">
        <f aca="false">O10+O8</f>
        <v>2331.71538344583</v>
      </c>
      <c r="P12" s="39" t="n">
        <f aca="false">P10+P8</f>
        <v>2372.00361111474</v>
      </c>
      <c r="Q12" s="39" t="n">
        <f aca="false">Q10+Q8</f>
        <v>2413.09760333704</v>
      </c>
      <c r="R12" s="39" t="n">
        <f aca="false">R10+R8</f>
        <v>2445.79360333704</v>
      </c>
    </row>
    <row r="13" customFormat="false" ht="14.25" hidden="false" customHeight="false" outlineLevel="0" collapsed="false"/>
    <row r="14" customFormat="false" ht="14.25" hidden="false" customHeight="true" outlineLevel="0" collapsed="false">
      <c r="B14" s="36" t="s">
        <v>155</v>
      </c>
      <c r="E14" s="39" t="n">
        <f aca="false">E12*E15</f>
        <v>147.416</v>
      </c>
      <c r="F14" s="39" t="n">
        <f aca="false">F12*F15</f>
        <v>215.842</v>
      </c>
      <c r="G14" s="39" t="n">
        <f aca="false">G12*G15</f>
        <v>163.656</v>
      </c>
      <c r="H14" s="39" t="n">
        <f aca="false">H12*H15</f>
        <v>63.015</v>
      </c>
      <c r="I14" s="39" t="n">
        <f aca="false">I12*I15</f>
        <v>136.184</v>
      </c>
      <c r="J14" s="39" t="n">
        <f aca="false">J12*J15</f>
        <v>238.94</v>
      </c>
      <c r="K14" s="39" t="n">
        <f aca="false">K12*K15</f>
        <v>316.818783306</v>
      </c>
      <c r="L14" s="39" t="n">
        <f aca="false">L12*L15</f>
        <v>360.895500580414</v>
      </c>
      <c r="M14" s="39" t="n">
        <f aca="false">M12*M15</f>
        <v>403.711932446158</v>
      </c>
      <c r="N14" s="39" t="n">
        <f aca="false">N12*N15</f>
        <v>446.939075927246</v>
      </c>
      <c r="O14" s="39" t="n">
        <f aca="false">O12*O15</f>
        <v>466.343076689165</v>
      </c>
      <c r="P14" s="39" t="n">
        <f aca="false">P12*P15</f>
        <v>474.400722222949</v>
      </c>
      <c r="Q14" s="39" t="n">
        <f aca="false">Q12*Q15</f>
        <v>482.619520667407</v>
      </c>
      <c r="R14" s="39" t="n">
        <f aca="false">R12*R15</f>
        <v>317.953168433815</v>
      </c>
    </row>
    <row r="15" customFormat="false" ht="14.25" hidden="false" customHeight="true" outlineLevel="0" collapsed="false">
      <c r="C15" s="4" t="s">
        <v>156</v>
      </c>
      <c r="E15" s="110" t="n">
        <f aca="false">'Model Shell'!J96/'Model Shell'!J91</f>
        <v>0.0993943267776608</v>
      </c>
      <c r="F15" s="110" t="n">
        <f aca="false">'Model Shell'!K96/'Model Shell'!K91</f>
        <v>0.135999274139585</v>
      </c>
      <c r="G15" s="110" t="n">
        <f aca="false">'Model Shell'!L96/'Model Shell'!L91</f>
        <v>0.116542105656696</v>
      </c>
      <c r="H15" s="110" t="n">
        <f aca="false">'Model Shell'!M96/'Model Shell'!M91</f>
        <v>0.0476333378183682</v>
      </c>
      <c r="I15" s="110" t="n">
        <f aca="false">'Model Shell'!N96/'Model Shell'!N91</f>
        <v>0.0842218796054589</v>
      </c>
      <c r="J15" s="110" t="n">
        <f aca="false">'Model Shell'!O96/'Model Shell'!O91</f>
        <v>0.138762335671979</v>
      </c>
      <c r="K15" s="105" t="n">
        <v>0.17</v>
      </c>
      <c r="L15" s="105" t="n">
        <v>0.18</v>
      </c>
      <c r="M15" s="105" t="n">
        <v>0.19</v>
      </c>
      <c r="N15" s="105" t="n">
        <v>0.2</v>
      </c>
      <c r="O15" s="105" t="n">
        <v>0.2</v>
      </c>
      <c r="P15" s="105" t="n">
        <v>0.2</v>
      </c>
      <c r="Q15" s="105" t="n">
        <v>0.2</v>
      </c>
      <c r="R15" s="105" t="n">
        <v>0.13</v>
      </c>
    </row>
    <row r="16" customFormat="false" ht="14.25" hidden="false" customHeight="true" outlineLevel="0" collapsed="false">
      <c r="B16" s="1" t="s">
        <v>53</v>
      </c>
      <c r="E16" s="104" t="n">
        <f aca="false">'Model Shell'!J97</f>
        <v>182.307</v>
      </c>
      <c r="F16" s="104" t="n">
        <f aca="false">'Model Shell'!K97</f>
        <v>179.742</v>
      </c>
      <c r="G16" s="104" t="n">
        <f aca="false">'Model Shell'!L97</f>
        <v>186.798</v>
      </c>
      <c r="H16" s="104" t="n">
        <f aca="false">'Model Shell'!M97</f>
        <v>185.979</v>
      </c>
      <c r="I16" s="104" t="n">
        <f aca="false">'Model Shell'!N97</f>
        <v>177.551</v>
      </c>
      <c r="J16" s="104" t="n">
        <f aca="false">'Model Shell'!O97</f>
        <v>184.225</v>
      </c>
      <c r="K16" s="25" t="n">
        <f aca="false">J16+K17</f>
        <v>194.225</v>
      </c>
      <c r="L16" s="25" t="n">
        <f aca="false">K16+L17</f>
        <v>204.225</v>
      </c>
      <c r="M16" s="25" t="n">
        <f aca="false">L16+M17</f>
        <v>214.225</v>
      </c>
      <c r="N16" s="25" t="n">
        <f aca="false">M16+N17</f>
        <v>224.225</v>
      </c>
      <c r="O16" s="25" t="n">
        <f aca="false">N16+O17</f>
        <v>234.225</v>
      </c>
      <c r="P16" s="25" t="n">
        <f aca="false">O16+P17</f>
        <v>244.225</v>
      </c>
      <c r="Q16" s="25" t="n">
        <f aca="false">P16+Q17</f>
        <v>254.225</v>
      </c>
      <c r="R16" s="25" t="n">
        <f aca="false">Q16</f>
        <v>254.225</v>
      </c>
      <c r="S16" s="103"/>
    </row>
    <row r="17" customFormat="false" ht="14.25" hidden="false" customHeight="true" outlineLevel="0" collapsed="false">
      <c r="B17" s="29"/>
      <c r="C17" s="48" t="s">
        <v>157</v>
      </c>
      <c r="D17" s="29"/>
      <c r="E17" s="29"/>
      <c r="F17" s="111" t="n">
        <f aca="false">F16-E16</f>
        <v>-2.565</v>
      </c>
      <c r="G17" s="111" t="n">
        <f aca="false">G16-F16</f>
        <v>7.05600000000001</v>
      </c>
      <c r="H17" s="111" t="n">
        <f aca="false">H16-G16</f>
        <v>-0.819000000000017</v>
      </c>
      <c r="I17" s="111" t="n">
        <f aca="false">I16-H16</f>
        <v>-8.428</v>
      </c>
      <c r="J17" s="111" t="n">
        <f aca="false">J16-I16</f>
        <v>6.67400000000004</v>
      </c>
      <c r="K17" s="112" t="n">
        <v>10</v>
      </c>
      <c r="L17" s="112" t="n">
        <v>10</v>
      </c>
      <c r="M17" s="112" t="n">
        <v>10</v>
      </c>
      <c r="N17" s="112" t="n">
        <v>10</v>
      </c>
      <c r="O17" s="112" t="n">
        <v>10</v>
      </c>
      <c r="P17" s="112" t="n">
        <v>10</v>
      </c>
      <c r="Q17" s="112" t="n">
        <v>10</v>
      </c>
      <c r="R17" s="113"/>
    </row>
    <row r="18" customFormat="false" ht="14.25" hidden="false" customHeight="true" outlineLevel="0" collapsed="false">
      <c r="B18" s="36" t="s">
        <v>158</v>
      </c>
      <c r="E18" s="39" t="n">
        <f aca="false">E16+E14</f>
        <v>329.723</v>
      </c>
      <c r="F18" s="39" t="n">
        <f aca="false">F16+F14</f>
        <v>395.584</v>
      </c>
      <c r="G18" s="39" t="n">
        <f aca="false">G16+G14</f>
        <v>350.454</v>
      </c>
      <c r="H18" s="39" t="n">
        <f aca="false">H16+H14</f>
        <v>248.994</v>
      </c>
      <c r="I18" s="39" t="n">
        <f aca="false">I16+I14</f>
        <v>313.735</v>
      </c>
      <c r="J18" s="39" t="n">
        <f aca="false">J16+J14</f>
        <v>423.165</v>
      </c>
      <c r="K18" s="39" t="n">
        <f aca="false">K16+K14</f>
        <v>511.043783306</v>
      </c>
      <c r="L18" s="39" t="n">
        <f aca="false">L16+L14</f>
        <v>565.120500580414</v>
      </c>
      <c r="M18" s="39" t="n">
        <f aca="false">M16+M14</f>
        <v>617.936932446158</v>
      </c>
      <c r="N18" s="39" t="n">
        <f aca="false">N16+N14</f>
        <v>671.164075927247</v>
      </c>
      <c r="O18" s="39" t="n">
        <f aca="false">O16+O14</f>
        <v>700.568076689165</v>
      </c>
      <c r="P18" s="39" t="n">
        <f aca="false">P16+P14</f>
        <v>718.625722222949</v>
      </c>
      <c r="Q18" s="39" t="n">
        <f aca="false">Q16+Q14</f>
        <v>736.844520667407</v>
      </c>
      <c r="R18" s="39" t="n">
        <f aca="false">R16+R14</f>
        <v>572.178168433815</v>
      </c>
      <c r="S18" s="114" t="s">
        <v>159</v>
      </c>
    </row>
    <row r="19" customFormat="false" ht="14.25" hidden="false" customHeight="true" outlineLevel="0" collapsed="false">
      <c r="B19" s="1" t="s">
        <v>160</v>
      </c>
      <c r="E19" s="27" t="n">
        <v>0</v>
      </c>
      <c r="F19" s="27" t="n">
        <v>0</v>
      </c>
      <c r="G19" s="27" t="n">
        <v>0</v>
      </c>
      <c r="H19" s="27" t="n">
        <v>0</v>
      </c>
      <c r="I19" s="27" t="n">
        <v>0</v>
      </c>
      <c r="J19" s="27" t="n">
        <v>0</v>
      </c>
      <c r="K19" s="27" t="n">
        <v>0</v>
      </c>
      <c r="L19" s="27" t="n">
        <v>0</v>
      </c>
      <c r="M19" s="27" t="n">
        <v>0</v>
      </c>
      <c r="N19" s="25" t="n">
        <f aca="false">N18*(-$S$19)</f>
        <v>-67.1164075927247</v>
      </c>
      <c r="O19" s="25" t="n">
        <f aca="false">O18*(-$S$19)</f>
        <v>-70.0568076689165</v>
      </c>
      <c r="P19" s="25" t="n">
        <f aca="false">P18*(-$S$19)</f>
        <v>-71.8625722222949</v>
      </c>
      <c r="Q19" s="25" t="n">
        <f aca="false">Q18*(-$S$19)</f>
        <v>-73.6844520667408</v>
      </c>
      <c r="R19" s="25" t="n">
        <f aca="false">R18*(-$S$19)</f>
        <v>-57.2178168433815</v>
      </c>
      <c r="S19" s="115" t="n">
        <v>0.1</v>
      </c>
    </row>
    <row r="20" customFormat="false" ht="14.25" hidden="false" customHeight="true" outlineLevel="0" collapsed="false">
      <c r="B20" s="29" t="s">
        <v>161</v>
      </c>
      <c r="C20" s="29"/>
      <c r="D20" s="29"/>
      <c r="E20" s="34" t="n">
        <v>-150</v>
      </c>
      <c r="F20" s="34" t="n">
        <v>-150</v>
      </c>
      <c r="G20" s="34" t="n">
        <v>-150</v>
      </c>
      <c r="H20" s="34" t="n">
        <v>-150</v>
      </c>
      <c r="I20" s="34" t="n">
        <v>-150</v>
      </c>
      <c r="J20" s="34" t="n">
        <v>-240</v>
      </c>
      <c r="K20" s="34" t="n">
        <v>-240</v>
      </c>
      <c r="L20" s="34" t="n">
        <v>-240</v>
      </c>
      <c r="M20" s="34" t="n">
        <v>-200</v>
      </c>
      <c r="N20" s="34" t="n">
        <v>-200</v>
      </c>
      <c r="O20" s="34" t="n">
        <v>-200</v>
      </c>
      <c r="P20" s="34" t="n">
        <v>-200</v>
      </c>
      <c r="Q20" s="34" t="n">
        <v>-200</v>
      </c>
      <c r="R20" s="34" t="n">
        <v>-150</v>
      </c>
    </row>
    <row r="21" customFormat="false" ht="14.25" hidden="false" customHeight="true" outlineLevel="0" collapsed="false">
      <c r="B21" s="36" t="s">
        <v>145</v>
      </c>
      <c r="E21" s="39" t="n">
        <f aca="false">SUM(E18:E20)</f>
        <v>179.723</v>
      </c>
      <c r="F21" s="39" t="n">
        <f aca="false">SUM(F18:F20)</f>
        <v>245.584</v>
      </c>
      <c r="G21" s="39" t="n">
        <f aca="false">SUM(G18:G20)</f>
        <v>200.454</v>
      </c>
      <c r="H21" s="39" t="n">
        <f aca="false">SUM(H18:H20)</f>
        <v>98.994</v>
      </c>
      <c r="I21" s="39" t="n">
        <f aca="false">SUM(I18:I20)</f>
        <v>163.735</v>
      </c>
      <c r="J21" s="39" t="n">
        <f aca="false">SUM(J18:J20)</f>
        <v>183.165</v>
      </c>
      <c r="K21" s="39" t="n">
        <f aca="false">SUM(K18:K20)</f>
        <v>271.043783306</v>
      </c>
      <c r="L21" s="39" t="n">
        <f aca="false">SUM(L18:L20)</f>
        <v>325.120500580414</v>
      </c>
      <c r="M21" s="39" t="n">
        <f aca="false">SUM(M18:M20)</f>
        <v>417.936932446158</v>
      </c>
      <c r="N21" s="39" t="n">
        <f aca="false">SUM(N18:N20)</f>
        <v>404.047668334522</v>
      </c>
      <c r="O21" s="39" t="n">
        <f aca="false">SUM(O18:O20)</f>
        <v>430.511269020249</v>
      </c>
      <c r="P21" s="39" t="n">
        <f aca="false">SUM(P18:P20)</f>
        <v>446.763150000654</v>
      </c>
      <c r="Q21" s="39" t="n">
        <f aca="false">SUM(Q18:Q20)</f>
        <v>463.160068600667</v>
      </c>
      <c r="R21" s="39" t="n">
        <f aca="false">SUM(R18:R20)</f>
        <v>364.960351590433</v>
      </c>
    </row>
    <row r="22" customFormat="false" ht="14.25" hidden="false" customHeight="true" outlineLevel="0" collapsed="false">
      <c r="C22" s="4" t="s">
        <v>162</v>
      </c>
      <c r="E22" s="43" t="n">
        <f aca="false">E21/E18</f>
        <v>0.545072682221137</v>
      </c>
      <c r="F22" s="43" t="n">
        <f aca="false">F21/F18</f>
        <v>0.620813784177318</v>
      </c>
      <c r="G22" s="43" t="n">
        <f aca="false">G21/G18</f>
        <v>0.571983769624544</v>
      </c>
      <c r="H22" s="43" t="n">
        <f aca="false">H21/H18</f>
        <v>0.397575845201089</v>
      </c>
      <c r="I22" s="43" t="n">
        <f aca="false">I21/I18</f>
        <v>0.521889492724752</v>
      </c>
      <c r="J22" s="43" t="n">
        <f aca="false">J21/J18</f>
        <v>0.432845344014746</v>
      </c>
      <c r="K22" s="43" t="n">
        <f aca="false">K21/K18</f>
        <v>0.530372919424999</v>
      </c>
      <c r="L22" s="43" t="n">
        <f aca="false">L21/L18</f>
        <v>0.575311814465224</v>
      </c>
      <c r="M22" s="43" t="n">
        <f aca="false">M21/M18</f>
        <v>0.676342374927677</v>
      </c>
      <c r="N22" s="43" t="n">
        <f aca="false">N21/N18</f>
        <v>0.602010272639086</v>
      </c>
      <c r="O22" s="43" t="n">
        <f aca="false">O21/O18</f>
        <v>0.614517394304939</v>
      </c>
      <c r="P22" s="43" t="n">
        <f aca="false">P21/P18</f>
        <v>0.621691008524808</v>
      </c>
      <c r="Q22" s="43" t="n">
        <f aca="false">Q21/Q18</f>
        <v>0.628572318324567</v>
      </c>
      <c r="R22" s="43" t="n">
        <f aca="false">R21/R18</f>
        <v>0.637843895004619</v>
      </c>
    </row>
    <row r="23" customFormat="false" ht="14.25" hidden="false" customHeight="true" outlineLevel="0" collapsed="false">
      <c r="S23" s="114" t="s">
        <v>163</v>
      </c>
    </row>
    <row r="24" customFormat="false" ht="14.25" hidden="false" customHeight="true" outlineLevel="0" collapsed="false">
      <c r="B24" s="4" t="s">
        <v>164</v>
      </c>
      <c r="K24" s="43" t="n">
        <f aca="false">1/(1+$S$24)^K2</f>
        <v>0.925925925925926</v>
      </c>
      <c r="L24" s="43" t="n">
        <f aca="false">1/(1+$S$24)^L2</f>
        <v>0.857338820301783</v>
      </c>
      <c r="M24" s="43" t="n">
        <f aca="false">1/(1+$S$24)^M2</f>
        <v>0.79383224102017</v>
      </c>
      <c r="N24" s="43" t="n">
        <f aca="false">1/(1+$S$24)^N2</f>
        <v>0.735029852796453</v>
      </c>
      <c r="O24" s="43" t="n">
        <f aca="false">1/(1+$S$24)^O2</f>
        <v>0.680583197033753</v>
      </c>
      <c r="P24" s="43" t="n">
        <f aca="false">1/(1+$S$24)^P2</f>
        <v>0.630169626883105</v>
      </c>
      <c r="Q24" s="43" t="n">
        <f aca="false">1/(1+$S$24)^Q2</f>
        <v>0.583490395262134</v>
      </c>
      <c r="R24" s="43" t="n">
        <f aca="false">1/(1+$S$24)^R2</f>
        <v>0.540268884501976</v>
      </c>
      <c r="S24" s="116" t="n">
        <v>0.08</v>
      </c>
    </row>
    <row r="25" customFormat="false" ht="14.25" hidden="false" customHeight="true" outlineLevel="0" collapsed="false">
      <c r="B25" s="36" t="s">
        <v>165</v>
      </c>
      <c r="C25" s="36"/>
      <c r="D25" s="36"/>
      <c r="E25" s="36"/>
      <c r="F25" s="36"/>
      <c r="G25" s="36"/>
      <c r="H25" s="36"/>
      <c r="I25" s="36"/>
      <c r="J25" s="36"/>
      <c r="K25" s="39" t="n">
        <f aca="false">K21*K24</f>
        <v>250.966466024074</v>
      </c>
      <c r="L25" s="39" t="n">
        <f aca="false">L21*L24</f>
        <v>278.738426423537</v>
      </c>
      <c r="M25" s="39" t="n">
        <f aca="false">M21*M24</f>
        <v>331.771811688829</v>
      </c>
      <c r="N25" s="39" t="n">
        <f aca="false">N21*N24</f>
        <v>296.987098178674</v>
      </c>
      <c r="O25" s="39" t="n">
        <f aca="false">O21*O24</f>
        <v>292.998735828859</v>
      </c>
      <c r="P25" s="39" t="n">
        <f aca="false">P21*P24</f>
        <v>281.536567541032</v>
      </c>
      <c r="Q25" s="39" t="n">
        <f aca="false">Q21*Q24</f>
        <v>270.24945149744</v>
      </c>
      <c r="R25" s="39" t="n">
        <f aca="false">(R21/(S24-S26))*Q24</f>
        <v>3549.18099674182</v>
      </c>
      <c r="S25" s="117" t="s">
        <v>166</v>
      </c>
    </row>
    <row r="26" customFormat="false" ht="14.25" hidden="false" customHeight="true" outlineLevel="0" collapsed="false">
      <c r="S26" s="115" t="n">
        <v>0.02</v>
      </c>
    </row>
    <row r="27" customFormat="false" ht="14.25" hidden="false" customHeight="true" outlineLevel="0" collapsed="false">
      <c r="A27" s="1" t="s">
        <v>38</v>
      </c>
      <c r="B27" s="118" t="s">
        <v>167</v>
      </c>
      <c r="C27" s="119"/>
      <c r="D27" s="119"/>
      <c r="E27" s="120" t="n">
        <f aca="false">SUM(K25:R25)</f>
        <v>5552.42955392427</v>
      </c>
    </row>
    <row r="28" customFormat="false" ht="14.25" hidden="false" customHeight="true" outlineLevel="0" collapsed="false">
      <c r="B28" s="121"/>
      <c r="C28" s="48" t="s">
        <v>168</v>
      </c>
      <c r="D28" s="29"/>
      <c r="E28" s="122" t="n">
        <f aca="false">K21/E27</f>
        <v>0.0488153484296682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LibreOffice/25.8.1.1$MacOSX_AARCH64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2023-08-01T17:48:52Z</dcterms:created>
  <dc:creator>CDIT</dc:creator>
  <dc:description/>
  <dc:language>en-US</dc:language>
  <cp:lastModifiedBy>Danial Azmi</cp:lastModifiedBy>
  <cp:lastPrinted>2024-01-19T10:49:36Z</cp:lastPrinted>
  <dcterms:modified xsi:type="dcterms:W3CDTF">2026-01-26T16:19:50Z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