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Code\ib-bench\eval\tasks\e-020\"/>
    </mc:Choice>
  </mc:AlternateContent>
  <xr:revisionPtr revIDLastSave="0" documentId="13_ncr:1_{58914AD7-74BD-43FF-A401-FA6AED1E8938}" xr6:coauthVersionLast="47" xr6:coauthVersionMax="47" xr10:uidLastSave="{00000000-0000-0000-0000-000000000000}"/>
  <bookViews>
    <workbookView xWindow="-98" yWindow="353" windowWidth="28996" windowHeight="15944" xr2:uid="{0E9580D8-AE83-144C-BA38-A474D03216FB}"/>
  </bookViews>
  <sheets>
    <sheet name="Holders" sheetId="1" r:id="rId1"/>
    <sheet name="Rubr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E7" i="2"/>
  <c r="E6" i="2"/>
  <c r="E5" i="2"/>
  <c r="E4" i="2"/>
  <c r="E3" i="2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3" i="1"/>
</calcChain>
</file>

<file path=xl/sharedStrings.xml><?xml version="1.0" encoding="utf-8"?>
<sst xmlns="http://schemas.openxmlformats.org/spreadsheetml/2006/main" count="26" uniqueCount="26">
  <si>
    <t>Investor</t>
  </si>
  <si>
    <t>% of Portfolio</t>
  </si>
  <si>
    <t>% Ownership</t>
  </si>
  <si>
    <t>VANGUARD GROUP INC</t>
  </si>
  <si>
    <t>BLACKROCK, INC</t>
  </si>
  <si>
    <t>STATE STREET CORP</t>
  </si>
  <si>
    <t>GEODE CAPITAL MANAGEMENT, LLC</t>
  </si>
  <si>
    <t>FMR LLC</t>
  </si>
  <si>
    <t>BERKSHIRE HATHAWAY INC</t>
  </si>
  <si>
    <t>JPMORGAN CHASE &amp; COMPANY</t>
  </si>
  <si>
    <t>MORGAN STANLEY</t>
  </si>
  <si>
    <t>PRICE T ROWE ASSOCIATES INC</t>
  </si>
  <si>
    <t>NORGES BANK</t>
  </si>
  <si>
    <t>NORTHERN TRUST CORP</t>
  </si>
  <si>
    <t>BANK OF AMERICA CORP</t>
  </si>
  <si>
    <t>LEGAL &amp; GENERAL GROUP PLC</t>
  </si>
  <si>
    <t>UBS AM, A DISTINCT BUSINESS UNIT OF UBS ASSET MANAGEMENT AMERICAS LLC</t>
  </si>
  <si>
    <t>CHARLES SCHWAB INVESTMENT MANAGEMENT INC</t>
  </si>
  <si>
    <t>Market Value ($)</t>
  </si>
  <si>
    <t>Shares Held</t>
  </si>
  <si>
    <t>Sum of  shares held</t>
  </si>
  <si>
    <t>Sum of market value</t>
  </si>
  <si>
    <t>Sum of % portfolio</t>
  </si>
  <si>
    <t>Sum of % ownership</t>
  </si>
  <si>
    <t>Company #3 market value</t>
  </si>
  <si>
    <t>Company #15 % ownership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</si>
</sst>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0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41" fontId="0" fillId="2" borderId="0" xfId="0" applyNumberFormat="1" applyFill="1"/>
    <xf numFmtId="10" fontId="0" fillId="2" borderId="0" xfId="0" applyNumberFormat="1" applyFill="1"/>
    <xf numFmtId="0" fontId="0" fillId="0" borderId="1" xfId="0" applyBorder="1"/>
    <xf numFmtId="0" fontId="0" fillId="0" borderId="2" xfId="0" applyBorder="1"/>
    <xf numFmtId="41" fontId="0" fillId="0" borderId="3" xfId="0" applyNumberFormat="1" applyBorder="1"/>
    <xf numFmtId="0" fontId="0" fillId="0" borderId="4" xfId="0" applyBorder="1"/>
    <xf numFmtId="0" fontId="0" fillId="0" borderId="0" xfId="0" applyBorder="1"/>
    <xf numFmtId="41" fontId="0" fillId="0" borderId="5" xfId="0" applyNumberFormat="1" applyBorder="1"/>
    <xf numFmtId="10" fontId="0" fillId="0" borderId="5" xfId="0" applyNumberFormat="1" applyBorder="1"/>
    <xf numFmtId="0" fontId="0" fillId="0" borderId="6" xfId="0" applyBorder="1"/>
    <xf numFmtId="0" fontId="0" fillId="0" borderId="7" xfId="0" applyBorder="1"/>
    <xf numFmtId="10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44C9-9CAA-B349-A445-26B1384B9153}">
  <dimension ref="A1:F18"/>
  <sheetViews>
    <sheetView showGridLines="0" tabSelected="1" workbookViewId="0">
      <selection activeCell="A2" sqref="A2"/>
    </sheetView>
  </sheetViews>
  <sheetFormatPr defaultColWidth="11" defaultRowHeight="15.75" x14ac:dyDescent="0.5"/>
  <cols>
    <col min="2" max="2" width="50.5625" customWidth="1"/>
    <col min="3" max="6" width="20.5625" customWidth="1"/>
  </cols>
  <sheetData>
    <row r="1" spans="1:6" x14ac:dyDescent="0.5">
      <c r="B1" s="2" t="s">
        <v>0</v>
      </c>
      <c r="C1" s="2" t="s">
        <v>19</v>
      </c>
      <c r="D1" s="2" t="s">
        <v>18</v>
      </c>
      <c r="E1" s="2" t="s">
        <v>1</v>
      </c>
      <c r="F1" s="2" t="s">
        <v>2</v>
      </c>
    </row>
    <row r="2" spans="1:6" x14ac:dyDescent="0.5">
      <c r="A2" s="3">
        <v>1</v>
      </c>
      <c r="B2" s="4" t="s">
        <v>3</v>
      </c>
      <c r="C2" s="5">
        <v>1399427162</v>
      </c>
      <c r="D2" s="5">
        <v>356336138233</v>
      </c>
      <c r="E2" s="6">
        <v>5.33E-2</v>
      </c>
      <c r="F2" s="6">
        <v>9.4299999999999995E-2</v>
      </c>
    </row>
    <row r="3" spans="1:6" x14ac:dyDescent="0.5">
      <c r="A3" s="3">
        <f>+A2+1</f>
        <v>2</v>
      </c>
      <c r="B3" s="4" t="s">
        <v>4</v>
      </c>
      <c r="C3" s="5">
        <v>1146332274</v>
      </c>
      <c r="D3" s="5">
        <v>291890587026</v>
      </c>
      <c r="E3" s="6">
        <v>5.11E-2</v>
      </c>
      <c r="F3" s="6">
        <v>7.7200000000000005E-2</v>
      </c>
    </row>
    <row r="4" spans="1:6" x14ac:dyDescent="0.5">
      <c r="A4" s="3">
        <f t="shared" ref="A4:A16" si="0">+A3+1</f>
        <v>3</v>
      </c>
      <c r="B4" s="4" t="s">
        <v>5</v>
      </c>
      <c r="C4" s="5">
        <v>597501113</v>
      </c>
      <c r="D4" s="5">
        <v>152141708403</v>
      </c>
      <c r="E4" s="6">
        <v>5.2699999999999997E-2</v>
      </c>
      <c r="F4" s="6">
        <v>4.0300000000000002E-2</v>
      </c>
    </row>
    <row r="5" spans="1:6" x14ac:dyDescent="0.5">
      <c r="A5" s="3">
        <f t="shared" si="0"/>
        <v>4</v>
      </c>
      <c r="B5" s="4" t="s">
        <v>6</v>
      </c>
      <c r="C5" s="5">
        <v>356166414</v>
      </c>
      <c r="D5" s="5">
        <v>90374245280</v>
      </c>
      <c r="E5" s="6">
        <v>5.7700000000000001E-2</v>
      </c>
      <c r="F5" s="6">
        <v>2.4E-2</v>
      </c>
    </row>
    <row r="6" spans="1:6" x14ac:dyDescent="0.5">
      <c r="A6" s="3">
        <f t="shared" si="0"/>
        <v>5</v>
      </c>
      <c r="B6" s="4" t="s">
        <v>7</v>
      </c>
      <c r="C6" s="5">
        <v>303254081</v>
      </c>
      <c r="D6" s="5">
        <v>77217586504</v>
      </c>
      <c r="E6" s="6">
        <v>0.04</v>
      </c>
      <c r="F6" s="6">
        <v>2.0400000000000001E-2</v>
      </c>
    </row>
    <row r="7" spans="1:6" x14ac:dyDescent="0.5">
      <c r="A7" s="3">
        <f t="shared" si="0"/>
        <v>6</v>
      </c>
      <c r="B7" s="4" t="s">
        <v>8</v>
      </c>
      <c r="C7" s="5">
        <v>238212764</v>
      </c>
      <c r="D7" s="5">
        <v>60656116097</v>
      </c>
      <c r="E7" s="6">
        <v>0.22689999999999999</v>
      </c>
      <c r="F7" s="6">
        <v>1.61E-2</v>
      </c>
    </row>
    <row r="8" spans="1:6" x14ac:dyDescent="0.5">
      <c r="A8" s="3">
        <f t="shared" si="0"/>
        <v>7</v>
      </c>
      <c r="B8" s="4" t="s">
        <v>9</v>
      </c>
      <c r="C8" s="5">
        <v>236655531</v>
      </c>
      <c r="D8" s="5">
        <v>60260026030</v>
      </c>
      <c r="E8" s="6">
        <v>3.61E-2</v>
      </c>
      <c r="F8" s="6">
        <v>1.5900000000000001E-2</v>
      </c>
    </row>
    <row r="9" spans="1:6" x14ac:dyDescent="0.5">
      <c r="A9" s="3">
        <f t="shared" si="0"/>
        <v>8</v>
      </c>
      <c r="B9" s="4" t="s">
        <v>10</v>
      </c>
      <c r="C9" s="5">
        <v>229103384</v>
      </c>
      <c r="D9" s="5">
        <v>58336595461</v>
      </c>
      <c r="E9" s="6">
        <v>3.5299999999999998E-2</v>
      </c>
      <c r="F9" s="6">
        <v>1.54E-2</v>
      </c>
    </row>
    <row r="10" spans="1:6" x14ac:dyDescent="0.5">
      <c r="A10" s="3">
        <f t="shared" si="0"/>
        <v>9</v>
      </c>
      <c r="B10" s="4" t="s">
        <v>11</v>
      </c>
      <c r="C10" s="5">
        <v>212755053</v>
      </c>
      <c r="D10" s="5">
        <v>54173820000</v>
      </c>
      <c r="E10" s="6">
        <v>5.79E-2</v>
      </c>
      <c r="F10" s="6">
        <v>1.43E-2</v>
      </c>
    </row>
    <row r="11" spans="1:6" x14ac:dyDescent="0.5">
      <c r="A11" s="3">
        <f t="shared" si="0"/>
        <v>10</v>
      </c>
      <c r="B11" s="4" t="s">
        <v>12</v>
      </c>
      <c r="C11" s="5">
        <v>189804820</v>
      </c>
      <c r="D11" s="5">
        <v>38942254919</v>
      </c>
      <c r="E11" s="6">
        <v>4.8500000000000001E-2</v>
      </c>
      <c r="F11" s="6">
        <v>1.2800000000000001E-2</v>
      </c>
    </row>
    <row r="12" spans="1:6" x14ac:dyDescent="0.5">
      <c r="A12" s="3">
        <f t="shared" si="0"/>
        <v>11</v>
      </c>
      <c r="B12" s="4" t="s">
        <v>13</v>
      </c>
      <c r="C12" s="5">
        <v>164666723</v>
      </c>
      <c r="D12" s="5">
        <v>41929087678</v>
      </c>
      <c r="E12" s="6">
        <v>5.3600000000000002E-2</v>
      </c>
      <c r="F12" s="6">
        <v>1.11E-2</v>
      </c>
    </row>
    <row r="13" spans="1:6" x14ac:dyDescent="0.5">
      <c r="A13" s="3">
        <f t="shared" si="0"/>
        <v>12</v>
      </c>
      <c r="B13" s="4" t="s">
        <v>14</v>
      </c>
      <c r="C13" s="5">
        <v>123024725</v>
      </c>
      <c r="D13" s="5">
        <v>31325785835</v>
      </c>
      <c r="E13" s="6">
        <v>2.12E-2</v>
      </c>
      <c r="F13" s="6">
        <v>8.3000000000000001E-3</v>
      </c>
    </row>
    <row r="14" spans="1:6" x14ac:dyDescent="0.5">
      <c r="A14" s="3">
        <f t="shared" si="0"/>
        <v>13</v>
      </c>
      <c r="B14" s="4" t="s">
        <v>15</v>
      </c>
      <c r="C14" s="5">
        <v>110450842</v>
      </c>
      <c r="D14" s="5">
        <v>28124097900</v>
      </c>
      <c r="E14" s="6">
        <v>6.3100000000000003E-2</v>
      </c>
      <c r="F14" s="6">
        <v>7.4000000000000003E-3</v>
      </c>
    </row>
    <row r="15" spans="1:6" x14ac:dyDescent="0.5">
      <c r="A15" s="3">
        <f t="shared" si="0"/>
        <v>14</v>
      </c>
      <c r="B15" s="4" t="s">
        <v>16</v>
      </c>
      <c r="C15" s="5">
        <v>105276556</v>
      </c>
      <c r="D15" s="5">
        <v>26806569454</v>
      </c>
      <c r="E15" s="6">
        <v>5.8200000000000002E-2</v>
      </c>
      <c r="F15" s="6">
        <v>7.1000000000000004E-3</v>
      </c>
    </row>
    <row r="16" spans="1:6" x14ac:dyDescent="0.5">
      <c r="A16" s="3">
        <f t="shared" si="0"/>
        <v>15</v>
      </c>
      <c r="B16" s="4" t="s">
        <v>17</v>
      </c>
      <c r="C16" s="5">
        <v>99802666</v>
      </c>
      <c r="D16" s="5">
        <v>25412750361</v>
      </c>
      <c r="E16" s="6">
        <v>4.0599999999999997E-2</v>
      </c>
      <c r="F16" s="6">
        <v>6.7000000000000002E-3</v>
      </c>
    </row>
    <row r="17" spans="5:6" x14ac:dyDescent="0.5">
      <c r="E17" s="1"/>
      <c r="F17" s="1"/>
    </row>
    <row r="18" spans="5:6" x14ac:dyDescent="0.5">
      <c r="E18" s="1"/>
      <c r="F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59E8-67C6-4925-AF63-EB3EF1EFF397}">
  <dimension ref="B3:E8"/>
  <sheetViews>
    <sheetView showGridLines="0" workbookViewId="0">
      <selection activeCell="B5" sqref="B5"/>
    </sheetView>
  </sheetViews>
  <sheetFormatPr defaultRowHeight="15.75" x14ac:dyDescent="0.5"/>
  <cols>
    <col min="5" max="5" width="17.0625" bestFit="1" customWidth="1"/>
  </cols>
  <sheetData>
    <row r="3" spans="2:5" x14ac:dyDescent="0.5">
      <c r="B3" s="7" t="s">
        <v>20</v>
      </c>
      <c r="C3" s="8"/>
      <c r="D3" s="8"/>
      <c r="E3" s="9">
        <f>+SUM(Holders!C2:C16)</f>
        <v>5512434108</v>
      </c>
    </row>
    <row r="4" spans="2:5" x14ac:dyDescent="0.5">
      <c r="B4" s="10" t="s">
        <v>21</v>
      </c>
      <c r="C4" s="11"/>
      <c r="D4" s="11"/>
      <c r="E4" s="12">
        <f>+SUM(Holders!D2:D16)</f>
        <v>1393927369181</v>
      </c>
    </row>
    <row r="5" spans="2:5" x14ac:dyDescent="0.5">
      <c r="B5" s="10" t="s">
        <v>22</v>
      </c>
      <c r="C5" s="11"/>
      <c r="D5" s="11"/>
      <c r="E5" s="13">
        <f>+SUM(Holders!E2:E16)</f>
        <v>0.89619999999999989</v>
      </c>
    </row>
    <row r="6" spans="2:5" x14ac:dyDescent="0.5">
      <c r="B6" s="10" t="s">
        <v>23</v>
      </c>
      <c r="C6" s="11"/>
      <c r="D6" s="11"/>
      <c r="E6" s="13">
        <f>+SUM(Holders!F2:F16)</f>
        <v>0.37129999999999996</v>
      </c>
    </row>
    <row r="7" spans="2:5" x14ac:dyDescent="0.5">
      <c r="B7" s="10" t="s">
        <v>24</v>
      </c>
      <c r="C7" s="11"/>
      <c r="D7" s="11"/>
      <c r="E7" s="12">
        <f>+Holders!D4</f>
        <v>152141708403</v>
      </c>
    </row>
    <row r="8" spans="2:5" x14ac:dyDescent="0.5">
      <c r="B8" s="14" t="s">
        <v>25</v>
      </c>
      <c r="C8" s="15"/>
      <c r="D8" s="15"/>
      <c r="E8" s="16">
        <f>+Holders!F16</f>
        <v>6.7000000000000002E-3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Holders</vt:lpstr>
      <vt:lpstr>Rubric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Azmi</dc:creator>
  <cp:lastModifiedBy>Danial Azmi</cp:lastModifiedBy>
  <dcterms:created xsi:type="dcterms:W3CDTF">2026-01-11T21:16:48Z</dcterms:created>
  <dcterms:modified xsi:type="dcterms:W3CDTF">2026-01-11T21:34:03Z</dcterms:modified>
</cp:coreProperties>
</file>