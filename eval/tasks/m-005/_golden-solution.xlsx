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Code\ib-bench\eval\tasks\m-005\"/>
    </mc:Choice>
  </mc:AlternateContent>
  <xr:revisionPtr revIDLastSave="0" documentId="13_ncr:1_{63C621B4-DD0E-4F77-B102-66D508BFC8CD}" xr6:coauthVersionLast="47" xr6:coauthVersionMax="47" xr10:uidLastSave="{00000000-0000-0000-0000-000000000000}"/>
  <bookViews>
    <workbookView xWindow="-98" yWindow="-98" windowWidth="22875" windowHeight="14431" xr2:uid="{CF4ABE8D-A615-4F55-B832-5861FC9FD384}"/>
  </bookViews>
  <sheets>
    <sheet name="Sheet1" sheetId="1" r:id="rId1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5" i="1" s="1"/>
  <c r="G13" i="1"/>
  <c r="L21" i="1"/>
  <c r="K28" i="1" s="1"/>
  <c r="L20" i="1"/>
  <c r="K27" i="1" s="1"/>
  <c r="L19" i="1"/>
  <c r="K26" i="1" s="1"/>
  <c r="L18" i="1"/>
  <c r="G19" i="1"/>
  <c r="F26" i="1" s="1"/>
  <c r="G20" i="1"/>
  <c r="F27" i="1" s="1"/>
  <c r="G21" i="1"/>
  <c r="F28" i="1" s="1"/>
  <c r="G18" i="1"/>
  <c r="F25" i="1" s="1"/>
  <c r="D22" i="1"/>
  <c r="D32" i="1" s="1"/>
  <c r="D33" i="1" s="1"/>
  <c r="E22" i="1"/>
  <c r="E32" i="1" s="1"/>
  <c r="E33" i="1" s="1"/>
  <c r="F22" i="1"/>
  <c r="F32" i="1" s="1"/>
  <c r="F33" i="1" s="1"/>
  <c r="H22" i="1"/>
  <c r="H32" i="1" s="1"/>
  <c r="H33" i="1" s="1"/>
  <c r="I22" i="1"/>
  <c r="I32" i="1" s="1"/>
  <c r="I33" i="1" s="1"/>
  <c r="J22" i="1"/>
  <c r="J32" i="1" s="1"/>
  <c r="J33" i="1" s="1"/>
  <c r="K22" i="1"/>
  <c r="K32" i="1" s="1"/>
  <c r="K33" i="1" s="1"/>
  <c r="M22" i="1"/>
  <c r="M32" i="1" s="1"/>
  <c r="M33" i="1" s="1"/>
  <c r="N22" i="1"/>
  <c r="N32" i="1" s="1"/>
  <c r="N33" i="1" s="1"/>
  <c r="O22" i="1"/>
  <c r="O32" i="1" s="1"/>
  <c r="O33" i="1" s="1"/>
  <c r="C22" i="1"/>
  <c r="C32" i="1" s="1"/>
  <c r="C33" i="1" s="1"/>
  <c r="F15" i="1" l="1"/>
  <c r="P15" i="1" s="1"/>
  <c r="L22" i="1"/>
  <c r="L32" i="1" s="1"/>
  <c r="L33" i="1" s="1"/>
  <c r="P26" i="1"/>
  <c r="P27" i="1"/>
  <c r="P28" i="1"/>
  <c r="K25" i="1"/>
  <c r="P25" i="1" s="1"/>
  <c r="G22" i="1"/>
  <c r="G32" i="1" s="1"/>
  <c r="G33" i="1" s="1"/>
  <c r="P13" i="1" l="1"/>
  <c r="P18" i="1"/>
  <c r="P19" i="1"/>
  <c r="P20" i="1"/>
  <c r="P21" i="1"/>
  <c r="P22" i="1"/>
  <c r="P32" i="1"/>
  <c r="P33" i="1"/>
</calcChain>
</file>

<file path=xl/sharedStrings.xml><?xml version="1.0" encoding="utf-8"?>
<sst xmlns="http://schemas.openxmlformats.org/spreadsheetml/2006/main" count="28" uniqueCount="16">
  <si>
    <t>Automotive</t>
  </si>
  <si>
    <t>Automotive ex. leasing</t>
  </si>
  <si>
    <t>Energy generation and storage</t>
  </si>
  <si>
    <t>Serivce and other</t>
  </si>
  <si>
    <t>1Q</t>
  </si>
  <si>
    <t>2Q</t>
  </si>
  <si>
    <t>3Q</t>
  </si>
  <si>
    <t>4Q</t>
  </si>
  <si>
    <t>Total cost of goods</t>
  </si>
  <si>
    <t>Q4 seasonal index</t>
  </si>
  <si>
    <t>Circ</t>
  </si>
  <si>
    <t>Auto credit revenue to adjust out of GM</t>
  </si>
  <si>
    <t>Revenue</t>
  </si>
  <si>
    <t>4QE</t>
  </si>
  <si>
    <t>Total gross profit ex auto credit revenue</t>
  </si>
  <si>
    <t>%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</si>
</sst>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([$€-2]* #,##0.00_);_([$€-2]* \(#,##0.00\);_([$€-2]* &quot;-&quot;??_)"/>
    <numFmt numFmtId="165" formatCode="_(* #,##0.0_);_(* \(#,##0.0\);_(* &quot;-&quot;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D5EFF"/>
      <name val="Aptos Narrow"/>
      <family val="2"/>
      <scheme val="minor"/>
    </font>
    <font>
      <b/>
      <sz val="11"/>
      <color rgb="FF0D5E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/>
  </cellStyleXfs>
  <cellXfs count="15">
    <xf numFmtId="0" fontId="0" fillId="0" borderId="0" xfId="0"/>
    <xf numFmtId="41" fontId="0" fillId="0" borderId="0" xfId="1" applyFont="1"/>
    <xf numFmtId="41" fontId="2" fillId="0" borderId="0" xfId="1" applyFont="1"/>
    <xf numFmtId="41" fontId="4" fillId="0" borderId="0" xfId="1" applyFont="1"/>
    <xf numFmtId="0" fontId="2" fillId="0" borderId="0" xfId="0" applyFont="1"/>
    <xf numFmtId="0" fontId="5" fillId="0" borderId="0" xfId="0" applyFont="1"/>
    <xf numFmtId="41" fontId="5" fillId="0" borderId="0" xfId="1" applyFont="1"/>
    <xf numFmtId="41" fontId="2" fillId="0" borderId="1" xfId="1" applyFont="1" applyBorder="1"/>
    <xf numFmtId="41" fontId="2" fillId="0" borderId="0" xfId="1" applyFont="1" applyBorder="1"/>
    <xf numFmtId="165" fontId="0" fillId="0" borderId="0" xfId="1" applyNumberFormat="1" applyFont="1"/>
    <xf numFmtId="41" fontId="0" fillId="2" borderId="2" xfId="1" applyFont="1" applyFill="1" applyBorder="1"/>
    <xf numFmtId="41" fontId="4" fillId="0" borderId="0" xfId="1" applyFont="1" applyAlignment="1">
      <alignment vertical="center"/>
    </xf>
    <xf numFmtId="41" fontId="6" fillId="0" borderId="0" xfId="1" applyFont="1"/>
    <xf numFmtId="9" fontId="6" fillId="0" borderId="0" xfId="2" applyFont="1"/>
    <xf numFmtId="9" fontId="0" fillId="0" borderId="3" xfId="2" applyFont="1" applyBorder="1"/>
  </cellXfs>
  <cellStyles count="4">
    <cellStyle name="Comma [0]" xfId="1" builtinId="6"/>
    <cellStyle name="Normal" xfId="0" builtinId="0"/>
    <cellStyle name="Normal 17" xfId="3" xr:uid="{D0BA3F80-1C00-4867-BB26-80A6D2D868ED}"/>
    <cellStyle name="Percent" xfId="2" builtinId="5"/>
  </cellStyles>
  <dxfs count="0"/>
  <tableStyles count="0" defaultTableStyle="TableStyleMedium2" defaultPivotStyle="PivotStyleLight16"/>
  <colors>
    <mruColors>
      <color rgb="FF0D5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EFC0-A03B-45D9-BC26-A7DF24DBBF8F}">
  <dimension ref="B9:Q33"/>
  <sheetViews>
    <sheetView showGridLines="0" tabSelected="1" topLeftCell="B1" workbookViewId="0">
      <selection activeCell="C32" sqref="C32"/>
    </sheetView>
  </sheetViews>
  <sheetFormatPr defaultColWidth="10.59765625" defaultRowHeight="14.25" x14ac:dyDescent="0.45"/>
  <cols>
    <col min="1" max="1" width="10.59765625" style="1"/>
    <col min="2" max="2" width="35.59765625" style="1" customWidth="1"/>
    <col min="3" max="16384" width="10.59765625" style="1"/>
  </cols>
  <sheetData>
    <row r="9" spans="2:17" x14ac:dyDescent="0.45">
      <c r="O9" s="1" t="s">
        <v>10</v>
      </c>
      <c r="P9" s="10">
        <v>1</v>
      </c>
    </row>
    <row r="11" spans="2:17" x14ac:dyDescent="0.45">
      <c r="C11" s="6" t="s">
        <v>4</v>
      </c>
      <c r="D11" s="6" t="s">
        <v>5</v>
      </c>
      <c r="E11" s="6" t="s">
        <v>6</v>
      </c>
      <c r="F11" s="6" t="s">
        <v>7</v>
      </c>
      <c r="G11" s="5">
        <v>2023</v>
      </c>
      <c r="H11" s="6" t="s">
        <v>4</v>
      </c>
      <c r="I11" s="6" t="s">
        <v>5</v>
      </c>
      <c r="J11" s="6" t="s">
        <v>6</v>
      </c>
      <c r="K11" s="6" t="s">
        <v>7</v>
      </c>
      <c r="L11" s="5">
        <v>2024</v>
      </c>
      <c r="M11" s="6" t="s">
        <v>4</v>
      </c>
      <c r="N11" s="6" t="s">
        <v>5</v>
      </c>
      <c r="O11" s="6" t="s">
        <v>6</v>
      </c>
      <c r="P11" s="6" t="s">
        <v>13</v>
      </c>
      <c r="Q11" s="4"/>
    </row>
    <row r="12" spans="2:17" x14ac:dyDescent="0.45">
      <c r="G12" s="4"/>
    </row>
    <row r="13" spans="2:17" s="2" customFormat="1" x14ac:dyDescent="0.45">
      <c r="B13" s="2" t="s">
        <v>12</v>
      </c>
      <c r="C13" s="6">
        <v>23329</v>
      </c>
      <c r="D13" s="6">
        <v>24927</v>
      </c>
      <c r="E13" s="6">
        <v>23350</v>
      </c>
      <c r="F13" s="6">
        <v>25167</v>
      </c>
      <c r="G13" s="2">
        <f>+SUM(C13:F13)</f>
        <v>96773</v>
      </c>
      <c r="H13" s="6">
        <v>21301</v>
      </c>
      <c r="I13" s="6">
        <v>25500</v>
      </c>
      <c r="J13" s="6">
        <v>25182</v>
      </c>
      <c r="K13" s="6">
        <v>25707</v>
      </c>
      <c r="L13" s="2">
        <f>+SUM(H13:K13)</f>
        <v>97690</v>
      </c>
      <c r="M13" s="6">
        <v>19335</v>
      </c>
      <c r="N13" s="6">
        <v>22496</v>
      </c>
      <c r="O13" s="6">
        <v>28095</v>
      </c>
      <c r="P13" s="2">
        <f ca="1">+IF($P$9,P15*AVERAGE(M13:P13),P15*AVERAGE(M13:O13))</f>
        <v>24774.051682368881</v>
      </c>
    </row>
    <row r="14" spans="2:17" x14ac:dyDescent="0.4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7" x14ac:dyDescent="0.45">
      <c r="B15" s="14" t="s">
        <v>9</v>
      </c>
      <c r="C15" s="14"/>
      <c r="D15" s="14"/>
      <c r="E15" s="14"/>
      <c r="F15" s="14">
        <f>+F13/(G13/4)</f>
        <v>1.0402488297355668</v>
      </c>
      <c r="G15" s="14"/>
      <c r="H15" s="14"/>
      <c r="I15" s="14"/>
      <c r="J15" s="14"/>
      <c r="K15" s="14">
        <f>+K13/(L13/4)</f>
        <v>1.0525949431876342</v>
      </c>
      <c r="L15" s="14"/>
      <c r="M15" s="14"/>
      <c r="N15" s="14"/>
      <c r="O15" s="14"/>
      <c r="P15" s="14">
        <f>+AVERAGE(K15,F15)</f>
        <v>1.0464218864616006</v>
      </c>
      <c r="Q15" s="9"/>
    </row>
    <row r="16" spans="2:17" x14ac:dyDescent="0.4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8" spans="2:16" x14ac:dyDescent="0.45">
      <c r="B18" s="1" t="s">
        <v>0</v>
      </c>
      <c r="C18" s="3">
        <v>15755</v>
      </c>
      <c r="D18" s="3">
        <v>17179</v>
      </c>
      <c r="E18" s="3">
        <v>15957</v>
      </c>
      <c r="F18" s="3">
        <v>17498</v>
      </c>
      <c r="G18" s="2">
        <f>+SUM(C18:F18)</f>
        <v>66389</v>
      </c>
      <c r="H18" s="3">
        <v>14166</v>
      </c>
      <c r="I18" s="3">
        <v>16207</v>
      </c>
      <c r="J18" s="3">
        <v>15990</v>
      </c>
      <c r="K18" s="3">
        <v>16510</v>
      </c>
      <c r="L18" s="2">
        <f>+SUM(H18:K18)</f>
        <v>62873</v>
      </c>
      <c r="M18" s="3">
        <v>11700</v>
      </c>
      <c r="N18" s="3">
        <v>13795</v>
      </c>
      <c r="O18" s="3">
        <v>17590</v>
      </c>
      <c r="P18" s="1">
        <f ca="1">+IF($P$9,P25*AVERAGE(M18:P18),P25*AVERAGE(M18:O18))</f>
        <v>15381.343299198094</v>
      </c>
    </row>
    <row r="19" spans="2:16" x14ac:dyDescent="0.45">
      <c r="B19" s="1" t="s">
        <v>1</v>
      </c>
      <c r="C19" s="3">
        <v>15422</v>
      </c>
      <c r="D19" s="3">
        <v>16841</v>
      </c>
      <c r="E19" s="3">
        <v>15656</v>
      </c>
      <c r="F19" s="3">
        <v>17202</v>
      </c>
      <c r="G19" s="2">
        <f t="shared" ref="G19:G21" si="0">+SUM(C19:F19)</f>
        <v>65121</v>
      </c>
      <c r="H19" s="3">
        <v>13897</v>
      </c>
      <c r="I19" s="3">
        <v>15962</v>
      </c>
      <c r="J19" s="3">
        <v>15745</v>
      </c>
      <c r="K19" s="3">
        <v>16268</v>
      </c>
      <c r="L19" s="2">
        <f t="shared" ref="L19:L21" si="1">+SUM(H19:K19)</f>
        <v>61872</v>
      </c>
      <c r="M19" s="3">
        <v>11461</v>
      </c>
      <c r="N19" s="3">
        <v>13567</v>
      </c>
      <c r="O19" s="3">
        <v>17365</v>
      </c>
      <c r="P19" s="1">
        <f t="shared" ref="P19:P21" ca="1" si="2">+IF($P$9,P26*AVERAGE(M19:P19),P26*AVERAGE(M19:O19))</f>
        <v>15170.377392491959</v>
      </c>
    </row>
    <row r="20" spans="2:16" x14ac:dyDescent="0.45">
      <c r="B20" s="1" t="s">
        <v>2</v>
      </c>
      <c r="C20" s="3">
        <v>1361</v>
      </c>
      <c r="D20" s="3">
        <v>1231</v>
      </c>
      <c r="E20" s="3">
        <v>1178</v>
      </c>
      <c r="F20" s="3">
        <v>1124</v>
      </c>
      <c r="G20" s="2">
        <f t="shared" si="0"/>
        <v>4894</v>
      </c>
      <c r="H20" s="3">
        <v>1232</v>
      </c>
      <c r="I20" s="3">
        <v>2274</v>
      </c>
      <c r="J20" s="3">
        <v>1651</v>
      </c>
      <c r="K20" s="3">
        <v>2289</v>
      </c>
      <c r="L20" s="2">
        <f t="shared" si="1"/>
        <v>7446</v>
      </c>
      <c r="M20" s="3">
        <v>1945</v>
      </c>
      <c r="N20" s="3">
        <v>1943</v>
      </c>
      <c r="O20" s="3">
        <v>2342</v>
      </c>
      <c r="P20" s="1">
        <f t="shared" ca="1" si="2"/>
        <v>2287.2258837768932</v>
      </c>
    </row>
    <row r="21" spans="2:16" x14ac:dyDescent="0.45">
      <c r="B21" s="1" t="s">
        <v>3</v>
      </c>
      <c r="C21" s="3">
        <v>1702</v>
      </c>
      <c r="D21" s="3">
        <v>1984</v>
      </c>
      <c r="E21" s="3">
        <v>2037</v>
      </c>
      <c r="F21" s="3">
        <v>2107</v>
      </c>
      <c r="G21" s="2">
        <f t="shared" si="0"/>
        <v>7830</v>
      </c>
      <c r="H21" s="3">
        <v>2207</v>
      </c>
      <c r="I21" s="3">
        <v>2441</v>
      </c>
      <c r="J21" s="3">
        <v>2544</v>
      </c>
      <c r="K21" s="3">
        <v>2729</v>
      </c>
      <c r="L21" s="2">
        <f t="shared" si="1"/>
        <v>9921</v>
      </c>
      <c r="M21" s="3">
        <v>2537</v>
      </c>
      <c r="N21" s="3">
        <v>2880</v>
      </c>
      <c r="O21" s="3">
        <v>3109</v>
      </c>
      <c r="P21" s="1">
        <f t="shared" ca="1" si="2"/>
        <v>3186.8763396826403</v>
      </c>
    </row>
    <row r="22" spans="2:16" x14ac:dyDescent="0.45">
      <c r="B22" s="7" t="s">
        <v>8</v>
      </c>
      <c r="C22" s="7">
        <f t="shared" ref="C22:P22" si="3">+SUM(C20:C21)+C18</f>
        <v>18818</v>
      </c>
      <c r="D22" s="7">
        <f t="shared" si="3"/>
        <v>20394</v>
      </c>
      <c r="E22" s="7">
        <f t="shared" si="3"/>
        <v>19172</v>
      </c>
      <c r="F22" s="7">
        <f t="shared" si="3"/>
        <v>20729</v>
      </c>
      <c r="G22" s="7">
        <f t="shared" si="3"/>
        <v>79113</v>
      </c>
      <c r="H22" s="7">
        <f t="shared" si="3"/>
        <v>17605</v>
      </c>
      <c r="I22" s="7">
        <f t="shared" si="3"/>
        <v>20922</v>
      </c>
      <c r="J22" s="7">
        <f t="shared" si="3"/>
        <v>20185</v>
      </c>
      <c r="K22" s="7">
        <f t="shared" si="3"/>
        <v>21528</v>
      </c>
      <c r="L22" s="7">
        <f t="shared" si="3"/>
        <v>80240</v>
      </c>
      <c r="M22" s="7">
        <f t="shared" si="3"/>
        <v>16182</v>
      </c>
      <c r="N22" s="7">
        <f t="shared" si="3"/>
        <v>18618</v>
      </c>
      <c r="O22" s="7">
        <f t="shared" si="3"/>
        <v>23041</v>
      </c>
      <c r="P22" s="7">
        <f t="shared" ca="1" si="3"/>
        <v>20855.445522657625</v>
      </c>
    </row>
    <row r="23" spans="2:16" x14ac:dyDescent="0.4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2:16" x14ac:dyDescent="0.45">
      <c r="B24" s="2" t="s">
        <v>9</v>
      </c>
    </row>
    <row r="25" spans="2:16" x14ac:dyDescent="0.45">
      <c r="B25" s="1" t="s">
        <v>0</v>
      </c>
      <c r="F25" s="9">
        <f>+F18/(G18/4)</f>
        <v>1.0542710388769223</v>
      </c>
      <c r="K25" s="9">
        <f>+K18/(L18/4)</f>
        <v>1.0503713835827779</v>
      </c>
      <c r="P25" s="9">
        <f>+AVERAGE(K25,F25)</f>
        <v>1.0523212112298501</v>
      </c>
    </row>
    <row r="26" spans="2:16" x14ac:dyDescent="0.45">
      <c r="B26" s="1" t="s">
        <v>1</v>
      </c>
      <c r="F26" s="9">
        <f t="shared" ref="F26:F28" si="4">+F19/(G19/4)</f>
        <v>1.0566176809324181</v>
      </c>
      <c r="K26" s="9">
        <f t="shared" ref="K26:K28" si="5">+K19/(L19/4)</f>
        <v>1.0517196793379882</v>
      </c>
      <c r="P26" s="9">
        <f t="shared" ref="P26:P28" si="6">+AVERAGE(K26,F26)</f>
        <v>1.054168680135203</v>
      </c>
    </row>
    <row r="27" spans="2:16" x14ac:dyDescent="0.45">
      <c r="B27" s="1" t="s">
        <v>2</v>
      </c>
      <c r="F27" s="9">
        <f t="shared" si="4"/>
        <v>0.91867592970984879</v>
      </c>
      <c r="K27" s="9">
        <f t="shared" si="5"/>
        <v>1.2296535052377116</v>
      </c>
      <c r="P27" s="9">
        <f t="shared" si="6"/>
        <v>1.0741647174737801</v>
      </c>
    </row>
    <row r="28" spans="2:16" x14ac:dyDescent="0.45">
      <c r="B28" s="1" t="s">
        <v>3</v>
      </c>
      <c r="F28" s="9">
        <f t="shared" si="4"/>
        <v>1.0763729246487868</v>
      </c>
      <c r="K28" s="9">
        <f t="shared" si="5"/>
        <v>1.1002923092430199</v>
      </c>
      <c r="P28" s="9">
        <f t="shared" si="6"/>
        <v>1.0883326169459033</v>
      </c>
    </row>
    <row r="30" spans="2:16" x14ac:dyDescent="0.45">
      <c r="B30" s="1" t="s">
        <v>11</v>
      </c>
      <c r="C30" s="11">
        <v>521</v>
      </c>
      <c r="D30" s="3">
        <v>282</v>
      </c>
      <c r="E30" s="3">
        <v>554</v>
      </c>
      <c r="F30" s="3">
        <v>433</v>
      </c>
      <c r="G30" s="3">
        <v>1790</v>
      </c>
      <c r="H30" s="3">
        <v>442</v>
      </c>
      <c r="I30" s="3">
        <v>890</v>
      </c>
      <c r="J30" s="3">
        <v>739</v>
      </c>
      <c r="K30" s="3">
        <v>692</v>
      </c>
      <c r="L30" s="3">
        <v>2763</v>
      </c>
      <c r="M30" s="3">
        <v>595</v>
      </c>
      <c r="N30" s="3">
        <v>439</v>
      </c>
      <c r="O30" s="3">
        <v>417</v>
      </c>
      <c r="P30" s="3">
        <v>450</v>
      </c>
    </row>
    <row r="32" spans="2:16" x14ac:dyDescent="0.45">
      <c r="B32" s="1" t="s">
        <v>14</v>
      </c>
      <c r="C32" s="1">
        <f>+C13-C22-C30</f>
        <v>3990</v>
      </c>
      <c r="D32" s="1">
        <f t="shared" ref="D32:P32" si="7">+D13-D22-D30</f>
        <v>4251</v>
      </c>
      <c r="E32" s="1">
        <f t="shared" si="7"/>
        <v>3624</v>
      </c>
      <c r="F32" s="1">
        <f t="shared" si="7"/>
        <v>4005</v>
      </c>
      <c r="G32" s="1">
        <f t="shared" si="7"/>
        <v>15870</v>
      </c>
      <c r="H32" s="1">
        <f t="shared" si="7"/>
        <v>3254</v>
      </c>
      <c r="I32" s="1">
        <f t="shared" si="7"/>
        <v>3688</v>
      </c>
      <c r="J32" s="1">
        <f t="shared" si="7"/>
        <v>4258</v>
      </c>
      <c r="K32" s="1">
        <f t="shared" si="7"/>
        <v>3487</v>
      </c>
      <c r="L32" s="1">
        <f t="shared" si="7"/>
        <v>14687</v>
      </c>
      <c r="M32" s="1">
        <f t="shared" si="7"/>
        <v>2558</v>
      </c>
      <c r="N32" s="1">
        <f t="shared" si="7"/>
        <v>3439</v>
      </c>
      <c r="O32" s="1">
        <f t="shared" si="7"/>
        <v>4637</v>
      </c>
      <c r="P32" s="1">
        <f t="shared" ca="1" si="7"/>
        <v>3468.6061597112566</v>
      </c>
    </row>
    <row r="33" spans="2:16" s="12" customFormat="1" x14ac:dyDescent="0.45">
      <c r="B33" s="12" t="s">
        <v>15</v>
      </c>
      <c r="C33" s="13">
        <f>+C32/C13</f>
        <v>0.17103176304170775</v>
      </c>
      <c r="D33" s="13">
        <f t="shared" ref="D33:P33" si="8">+D32/D13</f>
        <v>0.17053797087495487</v>
      </c>
      <c r="E33" s="13">
        <f t="shared" si="8"/>
        <v>0.15520342612419699</v>
      </c>
      <c r="F33" s="13">
        <f t="shared" si="8"/>
        <v>0.15913696507331029</v>
      </c>
      <c r="G33" s="13">
        <f t="shared" si="8"/>
        <v>0.16399202256827833</v>
      </c>
      <c r="H33" s="13">
        <f t="shared" si="8"/>
        <v>0.15276278109008967</v>
      </c>
      <c r="I33" s="13">
        <f t="shared" si="8"/>
        <v>0.14462745098039215</v>
      </c>
      <c r="J33" s="13">
        <f t="shared" si="8"/>
        <v>0.1690890318481455</v>
      </c>
      <c r="K33" s="13">
        <f t="shared" si="8"/>
        <v>0.13564398801882754</v>
      </c>
      <c r="L33" s="13">
        <f t="shared" si="8"/>
        <v>0.15034292148633432</v>
      </c>
      <c r="M33" s="13">
        <f t="shared" si="8"/>
        <v>0.13229893974657359</v>
      </c>
      <c r="N33" s="13">
        <f t="shared" si="8"/>
        <v>0.15287162162162163</v>
      </c>
      <c r="O33" s="13">
        <f t="shared" si="8"/>
        <v>0.16504716141662218</v>
      </c>
      <c r="P33" s="13">
        <f t="shared" ca="1" si="8"/>
        <v>0.14000964413018413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1ACE969CBC174083981A742AA53846" ma:contentTypeVersion="10" ma:contentTypeDescription="Create a new document." ma:contentTypeScope="" ma:versionID="603a07cfbe657726527b61aec88e59c0">
  <xsd:schema xmlns:xsd="http://www.w3.org/2001/XMLSchema" xmlns:xs="http://www.w3.org/2001/XMLSchema" xmlns:p="http://schemas.microsoft.com/office/2006/metadata/properties" xmlns:ns3="ee27a01e-5ca6-4712-86b1-70bd9165ce10" targetNamespace="http://schemas.microsoft.com/office/2006/metadata/properties" ma:root="true" ma:fieldsID="23d97d4d9b95e3d7ed437d931a3485ea" ns3:_="">
    <xsd:import namespace="ee27a01e-5ca6-4712-86b1-70bd9165ce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7a01e-5ca6-4712-86b1-70bd9165ce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4017ED-584B-49ED-8318-CCF6C5881A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26EA17-077B-426F-8491-C1F9F0AE8010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ee27a01e-5ca6-4712-86b1-70bd9165ce10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5F6ADF61-AD07-450D-A727-F7A2C76B96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7a01e-5ca6-4712-86b1-70bd9165ce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2026-01-06T20:25:27Z</dcterms:created>
  <dcterms:modified xsi:type="dcterms:W3CDTF">2026-01-06T22:06:49Z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0x0101005C1ACE969CBC174083981A742AA53846</vt:lpwstr>
  </property>
</Properties>
</file>