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Code\ib-bench\eval\tasks\m-005\"/>
    </mc:Choice>
  </mc:AlternateContent>
  <xr:revisionPtr revIDLastSave="0" documentId="13_ncr:1_{6050F8BB-5561-4C60-945B-F4849EBCCB77}" xr6:coauthVersionLast="47" xr6:coauthVersionMax="47" xr10:uidLastSave="{00000000-0000-0000-0000-000000000000}"/>
  <bookViews>
    <workbookView xWindow="-98" yWindow="-98" windowWidth="22875" windowHeight="14431" xr2:uid="{CF4ABE8D-A615-4F55-B832-5861FC9FD384}"/>
  </bookViews>
  <sheets>
    <sheet name="Sheet1" sheetId="1" r:id="rId1"/>
  </sheet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K15" i="1" s="1"/>
  <c r="G13" i="1"/>
  <c r="F15" i="1"/>
  <c r="P15" i="1" l="1"/>
  <c r="P13" i="1"/>
</calcChain>
</file>

<file path=xl/sharedStrings.xml><?xml version="1.0" encoding="utf-8"?>
<sst xmlns="http://schemas.openxmlformats.org/spreadsheetml/2006/main" count="34" uniqueCount="22">
  <si>
    <t>Automotive</t>
  </si>
  <si>
    <t>Automotive ex. leasing</t>
  </si>
  <si>
    <t>Energy generation and storage</t>
  </si>
  <si>
    <t>Serivce and other</t>
  </si>
  <si>
    <t>1Q</t>
  </si>
  <si>
    <t>2Q</t>
  </si>
  <si>
    <t>3Q</t>
  </si>
  <si>
    <t>4Q</t>
  </si>
  <si>
    <t>Total cost of goods</t>
  </si>
  <si>
    <t>Q4 seasonal index</t>
  </si>
  <si>
    <t>Circ</t>
  </si>
  <si>
    <t>Auto credit revenue to adjust out of GM</t>
  </si>
  <si>
    <t>Revenue</t>
  </si>
  <si>
    <t>4QE</t>
  </si>
  <si>
    <t>Total gross profit ex auto credit revenue</t>
  </si>
  <si>
    <t>% margin</t>
  </si>
  <si>
    <t>Fill in the inputs for each segment of cost of goods every quarter and calculate the total sum and the yearly sum</t>
  </si>
  <si>
    <t>Calculate the Q4 seasonal index, defined as the Q4 value divided by (yearly value divided by 4)</t>
  </si>
  <si>
    <t>Use the seasonal index to estimate 2025 4Q  costs</t>
  </si>
  <si>
    <t>Find quarterly auto credit revenue to adjust out of gross profit</t>
  </si>
  <si>
    <t>Calculate gross profit ex auto credit revenue as well as the margin for 4Q25 assume 450 as the auto credit revenue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</si>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</sst>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[$€-2]* #,##0.00_);_([$€-2]* \(#,##0.00\);_([$€-2]* &quot;-&quot;??_)"/>
    <numFmt numFmtId="165" formatCode="_(* #,##0.0_);_(* \(#,##0.0\);_(* &quot;-&quot;_);_(@_)"/>
    <numFmt numFmtId="166" formatCode="_(* #,##0.0_);_(* \(#,##0.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0D5EFF"/>
      <name val="Aptos Narrow"/>
      <family val="2"/>
      <scheme val="minor"/>
    </font>
    <font>
      <b/>
      <sz val="11"/>
      <color rgb="FF0D5E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0" fillId="0" borderId="0" xfId="1" applyFont="1"/>
    <xf numFmtId="41" fontId="2" fillId="0" borderId="0" xfId="1" applyFont="1"/>
    <xf numFmtId="41" fontId="4" fillId="0" borderId="0" xfId="1" applyFont="1"/>
    <xf numFmtId="0" fontId="2" fillId="0" borderId="0" xfId="0" applyFont="1"/>
    <xf numFmtId="0" fontId="5" fillId="0" borderId="0" xfId="0" applyFont="1"/>
    <xf numFmtId="41" fontId="5" fillId="0" borderId="0" xfId="1" applyFont="1"/>
    <xf numFmtId="41" fontId="2" fillId="0" borderId="1" xfId="1" applyFont="1" applyBorder="1"/>
    <xf numFmtId="41" fontId="2" fillId="0" borderId="0" xfId="1" applyFont="1" applyBorder="1"/>
    <xf numFmtId="165" fontId="0" fillId="0" borderId="0" xfId="1" applyNumberFormat="1" applyFont="1"/>
    <xf numFmtId="41" fontId="0" fillId="2" borderId="2" xfId="1" applyFont="1" applyFill="1" applyBorder="1"/>
    <xf numFmtId="41" fontId="6" fillId="0" borderId="0" xfId="1" applyFont="1"/>
    <xf numFmtId="9" fontId="0" fillId="0" borderId="3" xfId="2" applyFont="1" applyBorder="1"/>
    <xf numFmtId="166" fontId="0" fillId="0" borderId="3" xfId="4" applyNumberFormat="1" applyFont="1" applyBorder="1"/>
    <xf numFmtId="41" fontId="1" fillId="0" borderId="0" xfId="1" applyFont="1"/>
    <xf numFmtId="41" fontId="7" fillId="0" borderId="0" xfId="1" applyFont="1"/>
    <xf numFmtId="41" fontId="7" fillId="0" borderId="1" xfId="1" applyFont="1" applyBorder="1"/>
  </cellXfs>
  <cellStyles count="5">
    <cellStyle name="Comma" xfId="4" builtinId="3"/>
    <cellStyle name="Comma [0]" xfId="1" builtinId="6"/>
    <cellStyle name="Normal" xfId="0" builtinId="0"/>
    <cellStyle name="Normal 17" xfId="3" xr:uid="{D0BA3F80-1C00-4867-BB26-80A6D2D868ED}"/>
    <cellStyle name="Percent" xfId="2" builtinId="5"/>
  </cellStyles>
  <dxfs count="0"/>
  <tableStyles count="0" defaultTableStyle="TableStyleMedium2" defaultPivotStyle="PivotStyleLight16"/>
  <colors>
    <mruColors>
      <color rgb="FF0D5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EFC0-A03B-45D9-BC26-A7DF24DBBF8F}">
  <dimension ref="B2:S35"/>
  <sheetViews>
    <sheetView showGridLines="0" tabSelected="1" workbookViewId="0">
      <selection activeCell="A9" sqref="A9"/>
    </sheetView>
  </sheetViews>
  <sheetFormatPr defaultColWidth="10.59765625" defaultRowHeight="14.25" x14ac:dyDescent="0.45"/>
  <cols>
    <col min="1" max="1" width="10.59765625" style="1"/>
    <col min="2" max="2" width="35.59765625" style="1" customWidth="1"/>
    <col min="3" max="16384" width="10.59765625" style="1"/>
  </cols>
  <sheetData>
    <row r="2" spans="2:17" x14ac:dyDescent="0.45">
      <c r="B2" s="1" t="s">
        <v>16</v>
      </c>
    </row>
    <row r="3" spans="2:17" x14ac:dyDescent="0.45">
      <c r="B3" s="1" t="s">
        <v>17</v>
      </c>
    </row>
    <row r="4" spans="2:17" x14ac:dyDescent="0.45">
      <c r="B4" s="1" t="s">
        <v>18</v>
      </c>
      <c r="Q4" s="4"/>
    </row>
    <row r="5" spans="2:17" x14ac:dyDescent="0.45">
      <c r="B5" s="1" t="s">
        <v>19</v>
      </c>
    </row>
    <row r="6" spans="2:17" s="2" customFormat="1" x14ac:dyDescent="0.45">
      <c r="B6" s="14" t="s">
        <v>20</v>
      </c>
    </row>
    <row r="8" spans="2:17" x14ac:dyDescent="0.45">
      <c r="Q8" s="9"/>
    </row>
    <row r="9" spans="2:17" x14ac:dyDescent="0.45">
      <c r="O9" s="1" t="s">
        <v>10</v>
      </c>
      <c r="P9" s="10">
        <v>1</v>
      </c>
    </row>
    <row r="11" spans="2:17" x14ac:dyDescent="0.45">
      <c r="C11" s="6" t="s">
        <v>4</v>
      </c>
      <c r="D11" s="6" t="s">
        <v>5</v>
      </c>
      <c r="E11" s="6" t="s">
        <v>6</v>
      </c>
      <c r="F11" s="6" t="s">
        <v>7</v>
      </c>
      <c r="G11" s="5">
        <v>2023</v>
      </c>
      <c r="H11" s="6" t="s">
        <v>4</v>
      </c>
      <c r="I11" s="6" t="s">
        <v>5</v>
      </c>
      <c r="J11" s="6" t="s">
        <v>6</v>
      </c>
      <c r="K11" s="6" t="s">
        <v>7</v>
      </c>
      <c r="L11" s="5">
        <v>2024</v>
      </c>
      <c r="M11" s="6" t="s">
        <v>4</v>
      </c>
      <c r="N11" s="6" t="s">
        <v>5</v>
      </c>
      <c r="O11" s="6" t="s">
        <v>6</v>
      </c>
      <c r="P11" s="6" t="s">
        <v>13</v>
      </c>
    </row>
    <row r="12" spans="2:17" x14ac:dyDescent="0.45">
      <c r="G12" s="4"/>
    </row>
    <row r="13" spans="2:17" x14ac:dyDescent="0.45">
      <c r="B13" s="2" t="s">
        <v>12</v>
      </c>
      <c r="C13" s="6">
        <v>23329</v>
      </c>
      <c r="D13" s="6">
        <v>24927</v>
      </c>
      <c r="E13" s="6">
        <v>23350</v>
      </c>
      <c r="F13" s="6">
        <v>25167</v>
      </c>
      <c r="G13" s="2">
        <f>+SUM(C13:F13)</f>
        <v>96773</v>
      </c>
      <c r="H13" s="6">
        <v>21301</v>
      </c>
      <c r="I13" s="6">
        <v>25500</v>
      </c>
      <c r="J13" s="6">
        <v>25182</v>
      </c>
      <c r="K13" s="6">
        <v>25707</v>
      </c>
      <c r="L13" s="2">
        <f>+SUM(H13:K13)</f>
        <v>97690</v>
      </c>
      <c r="M13" s="6">
        <v>19335</v>
      </c>
      <c r="N13" s="6">
        <v>22496</v>
      </c>
      <c r="O13" s="6">
        <v>28095</v>
      </c>
      <c r="P13" s="2">
        <f ca="1">+IF($P$9,P15*AVERAGE(M13:P13),P15*AVERAGE(M13:O13))</f>
        <v>24774.051682368881</v>
      </c>
    </row>
    <row r="14" spans="2:17" x14ac:dyDescent="0.4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2:17" x14ac:dyDescent="0.45">
      <c r="B15" s="12" t="s">
        <v>9</v>
      </c>
      <c r="C15" s="13"/>
      <c r="D15" s="13"/>
      <c r="E15" s="13"/>
      <c r="F15" s="13">
        <f>+F13/(G13/4)</f>
        <v>1.0402488297355668</v>
      </c>
      <c r="G15" s="13"/>
      <c r="H15" s="13"/>
      <c r="I15" s="13"/>
      <c r="J15" s="13"/>
      <c r="K15" s="13">
        <f>+K13/(L13/4)</f>
        <v>1.0525949431876342</v>
      </c>
      <c r="L15" s="13"/>
      <c r="M15" s="13"/>
      <c r="N15" s="13"/>
      <c r="O15" s="13"/>
      <c r="P15" s="13">
        <f>+AVERAGE(K15,F15)</f>
        <v>1.0464218864616006</v>
      </c>
    </row>
    <row r="16" spans="2:17" x14ac:dyDescent="0.45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2:19" x14ac:dyDescent="0.45"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2:19" x14ac:dyDescent="0.45">
      <c r="B18" s="1" t="s">
        <v>0</v>
      </c>
      <c r="C18" s="15"/>
      <c r="D18" s="15"/>
      <c r="E18" s="15"/>
      <c r="F18" s="15"/>
      <c r="G18" s="15"/>
      <c r="H18" s="15" t="s">
        <v>21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2:19" x14ac:dyDescent="0.45">
      <c r="B19" s="1" t="s">
        <v>1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2:19" x14ac:dyDescent="0.45">
      <c r="B20" s="1" t="s">
        <v>2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spans="2:19" x14ac:dyDescent="0.45">
      <c r="B21" s="1" t="s">
        <v>3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 spans="2:19" x14ac:dyDescent="0.45">
      <c r="B22" s="7" t="s">
        <v>8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5"/>
      <c r="R22" s="15"/>
      <c r="S22" s="15"/>
    </row>
    <row r="23" spans="2:19" x14ac:dyDescent="0.45">
      <c r="B23" s="8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spans="2:19" x14ac:dyDescent="0.45">
      <c r="B24" s="2" t="s">
        <v>9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</row>
    <row r="25" spans="2:19" x14ac:dyDescent="0.45">
      <c r="B25" s="1" t="s">
        <v>0</v>
      </c>
      <c r="C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2:19" s="11" customFormat="1" x14ac:dyDescent="0.45">
      <c r="B26" s="1" t="s">
        <v>1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spans="2:19" x14ac:dyDescent="0.45">
      <c r="B27" s="1" t="s">
        <v>2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 spans="2:19" x14ac:dyDescent="0.45">
      <c r="B28" s="1" t="s">
        <v>3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 spans="2:19" x14ac:dyDescent="0.45"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 spans="2:19" x14ac:dyDescent="0.45">
      <c r="B30" s="1" t="s">
        <v>11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spans="2:19" x14ac:dyDescent="0.45"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 spans="2:19" x14ac:dyDescent="0.45">
      <c r="B32" s="1" t="s">
        <v>14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</row>
    <row r="33" spans="2:19" x14ac:dyDescent="0.45">
      <c r="B33" s="11" t="s">
        <v>15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 spans="2:19" x14ac:dyDescent="0.45"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spans="2:19" x14ac:dyDescent="0.45"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1ACE969CBC174083981A742AA53846" ma:contentTypeVersion="10" ma:contentTypeDescription="Create a new document." ma:contentTypeScope="" ma:versionID="603a07cfbe657726527b61aec88e59c0">
  <xsd:schema xmlns:xsd="http://www.w3.org/2001/XMLSchema" xmlns:xs="http://www.w3.org/2001/XMLSchema" xmlns:p="http://schemas.microsoft.com/office/2006/metadata/properties" xmlns:ns3="ee27a01e-5ca6-4712-86b1-70bd9165ce10" targetNamespace="http://schemas.microsoft.com/office/2006/metadata/properties" ma:root="true" ma:fieldsID="23d97d4d9b95e3d7ed437d931a3485ea" ns3:_="">
    <xsd:import namespace="ee27a01e-5ca6-4712-86b1-70bd9165ce1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7a01e-5ca6-4712-86b1-70bd9165ce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6ADF61-AD07-450D-A727-F7A2C76B96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27a01e-5ca6-4712-86b1-70bd9165ce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4017ED-584B-49ED-8318-CCF6C5881A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26EA17-077B-426F-8491-C1F9F0AE8010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ee27a01e-5ca6-4712-86b1-70bd9165ce10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Azmi</dc:creator>
  <cp:lastModifiedBy>Danial Azmi</cp:lastModifiedBy>
  <dcterms:created xsi:type="dcterms:W3CDTF">2026-01-06T20:25:27Z</dcterms:created>
  <dcterms:modified xsi:type="dcterms:W3CDTF">2026-01-06T22:06:54Z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0x0101005C1ACE969CBC174083981A742AA53846</vt:lpwstr>
  </property>
</Properties>
</file>